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권광훈\1.BF\2.생산계획\25년\실무용\1월\"/>
    </mc:Choice>
  </mc:AlternateContent>
  <bookViews>
    <workbookView xWindow="10095" yWindow="-16320" windowWidth="29040" windowHeight="15840" activeTab="2"/>
  </bookViews>
  <sheets>
    <sheet name="완제품" sheetId="2" r:id="rId1"/>
    <sheet name="원재료" sheetId="4" r:id="rId2"/>
    <sheet name="출고량" sheetId="7" r:id="rId3"/>
    <sheet name="BOM" sheetId="6" r:id="rId4"/>
    <sheet name="재고DB" sheetId="11" r:id="rId5"/>
    <sheet name="음성공장 재고장" sheetId="9" r:id="rId6"/>
    <sheet name="주간 송부용" sheetId="10" r:id="rId7"/>
    <sheet name="Sheet1" sheetId="12" r:id="rId8"/>
    <sheet name="Sheet2" sheetId="14" r:id="rId9"/>
    <sheet name="Sheet3" sheetId="15" r:id="rId10"/>
    <sheet name="Sheet4 (2)" sheetId="17" r:id="rId11"/>
  </sheets>
  <externalReferences>
    <externalReference r:id="rId12"/>
    <externalReference r:id="rId13"/>
  </externalReferences>
  <definedNames>
    <definedName name="_xlnm._FilterDatabase" localSheetId="3" hidden="1">BOM!$A$2:$P$391</definedName>
    <definedName name="_xlnm._FilterDatabase" localSheetId="10" hidden="1">'Sheet4 (2)'!$H$2:$O$18</definedName>
    <definedName name="_xlnm._FilterDatabase" localSheetId="0" hidden="1">완제품!$A$7:$DB$37</definedName>
    <definedName name="_xlnm._FilterDatabase" localSheetId="1" hidden="1">원재료!$A$7:$BB$92</definedName>
    <definedName name="_xlnm._FilterDatabase" localSheetId="4" hidden="1">재고DB!$A$1:$BU$90</definedName>
    <definedName name="_xlnm.Print_Area" localSheetId="8">Sheet2!$A$1:$H$18</definedName>
    <definedName name="_xlnm.Print_Area" localSheetId="6">'주간 송부용'!$A$1:$P$34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R23" i="6"/>
  <c r="E18" i="17" l="1"/>
  <c r="H18" i="17" s="1"/>
  <c r="E17" i="17"/>
  <c r="H17" i="17" s="1"/>
  <c r="E16" i="17"/>
  <c r="H16" i="17" s="1"/>
  <c r="E15" i="17"/>
  <c r="H15" i="17" s="1"/>
  <c r="E14" i="17"/>
  <c r="H14" i="17" s="1"/>
  <c r="H13" i="17"/>
  <c r="E13" i="17"/>
  <c r="E12" i="17"/>
  <c r="H12" i="17" s="1"/>
  <c r="E11" i="17"/>
  <c r="H11" i="17" s="1"/>
  <c r="E10" i="17"/>
  <c r="H10" i="17" s="1"/>
  <c r="E9" i="17"/>
  <c r="H9" i="17" s="1"/>
  <c r="E8" i="17"/>
  <c r="H8" i="17" s="1"/>
  <c r="H7" i="17"/>
  <c r="E7" i="17"/>
  <c r="E6" i="17"/>
  <c r="H6" i="17" s="1"/>
  <c r="E5" i="17"/>
  <c r="H5" i="17" s="1"/>
  <c r="E4" i="17"/>
  <c r="H4" i="17" s="1"/>
  <c r="E3" i="17"/>
  <c r="H3" i="17" s="1"/>
  <c r="H19" i="17" l="1"/>
  <c r="E8" i="2" l="1"/>
  <c r="J64" i="9" l="1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BT2" i="11" l="1"/>
  <c r="BT3" i="11"/>
  <c r="BT4" i="11"/>
  <c r="BT5" i="11"/>
  <c r="BT6" i="11"/>
  <c r="BT7" i="11"/>
  <c r="BT8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T21" i="11"/>
  <c r="BT22" i="11"/>
  <c r="BT23" i="11"/>
  <c r="BT24" i="11"/>
  <c r="BT25" i="11"/>
  <c r="BT26" i="11"/>
  <c r="BT27" i="11"/>
  <c r="BT28" i="11"/>
  <c r="BT29" i="11"/>
  <c r="BT30" i="11"/>
  <c r="BT31" i="11"/>
  <c r="BT32" i="11"/>
  <c r="BT33" i="11"/>
  <c r="BT34" i="11"/>
  <c r="BT35" i="11"/>
  <c r="BT36" i="11"/>
  <c r="BT37" i="11"/>
  <c r="BT38" i="11"/>
  <c r="BT39" i="11"/>
  <c r="BT40" i="11"/>
  <c r="BT41" i="11"/>
  <c r="BT42" i="11"/>
  <c r="BT43" i="11"/>
  <c r="BT44" i="11"/>
  <c r="BT45" i="11"/>
  <c r="BT46" i="11"/>
  <c r="BT47" i="11"/>
  <c r="BT48" i="11"/>
  <c r="BT49" i="11"/>
  <c r="BT50" i="11"/>
  <c r="BT51" i="11"/>
  <c r="BT52" i="11"/>
  <c r="BT53" i="11"/>
  <c r="BT54" i="11"/>
  <c r="BT55" i="11"/>
  <c r="BT56" i="11"/>
  <c r="BT57" i="11"/>
  <c r="BT58" i="11"/>
  <c r="BT59" i="11"/>
  <c r="BT60" i="11"/>
  <c r="BT61" i="11"/>
  <c r="BT62" i="11"/>
  <c r="BT63" i="11"/>
  <c r="BT64" i="11"/>
  <c r="BT65" i="11"/>
  <c r="BT66" i="11"/>
  <c r="BT67" i="11"/>
  <c r="BT68" i="11"/>
  <c r="BT69" i="11"/>
  <c r="BT70" i="11"/>
  <c r="BT71" i="11"/>
  <c r="BT72" i="11"/>
  <c r="BT73" i="11"/>
  <c r="BT74" i="11"/>
  <c r="BT75" i="11"/>
  <c r="BT76" i="11"/>
  <c r="BT77" i="11"/>
  <c r="BT78" i="11"/>
  <c r="BT79" i="11"/>
  <c r="BT80" i="11"/>
  <c r="BT81" i="11"/>
  <c r="BT82" i="11"/>
  <c r="BT83" i="11"/>
  <c r="BT84" i="11"/>
  <c r="BT85" i="11"/>
  <c r="C48" i="7" l="1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D2" i="7" l="1"/>
  <c r="D3" i="7" s="1"/>
  <c r="K66" i="4" l="1"/>
  <c r="F66" i="4" s="1"/>
  <c r="AC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E66" i="4"/>
  <c r="I66" i="4" s="1"/>
  <c r="G18" i="9"/>
  <c r="G15" i="9"/>
  <c r="E51" i="9"/>
  <c r="E42" i="9"/>
  <c r="E41" i="9"/>
  <c r="E37" i="9"/>
  <c r="E32" i="9"/>
  <c r="E31" i="9"/>
  <c r="E29" i="9"/>
  <c r="E27" i="9"/>
  <c r="E26" i="9"/>
  <c r="E25" i="9"/>
  <c r="E24" i="9"/>
  <c r="E5" i="9"/>
  <c r="E3" i="9"/>
  <c r="E2" i="9"/>
  <c r="D63" i="9"/>
  <c r="D62" i="9"/>
  <c r="D61" i="9"/>
  <c r="D60" i="9"/>
  <c r="D59" i="9"/>
  <c r="D58" i="9"/>
  <c r="D57" i="9"/>
  <c r="D56" i="9"/>
  <c r="E56" i="9" s="1"/>
  <c r="D55" i="9"/>
  <c r="E55" i="9" s="1"/>
  <c r="D54" i="9"/>
  <c r="D53" i="9"/>
  <c r="D52" i="9"/>
  <c r="D50" i="9"/>
  <c r="D49" i="9"/>
  <c r="D48" i="9"/>
  <c r="D47" i="9"/>
  <c r="D46" i="9"/>
  <c r="D45" i="9"/>
  <c r="D44" i="9"/>
  <c r="E44" i="9" s="1"/>
  <c r="D43" i="9"/>
  <c r="E43" i="9" s="1"/>
  <c r="D40" i="9"/>
  <c r="D39" i="9"/>
  <c r="D38" i="9"/>
  <c r="D36" i="9"/>
  <c r="D35" i="9"/>
  <c r="D34" i="9"/>
  <c r="D33" i="9"/>
  <c r="D30" i="9"/>
  <c r="D28" i="9"/>
  <c r="D23" i="9"/>
  <c r="D22" i="9"/>
  <c r="D21" i="9"/>
  <c r="E21" i="9" s="1"/>
  <c r="D20" i="9"/>
  <c r="E20" i="9" s="1"/>
  <c r="D19" i="9"/>
  <c r="E19" i="9" s="1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4" i="9"/>
  <c r="S66" i="4" l="1"/>
  <c r="Y66" i="4" s="1"/>
  <c r="E11" i="9"/>
  <c r="E23" i="9"/>
  <c r="E46" i="9"/>
  <c r="E60" i="9"/>
  <c r="E14" i="9"/>
  <c r="E33" i="9"/>
  <c r="E48" i="9"/>
  <c r="E61" i="9"/>
  <c r="E34" i="9"/>
  <c r="E49" i="9"/>
  <c r="E63" i="9"/>
  <c r="E58" i="9"/>
  <c r="E62" i="9"/>
  <c r="E16" i="9"/>
  <c r="E35" i="9"/>
  <c r="E50" i="9"/>
  <c r="E4" i="9"/>
  <c r="E17" i="9"/>
  <c r="E36" i="9"/>
  <c r="E52" i="9"/>
  <c r="E28" i="9"/>
  <c r="E15" i="9"/>
  <c r="J15" i="9"/>
  <c r="E18" i="9"/>
  <c r="J18" i="9"/>
  <c r="E38" i="9"/>
  <c r="E53" i="9"/>
  <c r="E45" i="9"/>
  <c r="E30" i="9"/>
  <c r="E54" i="9"/>
  <c r="E12" i="9"/>
  <c r="E47" i="9"/>
  <c r="E40" i="9"/>
  <c r="E7" i="9"/>
  <c r="E59" i="9"/>
  <c r="E13" i="9"/>
  <c r="E6" i="9"/>
  <c r="E8" i="9"/>
  <c r="E10" i="9"/>
  <c r="E22" i="9"/>
  <c r="E57" i="9"/>
  <c r="E9" i="9"/>
  <c r="E39" i="9"/>
  <c r="G66" i="4"/>
  <c r="L66" i="4"/>
  <c r="V66" i="4"/>
  <c r="U66" i="4" l="1"/>
  <c r="AA66" i="4" s="1"/>
  <c r="T66" i="4"/>
  <c r="AB66" i="4" l="1"/>
  <c r="AD66" i="4" s="1"/>
  <c r="AC73" i="4"/>
  <c r="F73" i="4"/>
  <c r="G73" i="4" s="1"/>
  <c r="I73" i="4"/>
  <c r="L73" i="4"/>
  <c r="O73" i="4"/>
  <c r="E9" i="4"/>
  <c r="V73" i="4" l="1"/>
  <c r="E392" i="6" l="1"/>
  <c r="E393" i="6" s="1"/>
  <c r="D392" i="6"/>
  <c r="H22" i="10"/>
  <c r="CJ27" i="2"/>
  <c r="E27" i="2"/>
  <c r="I22" i="10" s="1"/>
  <c r="F27" i="2"/>
  <c r="J22" i="10" s="1"/>
  <c r="L27" i="2"/>
  <c r="Q27" i="2"/>
  <c r="CE27" i="2"/>
  <c r="CF27" i="2"/>
  <c r="CG27" i="2"/>
  <c r="CH27" i="2"/>
  <c r="CI27" i="2"/>
  <c r="CK27" i="2"/>
  <c r="CL27" i="2"/>
  <c r="CM27" i="2"/>
  <c r="CN27" i="2"/>
  <c r="CO27" i="2"/>
  <c r="CP27" i="2"/>
  <c r="CQ27" i="2"/>
  <c r="CR27" i="2"/>
  <c r="CS27" i="2"/>
  <c r="U27" i="2" l="1"/>
  <c r="F22" i="10" s="1"/>
  <c r="Q22" i="10"/>
  <c r="G27" i="2"/>
  <c r="K22" i="10" s="1"/>
  <c r="H20" i="10" l="1"/>
  <c r="U67" i="4" l="1"/>
  <c r="E10" i="2" l="1"/>
  <c r="E22" i="2"/>
  <c r="Q30" i="2"/>
  <c r="F30" i="2" l="1"/>
  <c r="B17" i="14" l="1"/>
  <c r="F13" i="14"/>
  <c r="E13" i="14"/>
  <c r="D13" i="14"/>
  <c r="G12" i="14"/>
  <c r="G11" i="14"/>
  <c r="G10" i="14"/>
  <c r="G13" i="14" s="1"/>
  <c r="G14" i="14" l="1"/>
  <c r="C17" i="14"/>
  <c r="U32" i="2"/>
  <c r="BU25" i="2"/>
  <c r="CS25" i="2" s="1"/>
  <c r="CS37" i="2"/>
  <c r="CS36" i="2"/>
  <c r="CS35" i="2"/>
  <c r="CS34" i="2"/>
  <c r="CS33" i="2"/>
  <c r="CS31" i="2"/>
  <c r="CS30" i="2"/>
  <c r="CS29" i="2"/>
  <c r="CS28" i="2"/>
  <c r="CS26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F24" i="2" l="1"/>
  <c r="Q20" i="10" l="1"/>
  <c r="Q9" i="10"/>
  <c r="L30" i="2"/>
  <c r="L29" i="2"/>
  <c r="L28" i="2"/>
  <c r="R286" i="6"/>
  <c r="R285" i="6"/>
  <c r="R284" i="6"/>
  <c r="R283" i="6"/>
  <c r="R279" i="6"/>
  <c r="R276" i="6"/>
  <c r="R273" i="6"/>
  <c r="R270" i="6"/>
  <c r="R269" i="6"/>
  <c r="R268" i="6"/>
  <c r="R267" i="6"/>
  <c r="R266" i="6"/>
  <c r="R264" i="6"/>
  <c r="H9" i="4" l="1"/>
  <c r="F63" i="9"/>
  <c r="J63" i="9" s="1"/>
  <c r="J64" i="4"/>
  <c r="F62" i="9"/>
  <c r="J63" i="4"/>
  <c r="H64" i="4"/>
  <c r="H63" i="4"/>
  <c r="H58" i="4"/>
  <c r="I58" i="4" s="1"/>
  <c r="H55" i="4"/>
  <c r="H52" i="4"/>
  <c r="H49" i="4"/>
  <c r="H46" i="4"/>
  <c r="I46" i="4" s="1"/>
  <c r="H45" i="4"/>
  <c r="I45" i="4" s="1"/>
  <c r="H40" i="4"/>
  <c r="H37" i="4"/>
  <c r="I37" i="4" s="1"/>
  <c r="H34" i="4"/>
  <c r="H33" i="4"/>
  <c r="H28" i="4"/>
  <c r="I28" i="4" s="1"/>
  <c r="L27" i="4"/>
  <c r="H25" i="4"/>
  <c r="I25" i="4" s="1"/>
  <c r="H22" i="4"/>
  <c r="I22" i="4" s="1"/>
  <c r="H21" i="4"/>
  <c r="I21" i="4" s="1"/>
  <c r="H16" i="4"/>
  <c r="I16" i="4" s="1"/>
  <c r="H13" i="4"/>
  <c r="I13" i="4" s="1"/>
  <c r="K9" i="4"/>
  <c r="L9" i="4" s="1"/>
  <c r="O17" i="4"/>
  <c r="F61" i="9"/>
  <c r="F60" i="9"/>
  <c r="J60" i="9" s="1"/>
  <c r="F59" i="9"/>
  <c r="J59" i="9" s="1"/>
  <c r="F58" i="9"/>
  <c r="J58" i="9" s="1"/>
  <c r="F57" i="9"/>
  <c r="J57" i="9" s="1"/>
  <c r="F56" i="9"/>
  <c r="F55" i="9"/>
  <c r="J55" i="9" s="1"/>
  <c r="F54" i="9"/>
  <c r="J54" i="9" s="1"/>
  <c r="F53" i="9"/>
  <c r="J53" i="9" s="1"/>
  <c r="F52" i="9"/>
  <c r="F51" i="9"/>
  <c r="F50" i="9"/>
  <c r="F49" i="9"/>
  <c r="F48" i="9"/>
  <c r="J48" i="9" s="1"/>
  <c r="F47" i="9"/>
  <c r="J47" i="9" s="1"/>
  <c r="F46" i="9"/>
  <c r="J46" i="9" s="1"/>
  <c r="F45" i="9"/>
  <c r="J45" i="9" s="1"/>
  <c r="F44" i="9"/>
  <c r="F43" i="9"/>
  <c r="J43" i="9" s="1"/>
  <c r="F42" i="9"/>
  <c r="J42" i="9" s="1"/>
  <c r="F41" i="9"/>
  <c r="J41" i="9" s="1"/>
  <c r="F40" i="9"/>
  <c r="J40" i="9" s="1"/>
  <c r="F39" i="9"/>
  <c r="J39" i="9" s="1"/>
  <c r="F38" i="9"/>
  <c r="F37" i="9"/>
  <c r="J37" i="9" s="1"/>
  <c r="F36" i="9"/>
  <c r="J36" i="9" s="1"/>
  <c r="F35" i="9"/>
  <c r="F34" i="9"/>
  <c r="J34" i="9" s="1"/>
  <c r="F33" i="9"/>
  <c r="J33" i="9" s="1"/>
  <c r="F32" i="9"/>
  <c r="F31" i="9"/>
  <c r="J31" i="9" s="1"/>
  <c r="F30" i="9"/>
  <c r="J30" i="9" s="1"/>
  <c r="F29" i="9"/>
  <c r="J29" i="9" s="1"/>
  <c r="F28" i="9"/>
  <c r="J28" i="9" s="1"/>
  <c r="F27" i="9"/>
  <c r="J27" i="9" s="1"/>
  <c r="F26" i="9"/>
  <c r="J26" i="9" s="1"/>
  <c r="F25" i="9"/>
  <c r="J25" i="9" s="1"/>
  <c r="F24" i="9"/>
  <c r="J24" i="9" s="1"/>
  <c r="F23" i="9"/>
  <c r="J23" i="9" s="1"/>
  <c r="F22" i="9"/>
  <c r="J22" i="9" s="1"/>
  <c r="F21" i="9"/>
  <c r="J21" i="9" s="1"/>
  <c r="F20" i="9"/>
  <c r="J20" i="9" s="1"/>
  <c r="F19" i="9"/>
  <c r="J19" i="9" s="1"/>
  <c r="M25" i="4"/>
  <c r="F17" i="9"/>
  <c r="F16" i="9"/>
  <c r="J16" i="9" s="1"/>
  <c r="M22" i="4"/>
  <c r="F14" i="9"/>
  <c r="F13" i="9"/>
  <c r="J13" i="9" s="1"/>
  <c r="F12" i="9"/>
  <c r="J12" i="9" s="1"/>
  <c r="F11" i="9"/>
  <c r="J11" i="9" s="1"/>
  <c r="F10" i="9"/>
  <c r="J10" i="9" s="1"/>
  <c r="F9" i="9"/>
  <c r="J9" i="9" s="1"/>
  <c r="F8" i="9"/>
  <c r="F7" i="9"/>
  <c r="J7" i="9" s="1"/>
  <c r="F6" i="9"/>
  <c r="J6" i="9" s="1"/>
  <c r="F5" i="9"/>
  <c r="J5" i="9" s="1"/>
  <c r="F4" i="9"/>
  <c r="J4" i="9" s="1"/>
  <c r="F3" i="9"/>
  <c r="J3" i="9" s="1"/>
  <c r="F2" i="9"/>
  <c r="J2" i="9" s="1"/>
  <c r="J61" i="4"/>
  <c r="J60" i="4"/>
  <c r="J59" i="4"/>
  <c r="J58" i="4"/>
  <c r="J57" i="4"/>
  <c r="J55" i="4"/>
  <c r="J54" i="4"/>
  <c r="J69" i="4"/>
  <c r="J65" i="4"/>
  <c r="J62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8" i="4"/>
  <c r="K24" i="4" l="1"/>
  <c r="L24" i="4" s="1"/>
  <c r="J17" i="9"/>
  <c r="G49" i="9"/>
  <c r="J49" i="9"/>
  <c r="K21" i="4"/>
  <c r="L21" i="4" s="1"/>
  <c r="J14" i="9"/>
  <c r="K15" i="4"/>
  <c r="L15" i="4" s="1"/>
  <c r="J8" i="9"/>
  <c r="K39" i="4"/>
  <c r="L39" i="4" s="1"/>
  <c r="J32" i="9"/>
  <c r="K51" i="4"/>
  <c r="J44" i="9"/>
  <c r="K57" i="4"/>
  <c r="J56" i="9"/>
  <c r="G61" i="9"/>
  <c r="J61" i="9"/>
  <c r="K63" i="4"/>
  <c r="J62" i="9"/>
  <c r="G50" i="9"/>
  <c r="J50" i="9"/>
  <c r="K42" i="4"/>
  <c r="L42" i="4" s="1"/>
  <c r="J35" i="9"/>
  <c r="K45" i="4"/>
  <c r="L45" i="4" s="1"/>
  <c r="J38" i="9"/>
  <c r="G51" i="9"/>
  <c r="J51" i="9"/>
  <c r="G52" i="9"/>
  <c r="J52" i="9"/>
  <c r="G46" i="9"/>
  <c r="M53" i="4" s="1"/>
  <c r="K59" i="4"/>
  <c r="G58" i="9"/>
  <c r="K62" i="4"/>
  <c r="L62" i="4" s="1"/>
  <c r="G47" i="9"/>
  <c r="G59" i="9"/>
  <c r="M60" i="4" s="1"/>
  <c r="K16" i="4"/>
  <c r="L16" i="4" s="1"/>
  <c r="G9" i="9"/>
  <c r="M16" i="4" s="1"/>
  <c r="K28" i="4"/>
  <c r="L28" i="4" s="1"/>
  <c r="G21" i="9"/>
  <c r="M28" i="4" s="1"/>
  <c r="G10" i="9"/>
  <c r="M17" i="4" s="1"/>
  <c r="K29" i="4"/>
  <c r="L29" i="4" s="1"/>
  <c r="G22" i="9"/>
  <c r="K65" i="4"/>
  <c r="G48" i="9"/>
  <c r="K61" i="4"/>
  <c r="G60" i="9"/>
  <c r="K60" i="4"/>
  <c r="G40" i="9"/>
  <c r="M47" i="4" s="1"/>
  <c r="K41" i="4"/>
  <c r="L41" i="4" s="1"/>
  <c r="G34" i="9"/>
  <c r="G11" i="9"/>
  <c r="M18" i="4" s="1"/>
  <c r="M30" i="4"/>
  <c r="G23" i="9"/>
  <c r="K19" i="4"/>
  <c r="L19" i="4" s="1"/>
  <c r="G12" i="9"/>
  <c r="K43" i="4"/>
  <c r="L43" i="4" s="1"/>
  <c r="G36" i="9"/>
  <c r="M43" i="4" s="1"/>
  <c r="K44" i="4"/>
  <c r="G37" i="9"/>
  <c r="G27" i="9"/>
  <c r="M34" i="4" s="1"/>
  <c r="G4" i="9"/>
  <c r="M11" i="4" s="1"/>
  <c r="K35" i="4"/>
  <c r="L35" i="4" s="1"/>
  <c r="G28" i="9"/>
  <c r="G5" i="9"/>
  <c r="M12" i="4" s="1"/>
  <c r="G17" i="9"/>
  <c r="M24" i="4" s="1"/>
  <c r="G29" i="9"/>
  <c r="M36" i="4" s="1"/>
  <c r="G41" i="9"/>
  <c r="M48" i="4" s="1"/>
  <c r="M54" i="4"/>
  <c r="G53" i="9"/>
  <c r="K12" i="4"/>
  <c r="L12" i="4" s="1"/>
  <c r="K30" i="4"/>
  <c r="L30" i="4" s="1"/>
  <c r="K48" i="4"/>
  <c r="G35" i="9"/>
  <c r="M42" i="4" s="1"/>
  <c r="K31" i="4"/>
  <c r="L31" i="4" s="1"/>
  <c r="G24" i="9"/>
  <c r="K20" i="4"/>
  <c r="L20" i="4" s="1"/>
  <c r="G13" i="9"/>
  <c r="M20" i="4" s="1"/>
  <c r="K32" i="4"/>
  <c r="L32" i="4" s="1"/>
  <c r="G25" i="9"/>
  <c r="G38" i="9"/>
  <c r="M45" i="4" s="1"/>
  <c r="G30" i="9"/>
  <c r="M37" i="4" s="1"/>
  <c r="G42" i="9"/>
  <c r="M49" i="4" s="1"/>
  <c r="G54" i="9"/>
  <c r="M55" i="4" s="1"/>
  <c r="G62" i="9"/>
  <c r="M63" i="4" s="1"/>
  <c r="G26" i="9"/>
  <c r="M33" i="4" s="1"/>
  <c r="G39" i="9"/>
  <c r="M46" i="4" s="1"/>
  <c r="G16" i="9"/>
  <c r="M23" i="4" s="1"/>
  <c r="G6" i="9"/>
  <c r="M13" i="4" s="1"/>
  <c r="K14" i="4"/>
  <c r="L14" i="4" s="1"/>
  <c r="G7" i="9"/>
  <c r="M14" i="4" s="1"/>
  <c r="K26" i="4"/>
  <c r="L26" i="4" s="1"/>
  <c r="G19" i="9"/>
  <c r="K38" i="4"/>
  <c r="L38" i="4" s="1"/>
  <c r="G31" i="9"/>
  <c r="M38" i="4" s="1"/>
  <c r="K50" i="4"/>
  <c r="G43" i="9"/>
  <c r="M50" i="4" s="1"/>
  <c r="K56" i="4"/>
  <c r="G55" i="9"/>
  <c r="M56" i="4" s="1"/>
  <c r="K33" i="4"/>
  <c r="L33" i="4" s="1"/>
  <c r="K8" i="4"/>
  <c r="G2" i="9"/>
  <c r="M8" i="4" s="1"/>
  <c r="G14" i="9"/>
  <c r="M21" i="4" s="1"/>
  <c r="G3" i="9"/>
  <c r="M10" i="4" s="1"/>
  <c r="G8" i="9"/>
  <c r="M15" i="4" s="1"/>
  <c r="G20" i="9"/>
  <c r="M27" i="4" s="1"/>
  <c r="G32" i="9"/>
  <c r="M39" i="4" s="1"/>
  <c r="G44" i="9"/>
  <c r="M51" i="4" s="1"/>
  <c r="G56" i="9"/>
  <c r="M57" i="4" s="1"/>
  <c r="G63" i="9"/>
  <c r="M64" i="4" s="1"/>
  <c r="G33" i="9"/>
  <c r="M40" i="4" s="1"/>
  <c r="G45" i="9"/>
  <c r="M52" i="4" s="1"/>
  <c r="K58" i="4"/>
  <c r="L58" i="4" s="1"/>
  <c r="G57" i="9"/>
  <c r="M58" i="4" s="1"/>
  <c r="K18" i="4"/>
  <c r="L18" i="4" s="1"/>
  <c r="K36" i="4"/>
  <c r="L36" i="4" s="1"/>
  <c r="K54" i="4"/>
  <c r="I40" i="4"/>
  <c r="U40" i="4"/>
  <c r="I64" i="4"/>
  <c r="I10" i="4"/>
  <c r="I33" i="4"/>
  <c r="U33" i="4"/>
  <c r="U49" i="4"/>
  <c r="I34" i="4"/>
  <c r="U34" i="4"/>
  <c r="I9" i="4"/>
  <c r="K64" i="4"/>
  <c r="L64" i="4" s="1"/>
  <c r="M26" i="4"/>
  <c r="H12" i="4"/>
  <c r="H15" i="4"/>
  <c r="I15" i="4" s="1"/>
  <c r="H18" i="4"/>
  <c r="I18" i="4" s="1"/>
  <c r="H24" i="4"/>
  <c r="I24" i="4" s="1"/>
  <c r="H27" i="4"/>
  <c r="I27" i="4" s="1"/>
  <c r="H30" i="4"/>
  <c r="I30" i="4" s="1"/>
  <c r="H36" i="4"/>
  <c r="I36" i="4" s="1"/>
  <c r="H39" i="4"/>
  <c r="H42" i="4"/>
  <c r="H48" i="4"/>
  <c r="H51" i="4"/>
  <c r="H54" i="4"/>
  <c r="H57" i="4"/>
  <c r="H60" i="4"/>
  <c r="M41" i="4"/>
  <c r="M59" i="4"/>
  <c r="M62" i="4"/>
  <c r="H19" i="4"/>
  <c r="I19" i="4" s="1"/>
  <c r="H61" i="4"/>
  <c r="M19" i="4"/>
  <c r="M31" i="4"/>
  <c r="M65" i="4"/>
  <c r="M61" i="4"/>
  <c r="M32" i="4"/>
  <c r="M44" i="4"/>
  <c r="L10" i="4"/>
  <c r="K13" i="4"/>
  <c r="L13" i="4" s="1"/>
  <c r="K22" i="4"/>
  <c r="L22" i="4" s="1"/>
  <c r="K25" i="4"/>
  <c r="L25" i="4" s="1"/>
  <c r="K34" i="4"/>
  <c r="L34" i="4" s="1"/>
  <c r="K37" i="4"/>
  <c r="L37" i="4" s="1"/>
  <c r="K40" i="4"/>
  <c r="L40" i="4" s="1"/>
  <c r="K46" i="4"/>
  <c r="L46" i="4" s="1"/>
  <c r="K49" i="4"/>
  <c r="K52" i="4"/>
  <c r="K55" i="4"/>
  <c r="M29" i="4"/>
  <c r="H31" i="4"/>
  <c r="H43" i="4"/>
  <c r="I43" i="4" s="1"/>
  <c r="H8" i="4"/>
  <c r="U8" i="4" s="1"/>
  <c r="H11" i="4"/>
  <c r="I11" i="4" s="1"/>
  <c r="H14" i="4"/>
  <c r="I14" i="4" s="1"/>
  <c r="H17" i="4"/>
  <c r="I17" i="4" s="1"/>
  <c r="H20" i="4"/>
  <c r="I20" i="4" s="1"/>
  <c r="H23" i="4"/>
  <c r="I23" i="4" s="1"/>
  <c r="H26" i="4"/>
  <c r="I26" i="4" s="1"/>
  <c r="H29" i="4"/>
  <c r="I29" i="4" s="1"/>
  <c r="H32" i="4"/>
  <c r="H35" i="4"/>
  <c r="I35" i="4" s="1"/>
  <c r="H38" i="4"/>
  <c r="H41" i="4"/>
  <c r="H44" i="4"/>
  <c r="H47" i="4"/>
  <c r="H50" i="4"/>
  <c r="H53" i="4"/>
  <c r="H56" i="4"/>
  <c r="H59" i="4"/>
  <c r="H62" i="4"/>
  <c r="H65" i="4"/>
  <c r="M35" i="4"/>
  <c r="K11" i="4"/>
  <c r="L11" i="4" s="1"/>
  <c r="K17" i="4"/>
  <c r="L17" i="4" s="1"/>
  <c r="K23" i="4"/>
  <c r="L23" i="4" s="1"/>
  <c r="K47" i="4"/>
  <c r="L47" i="4" s="1"/>
  <c r="K53" i="4"/>
  <c r="I62" i="4" l="1"/>
  <c r="U62" i="4"/>
  <c r="I12" i="4"/>
  <c r="U12" i="4"/>
  <c r="I47" i="4"/>
  <c r="U47" i="4"/>
  <c r="U65" i="4"/>
  <c r="U53" i="4"/>
  <c r="U44" i="4"/>
  <c r="I41" i="4"/>
  <c r="U41" i="4"/>
  <c r="I42" i="4"/>
  <c r="U42" i="4"/>
  <c r="I38" i="4"/>
  <c r="U38" i="4"/>
  <c r="I39" i="4"/>
  <c r="U39" i="4"/>
  <c r="I31" i="4"/>
  <c r="U31" i="4"/>
  <c r="I32" i="4"/>
  <c r="U32" i="4"/>
  <c r="H82" i="4" l="1"/>
  <c r="I82" i="4" s="1"/>
  <c r="I81" i="4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2" i="4"/>
  <c r="G72" i="4" s="1"/>
  <c r="F71" i="4"/>
  <c r="G71" i="4" s="1"/>
  <c r="BB82" i="4"/>
  <c r="BA82" i="4"/>
  <c r="AZ82" i="4"/>
  <c r="AY82" i="4"/>
  <c r="AX82" i="4"/>
  <c r="AW82" i="4"/>
  <c r="AV82" i="4"/>
  <c r="AU82" i="4"/>
  <c r="AT82" i="4"/>
  <c r="AS82" i="4"/>
  <c r="AR82" i="4"/>
  <c r="AQ82" i="4"/>
  <c r="AC82" i="4"/>
  <c r="O82" i="4"/>
  <c r="L82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C81" i="4"/>
  <c r="V81" i="4"/>
  <c r="O81" i="4"/>
  <c r="L81" i="4"/>
  <c r="S82" i="4" l="1"/>
  <c r="S81" i="4"/>
  <c r="F82" i="4"/>
  <c r="V82" i="4" s="1"/>
  <c r="G82" i="4" l="1"/>
  <c r="T82" i="4"/>
  <c r="U82" i="4"/>
  <c r="AA82" i="4" s="1"/>
  <c r="U81" i="4"/>
  <c r="AA81" i="4" s="1"/>
  <c r="T81" i="4"/>
  <c r="Y82" i="4"/>
  <c r="Y81" i="4"/>
  <c r="AB82" i="4" l="1"/>
  <c r="AD82" i="4" s="1"/>
  <c r="AB81" i="4"/>
  <c r="AD81" i="4" s="1"/>
  <c r="F14" i="2"/>
  <c r="AS6" i="12" l="1"/>
  <c r="AS5" i="12"/>
  <c r="AS4" i="12"/>
  <c r="AS3" i="12"/>
  <c r="AS7" i="12" s="1"/>
  <c r="AO8" i="12"/>
  <c r="AO7" i="12"/>
  <c r="AO6" i="12"/>
  <c r="AO9" i="12" s="1"/>
  <c r="AO5" i="12"/>
  <c r="AO4" i="12"/>
  <c r="AO3" i="12"/>
  <c r="AK10" i="12"/>
  <c r="AK9" i="12"/>
  <c r="AK8" i="12"/>
  <c r="AK7" i="12"/>
  <c r="AK6" i="12"/>
  <c r="AK5" i="12"/>
  <c r="AK4" i="12"/>
  <c r="AK3" i="12"/>
  <c r="AG6" i="12"/>
  <c r="AG5" i="12"/>
  <c r="AG4" i="12"/>
  <c r="AG3" i="12"/>
  <c r="AG7" i="12" s="1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3" i="12"/>
  <c r="AC27" i="12" s="1"/>
  <c r="AK11" i="12" l="1"/>
  <c r="AG22" i="12" s="1"/>
  <c r="Q35" i="2"/>
  <c r="AC64" i="4" l="1"/>
  <c r="F64" i="4"/>
  <c r="G64" i="4" s="1"/>
  <c r="AC63" i="4"/>
  <c r="F63" i="4"/>
  <c r="E63" i="4"/>
  <c r="I63" i="4" l="1"/>
  <c r="L63" i="4"/>
  <c r="G63" i="4"/>
  <c r="V63" i="4"/>
  <c r="V64" i="4"/>
  <c r="CR37" i="2" l="1"/>
  <c r="CR36" i="2"/>
  <c r="CR35" i="2"/>
  <c r="CR34" i="2"/>
  <c r="CR33" i="2"/>
  <c r="CR31" i="2"/>
  <c r="CR30" i="2"/>
  <c r="CR29" i="2"/>
  <c r="CR28" i="2"/>
  <c r="CR26" i="2"/>
  <c r="CR25" i="2"/>
  <c r="CR24" i="2"/>
  <c r="CR23" i="2"/>
  <c r="CR22" i="2"/>
  <c r="CR21" i="2"/>
  <c r="CR20" i="2"/>
  <c r="CR19" i="2"/>
  <c r="CR18" i="2"/>
  <c r="CR17" i="2"/>
  <c r="CR16" i="2"/>
  <c r="CR15" i="2"/>
  <c r="CR14" i="2"/>
  <c r="CR13" i="2"/>
  <c r="CR12" i="2"/>
  <c r="CR11" i="2"/>
  <c r="CR10" i="2"/>
  <c r="CR9" i="2"/>
  <c r="CR8" i="2"/>
  <c r="CQ37" i="2"/>
  <c r="CQ36" i="2"/>
  <c r="CQ35" i="2"/>
  <c r="CQ34" i="2"/>
  <c r="CQ33" i="2"/>
  <c r="CQ30" i="2"/>
  <c r="CQ29" i="2"/>
  <c r="CQ28" i="2"/>
  <c r="CQ26" i="2"/>
  <c r="CQ25" i="2"/>
  <c r="CQ24" i="2"/>
  <c r="CQ23" i="2"/>
  <c r="CQ22" i="2"/>
  <c r="CQ21" i="2"/>
  <c r="CQ20" i="2"/>
  <c r="CQ19" i="2"/>
  <c r="CQ18" i="2"/>
  <c r="CQ17" i="2"/>
  <c r="CQ16" i="2"/>
  <c r="CQ15" i="2"/>
  <c r="CQ14" i="2"/>
  <c r="CQ13" i="2"/>
  <c r="CQ12" i="2"/>
  <c r="CQ11" i="2"/>
  <c r="CQ10" i="2"/>
  <c r="CQ9" i="2"/>
  <c r="CQ8" i="2"/>
  <c r="Q30" i="10"/>
  <c r="Q29" i="10"/>
  <c r="Q28" i="10"/>
  <c r="Q27" i="10"/>
  <c r="Q26" i="10"/>
  <c r="Q25" i="10"/>
  <c r="Q23" i="10"/>
  <c r="Q21" i="10"/>
  <c r="Q19" i="10"/>
  <c r="Q18" i="10"/>
  <c r="Q17" i="10"/>
  <c r="Q16" i="10"/>
  <c r="Q15" i="10"/>
  <c r="Q14" i="10"/>
  <c r="Q13" i="10"/>
  <c r="Q12" i="10"/>
  <c r="Q11" i="10"/>
  <c r="Q10" i="10"/>
  <c r="Q8" i="10"/>
  <c r="Q7" i="10"/>
  <c r="Q6" i="10"/>
  <c r="AV7" i="2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CP8" i="2"/>
  <c r="H32" i="2"/>
  <c r="Q24" i="10" l="1"/>
  <c r="E61" i="4" l="1"/>
  <c r="E60" i="4"/>
  <c r="E59" i="4"/>
  <c r="E57" i="4"/>
  <c r="E56" i="4"/>
  <c r="AC61" i="4"/>
  <c r="AC60" i="4"/>
  <c r="AC59" i="4"/>
  <c r="AC58" i="4"/>
  <c r="R265" i="6" s="1"/>
  <c r="AC57" i="4"/>
  <c r="AC56" i="4"/>
  <c r="F56" i="4"/>
  <c r="L59" i="4" l="1"/>
  <c r="I59" i="4"/>
  <c r="L60" i="4"/>
  <c r="I60" i="4"/>
  <c r="L57" i="4"/>
  <c r="I57" i="4"/>
  <c r="L61" i="4"/>
  <c r="I61" i="4"/>
  <c r="L56" i="4"/>
  <c r="I56" i="4"/>
  <c r="F60" i="4"/>
  <c r="G60" i="4" s="1"/>
  <c r="F57" i="4"/>
  <c r="G56" i="4"/>
  <c r="V56" i="4"/>
  <c r="F59" i="4"/>
  <c r="F58" i="4"/>
  <c r="F61" i="4"/>
  <c r="V60" i="4" l="1"/>
  <c r="G57" i="4"/>
  <c r="V57" i="4"/>
  <c r="V59" i="4"/>
  <c r="G59" i="4"/>
  <c r="G61" i="4"/>
  <c r="V61" i="4"/>
  <c r="G58" i="4"/>
  <c r="V58" i="4"/>
  <c r="L26" i="2" l="1"/>
  <c r="E30" i="2" l="1"/>
  <c r="E31" i="2" s="1"/>
  <c r="W32" i="2" l="1"/>
  <c r="Q32" i="2"/>
  <c r="K32" i="2"/>
  <c r="J32" i="2"/>
  <c r="I32" i="2"/>
  <c r="G32" i="2"/>
  <c r="BS31" i="2"/>
  <c r="CQ31" i="2" s="1"/>
  <c r="S32" i="2" l="1"/>
  <c r="T32" i="2"/>
  <c r="V32" i="2" l="1"/>
  <c r="CR7" i="2"/>
  <c r="CS7" i="2" s="1"/>
  <c r="CT7" i="2" s="1"/>
  <c r="CU7" i="2" s="1"/>
  <c r="CV7" i="2" s="1"/>
  <c r="CW7" i="2" s="1"/>
  <c r="CX7" i="2" s="1"/>
  <c r="CY7" i="2" s="1"/>
  <c r="CZ7" i="2" s="1"/>
  <c r="DA7" i="2" s="1"/>
  <c r="DB7" i="2" s="1"/>
  <c r="BT7" i="2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BT86" i="11"/>
  <c r="U6" i="12" l="1"/>
  <c r="V6" i="12"/>
  <c r="W6" i="12" s="1"/>
  <c r="V5" i="12"/>
  <c r="S5" i="12"/>
  <c r="U5" i="12" s="1"/>
  <c r="D3" i="6"/>
  <c r="W5" i="12" l="1"/>
  <c r="M13" i="12" l="1"/>
  <c r="M9" i="12" l="1"/>
  <c r="L9" i="12"/>
  <c r="D376" i="6" l="1"/>
  <c r="E376" i="6" l="1"/>
  <c r="E388" i="6" l="1"/>
  <c r="E389" i="6"/>
  <c r="E391" i="6"/>
  <c r="E387" i="6"/>
  <c r="E377" i="6"/>
  <c r="E378" i="6"/>
  <c r="E379" i="6"/>
  <c r="E380" i="6"/>
  <c r="E381" i="6"/>
  <c r="E382" i="6"/>
  <c r="E383" i="6"/>
  <c r="E384" i="6"/>
  <c r="E385" i="6"/>
  <c r="E386" i="6"/>
  <c r="E390" i="6"/>
  <c r="O24" i="10" l="1"/>
  <c r="F9" i="4" l="1"/>
  <c r="O9" i="4"/>
  <c r="AC9" i="4"/>
  <c r="G9" i="4" l="1"/>
  <c r="BU90" i="11" a="1"/>
  <c r="BU90" i="11" s="1"/>
  <c r="BT87" i="11"/>
  <c r="BT88" i="11"/>
  <c r="BT89" i="11"/>
  <c r="BT90" i="11"/>
  <c r="BU46" i="11" l="1" a="1"/>
  <c r="BU46" i="11" s="1"/>
  <c r="BU60" i="11" a="1"/>
  <c r="BU60" i="11" s="1"/>
  <c r="BU15" i="11" a="1"/>
  <c r="BU15" i="11" s="1"/>
  <c r="BU62" i="11" a="1"/>
  <c r="BU62" i="11" s="1"/>
  <c r="BU63" i="11" a="1"/>
  <c r="BU63" i="11" s="1"/>
  <c r="BU37" i="11" a="1"/>
  <c r="BU37" i="11" s="1"/>
  <c r="BU6" i="11" a="1"/>
  <c r="BU6" i="11" s="1"/>
  <c r="BU51" i="11" a="1"/>
  <c r="BU51" i="11" s="1"/>
  <c r="BU27" i="11" a="1"/>
  <c r="BU27" i="11" s="1"/>
  <c r="BU68" i="11" a="1"/>
  <c r="BU68" i="11" s="1"/>
  <c r="BU4" i="11" a="1"/>
  <c r="BU4" i="11" s="1"/>
  <c r="BU54" i="11" a="1"/>
  <c r="BU54" i="11" s="1"/>
  <c r="BU29" i="11" a="1"/>
  <c r="BU29" i="11" s="1"/>
  <c r="BU14" i="11" a="1"/>
  <c r="BU14" i="11" s="1"/>
  <c r="BU61" i="11" a="1"/>
  <c r="BU61" i="11" s="1"/>
  <c r="BU39" i="11" a="1"/>
  <c r="BU39" i="11" s="1"/>
  <c r="BU74" i="11" a="1"/>
  <c r="BU74" i="11" s="1"/>
  <c r="BU8" i="11" a="1"/>
  <c r="BU8" i="11" s="1"/>
  <c r="BU66" i="11" a="1"/>
  <c r="BU66" i="11" s="1"/>
  <c r="BU41" i="11" a="1"/>
  <c r="BU41" i="11" s="1"/>
  <c r="BU22" i="11" a="1"/>
  <c r="BU22" i="11" s="1"/>
  <c r="BU73" i="11" a="1"/>
  <c r="BU73" i="11" s="1"/>
  <c r="BU75" i="11" a="1"/>
  <c r="BU75" i="11" s="1"/>
  <c r="BU80" i="11" a="1"/>
  <c r="BU80" i="11" s="1"/>
  <c r="BU12" i="11" a="1"/>
  <c r="BU12" i="11" s="1"/>
  <c r="BU49" i="11" a="1"/>
  <c r="BU49" i="11" s="1"/>
  <c r="BU59" i="11" a="1"/>
  <c r="BU59" i="11" s="1"/>
  <c r="BU34" i="11" a="1"/>
  <c r="BU34" i="11" s="1"/>
  <c r="BU85" i="11" a="1"/>
  <c r="BU85" i="11" s="1"/>
  <c r="BU3" i="11" a="1"/>
  <c r="BU3" i="11" s="1"/>
  <c r="BU36" i="11" a="1"/>
  <c r="BU36" i="11" s="1"/>
  <c r="BU20" i="11" a="1"/>
  <c r="BU20" i="11" s="1"/>
  <c r="BU64" i="11" a="1"/>
  <c r="BU64" i="11" s="1"/>
  <c r="BU50" i="11" a="1"/>
  <c r="BU50" i="11" s="1"/>
  <c r="BU42" i="11" a="1"/>
  <c r="BU42" i="11" s="1"/>
  <c r="BU23" i="11" a="1"/>
  <c r="BU23" i="11" s="1"/>
  <c r="BU7" i="11" a="1"/>
  <c r="BU7" i="11" s="1"/>
  <c r="BU44" i="11" a="1"/>
  <c r="BU44" i="11" s="1"/>
  <c r="BU28" i="11" a="1"/>
  <c r="BU28" i="11" s="1"/>
  <c r="BU76" i="11" a="1"/>
  <c r="BU76" i="11" s="1"/>
  <c r="BU65" i="11" a="1"/>
  <c r="BU65" i="11" s="1"/>
  <c r="BU72" i="11" a="1"/>
  <c r="BU72" i="11" s="1"/>
  <c r="BU35" i="11" a="1"/>
  <c r="BU35" i="11" s="1"/>
  <c r="BU11" i="11" a="1"/>
  <c r="BU11" i="11" s="1"/>
  <c r="BU81" i="11" a="1"/>
  <c r="BU81" i="11" s="1"/>
  <c r="BU40" i="11" a="1"/>
  <c r="BU40" i="11" s="1"/>
  <c r="BU21" i="11" a="1"/>
  <c r="BU21" i="11" s="1"/>
  <c r="BU71" i="11" a="1"/>
  <c r="BU71" i="11" s="1"/>
  <c r="BU2" i="11" a="1"/>
  <c r="BU2" i="11" s="1"/>
  <c r="BU56" i="11" a="1"/>
  <c r="BU56" i="11" s="1"/>
  <c r="BU19" i="11" a="1"/>
  <c r="BU19" i="11" s="1"/>
  <c r="BU48" i="11" a="1"/>
  <c r="BU48" i="11" s="1"/>
  <c r="BU53" i="11" a="1"/>
  <c r="BU53" i="11" s="1"/>
  <c r="BU33" i="11" a="1"/>
  <c r="BU33" i="11" s="1"/>
  <c r="BU77" i="11" a="1"/>
  <c r="BU77" i="11" s="1"/>
  <c r="BU10" i="11" a="1"/>
  <c r="BU10" i="11" s="1"/>
  <c r="BU78" i="11" a="1"/>
  <c r="BU78" i="11" s="1"/>
  <c r="BU31" i="11" a="1"/>
  <c r="BU31" i="11" s="1"/>
  <c r="BU57" i="11" a="1"/>
  <c r="BU57" i="11" s="1"/>
  <c r="BU58" i="11" a="1"/>
  <c r="BU58" i="11" s="1"/>
  <c r="BU45" i="11" a="1"/>
  <c r="BU45" i="11" s="1"/>
  <c r="BU83" i="11" a="1"/>
  <c r="BU83" i="11" s="1"/>
  <c r="BU17" i="11" a="1"/>
  <c r="BU17" i="11" s="1"/>
  <c r="BU18" i="11" a="1"/>
  <c r="BU18" i="11" s="1"/>
  <c r="BU47" i="11" a="1"/>
  <c r="BU47" i="11" s="1"/>
  <c r="BU43" i="11" a="1"/>
  <c r="BU43" i="11" s="1"/>
  <c r="BU16" i="11" a="1"/>
  <c r="BU16" i="11" s="1"/>
  <c r="BU70" i="11" a="1"/>
  <c r="BU70" i="11" s="1"/>
  <c r="BU5" i="11" a="1"/>
  <c r="BU5" i="11" s="1"/>
  <c r="BU38" i="11" a="1"/>
  <c r="BU38" i="11" s="1"/>
  <c r="BU26" i="11" a="1"/>
  <c r="BU26" i="11" s="1"/>
  <c r="BU67" i="11" a="1"/>
  <c r="BU67" i="11" s="1"/>
  <c r="BU69" i="11" a="1"/>
  <c r="BU69" i="11" s="1"/>
  <c r="BU24" i="11" a="1"/>
  <c r="BU24" i="11" s="1"/>
  <c r="BU82" i="11" a="1"/>
  <c r="BU82" i="11" s="1"/>
  <c r="BU9" i="11" a="1"/>
  <c r="BU9" i="11" s="1"/>
  <c r="BU55" i="11" a="1"/>
  <c r="BU55" i="11" s="1"/>
  <c r="BU30" i="11" a="1"/>
  <c r="BU30" i="11" s="1"/>
  <c r="BU79" i="11" a="1"/>
  <c r="BU79" i="11" s="1"/>
  <c r="BU52" i="11" a="1"/>
  <c r="BU52" i="11" s="1"/>
  <c r="BU32" i="11" a="1"/>
  <c r="BU32" i="11" s="1"/>
  <c r="BU25" i="11" a="1"/>
  <c r="BU25" i="11" s="1"/>
  <c r="BU13" i="11" a="1"/>
  <c r="BU13" i="11" s="1"/>
  <c r="BU84" i="11" a="1"/>
  <c r="BU84" i="11" s="1"/>
  <c r="BU86" i="11" a="1"/>
  <c r="BU86" i="11" s="1"/>
  <c r="BU88" i="11" a="1"/>
  <c r="BU88" i="11" s="1"/>
  <c r="BU87" i="11" a="1"/>
  <c r="BU87" i="11" s="1"/>
  <c r="BU89" i="11" a="1"/>
  <c r="BU89" i="11" s="1"/>
  <c r="K27" i="2" l="1"/>
  <c r="O22" i="10" s="1"/>
  <c r="K14" i="2"/>
  <c r="J9" i="4"/>
  <c r="V9" i="4" s="1"/>
  <c r="E34" i="2"/>
  <c r="E35" i="2"/>
  <c r="E37" i="2"/>
  <c r="E36" i="2"/>
  <c r="E28" i="2"/>
  <c r="E26" i="2"/>
  <c r="E25" i="2"/>
  <c r="E24" i="2"/>
  <c r="E23" i="2"/>
  <c r="I20" i="10" s="1"/>
  <c r="E21" i="2"/>
  <c r="E20" i="2"/>
  <c r="E19" i="2"/>
  <c r="E18" i="2"/>
  <c r="E17" i="2"/>
  <c r="E16" i="2"/>
  <c r="E15" i="2"/>
  <c r="E14" i="2"/>
  <c r="E13" i="2"/>
  <c r="E12" i="2"/>
  <c r="E11" i="2"/>
  <c r="E9" i="2"/>
  <c r="K31" i="2" l="1"/>
  <c r="F23" i="2"/>
  <c r="J20" i="10" s="1"/>
  <c r="D374" i="6"/>
  <c r="D372" i="6"/>
  <c r="D370" i="6"/>
  <c r="E374" i="6"/>
  <c r="E372" i="6"/>
  <c r="E373" i="6" s="1"/>
  <c r="AQ91" i="4" s="1"/>
  <c r="E370" i="6"/>
  <c r="E371" i="6" s="1"/>
  <c r="E356" i="6"/>
  <c r="BB89" i="4"/>
  <c r="BA89" i="4"/>
  <c r="AZ89" i="4"/>
  <c r="AY89" i="4"/>
  <c r="AX89" i="4"/>
  <c r="AW89" i="4"/>
  <c r="AV89" i="4"/>
  <c r="AU89" i="4"/>
  <c r="AT89" i="4"/>
  <c r="AS89" i="4"/>
  <c r="AR89" i="4"/>
  <c r="AQ89" i="4"/>
  <c r="S89" i="4" l="1"/>
  <c r="E375" i="6"/>
  <c r="AQ92" i="4" s="1"/>
  <c r="AQ90" i="4"/>
  <c r="U89" i="4" l="1"/>
  <c r="T89" i="4"/>
  <c r="E323" i="6"/>
  <c r="E344" i="6" s="1"/>
  <c r="E343" i="6" l="1"/>
  <c r="F92" i="4"/>
  <c r="F91" i="4"/>
  <c r="F90" i="4"/>
  <c r="E91" i="4"/>
  <c r="E90" i="4"/>
  <c r="E55" i="4" l="1"/>
  <c r="E65" i="4"/>
  <c r="L65" i="4" l="1"/>
  <c r="I65" i="4"/>
  <c r="I55" i="4"/>
  <c r="L55" i="4"/>
  <c r="E54" i="4"/>
  <c r="E53" i="4"/>
  <c r="F62" i="4"/>
  <c r="G62" i="4" s="1"/>
  <c r="F55" i="4"/>
  <c r="F53" i="4"/>
  <c r="AC67" i="4"/>
  <c r="AC65" i="4"/>
  <c r="AC62" i="4"/>
  <c r="AC55" i="4"/>
  <c r="AC54" i="4"/>
  <c r="AC53" i="4"/>
  <c r="L53" i="4" l="1"/>
  <c r="I53" i="4"/>
  <c r="L54" i="4"/>
  <c r="I54" i="4"/>
  <c r="G55" i="4"/>
  <c r="V55" i="4"/>
  <c r="V53" i="4"/>
  <c r="G53" i="4"/>
  <c r="V62" i="4"/>
  <c r="F54" i="4"/>
  <c r="F65" i="4"/>
  <c r="I92" i="4"/>
  <c r="I91" i="4"/>
  <c r="I90" i="4"/>
  <c r="G92" i="4"/>
  <c r="G91" i="4"/>
  <c r="G90" i="4"/>
  <c r="AC92" i="4"/>
  <c r="V92" i="4"/>
  <c r="O92" i="4"/>
  <c r="L92" i="4"/>
  <c r="AC91" i="4"/>
  <c r="V91" i="4"/>
  <c r="O91" i="4"/>
  <c r="L91" i="4"/>
  <c r="AC90" i="4"/>
  <c r="V90" i="4"/>
  <c r="O90" i="4"/>
  <c r="L90" i="4"/>
  <c r="G65" i="4" l="1"/>
  <c r="V65" i="4"/>
  <c r="V54" i="4"/>
  <c r="G54" i="4"/>
  <c r="H69" i="4" l="1"/>
  <c r="H70" i="4"/>
  <c r="F70" i="4" s="1"/>
  <c r="F10" i="4"/>
  <c r="J67" i="4"/>
  <c r="F69" i="4" l="1"/>
  <c r="U69" i="4"/>
  <c r="K23" i="2"/>
  <c r="O20" i="10" s="1"/>
  <c r="K30" i="2" l="1"/>
  <c r="O25" i="10" s="1"/>
  <c r="F37" i="2"/>
  <c r="K37" i="2" s="1"/>
  <c r="O30" i="10" s="1"/>
  <c r="F36" i="2"/>
  <c r="K36" i="2" s="1"/>
  <c r="O29" i="10" s="1"/>
  <c r="F35" i="2"/>
  <c r="K35" i="2" s="1"/>
  <c r="O28" i="10" s="1"/>
  <c r="F34" i="2"/>
  <c r="K34" i="2" s="1"/>
  <c r="O27" i="10" s="1"/>
  <c r="F33" i="2"/>
  <c r="K33" i="2" s="1"/>
  <c r="O26" i="10" s="1"/>
  <c r="F28" i="2"/>
  <c r="K28" i="2" s="1"/>
  <c r="O23" i="10" s="1"/>
  <c r="F26" i="2"/>
  <c r="K26" i="2" s="1"/>
  <c r="O21" i="10" s="1"/>
  <c r="F25" i="2"/>
  <c r="F22" i="2"/>
  <c r="K22" i="2" s="1"/>
  <c r="F21" i="2"/>
  <c r="K21" i="2" s="1"/>
  <c r="O19" i="10" s="1"/>
  <c r="F20" i="2"/>
  <c r="K20" i="2" s="1"/>
  <c r="O18" i="10" s="1"/>
  <c r="F19" i="2"/>
  <c r="K19" i="2" s="1"/>
  <c r="O17" i="10" s="1"/>
  <c r="F18" i="2"/>
  <c r="K18" i="2" s="1"/>
  <c r="O16" i="10" s="1"/>
  <c r="F17" i="2"/>
  <c r="K17" i="2" s="1"/>
  <c r="O15" i="10" s="1"/>
  <c r="F16" i="2"/>
  <c r="K16" i="2" s="1"/>
  <c r="O14" i="10" s="1"/>
  <c r="F15" i="2"/>
  <c r="O12" i="10"/>
  <c r="F13" i="2"/>
  <c r="F12" i="2"/>
  <c r="K12" i="2" s="1"/>
  <c r="O10" i="10" s="1"/>
  <c r="F11" i="2"/>
  <c r="K11" i="2" s="1"/>
  <c r="O9" i="10" s="1"/>
  <c r="F10" i="2"/>
  <c r="K10" i="2" s="1"/>
  <c r="O8" i="10" s="1"/>
  <c r="K9" i="2"/>
  <c r="O7" i="10" s="1"/>
  <c r="F8" i="2"/>
  <c r="K15" i="2" l="1"/>
  <c r="O13" i="10" s="1"/>
  <c r="G15" i="2"/>
  <c r="K13" i="2"/>
  <c r="O11" i="10" s="1"/>
  <c r="K24" i="2"/>
  <c r="K8" i="2"/>
  <c r="O6" i="10" s="1"/>
  <c r="K25" i="2"/>
  <c r="X7" i="2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I30" i="10" l="1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1" i="10"/>
  <c r="H21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W43" i="4" l="1"/>
  <c r="W37" i="4"/>
  <c r="W33" i="4"/>
  <c r="W29" i="4"/>
  <c r="W26" i="4"/>
  <c r="W21" i="4"/>
  <c r="W18" i="4"/>
  <c r="W17" i="4"/>
  <c r="W15" i="4"/>
  <c r="W12" i="4"/>
  <c r="W11" i="4"/>
  <c r="W10" i="4"/>
  <c r="J24" i="10" l="1"/>
  <c r="BB88" i="4"/>
  <c r="BA88" i="4"/>
  <c r="AZ88" i="4"/>
  <c r="AY88" i="4"/>
  <c r="AX88" i="4"/>
  <c r="AW88" i="4"/>
  <c r="AV88" i="4"/>
  <c r="AU88" i="4"/>
  <c r="AT88" i="4"/>
  <c r="AS88" i="4"/>
  <c r="AR88" i="4"/>
  <c r="AQ88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S40" i="4" l="1"/>
  <c r="S47" i="4"/>
  <c r="S71" i="4"/>
  <c r="S74" i="4"/>
  <c r="S75" i="4"/>
  <c r="S76" i="4"/>
  <c r="S77" i="4"/>
  <c r="S78" i="4"/>
  <c r="S79" i="4"/>
  <c r="S80" i="4"/>
  <c r="S83" i="4"/>
  <c r="S84" i="4"/>
  <c r="S85" i="4"/>
  <c r="S86" i="4"/>
  <c r="S87" i="4"/>
  <c r="S88" i="4"/>
  <c r="Y89" i="4"/>
  <c r="AR7" i="4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E263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Y88" i="4" l="1"/>
  <c r="U88" i="4"/>
  <c r="T88" i="4"/>
  <c r="Y87" i="4"/>
  <c r="U87" i="4"/>
  <c r="T87" i="4"/>
  <c r="Y86" i="4"/>
  <c r="U86" i="4"/>
  <c r="T86" i="4"/>
  <c r="Y85" i="4"/>
  <c r="U85" i="4"/>
  <c r="T85" i="4"/>
  <c r="Y84" i="4"/>
  <c r="U84" i="4"/>
  <c r="T84" i="4"/>
  <c r="Y83" i="4"/>
  <c r="U83" i="4"/>
  <c r="T83" i="4"/>
  <c r="Y80" i="4"/>
  <c r="T80" i="4"/>
  <c r="U80" i="4"/>
  <c r="Y79" i="4"/>
  <c r="T79" i="4"/>
  <c r="U79" i="4"/>
  <c r="Y78" i="4"/>
  <c r="T78" i="4"/>
  <c r="U78" i="4"/>
  <c r="Y77" i="4"/>
  <c r="U77" i="4"/>
  <c r="T77" i="4"/>
  <c r="Y76" i="4"/>
  <c r="U76" i="4"/>
  <c r="T76" i="4"/>
  <c r="Y75" i="4"/>
  <c r="U75" i="4"/>
  <c r="T75" i="4"/>
  <c r="Y74" i="4"/>
  <c r="T74" i="4"/>
  <c r="U74" i="4"/>
  <c r="Y71" i="4"/>
  <c r="U71" i="4"/>
  <c r="T71" i="4"/>
  <c r="Y47" i="4"/>
  <c r="Y40" i="4"/>
  <c r="Q37" i="2"/>
  <c r="Q36" i="2"/>
  <c r="Q34" i="2"/>
  <c r="Q33" i="2"/>
  <c r="Q31" i="2"/>
  <c r="Q29" i="2"/>
  <c r="Q28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J30" i="10"/>
  <c r="J29" i="10"/>
  <c r="J28" i="10"/>
  <c r="J27" i="10"/>
  <c r="J25" i="10"/>
  <c r="J23" i="10"/>
  <c r="J21" i="10"/>
  <c r="J19" i="10"/>
  <c r="J18" i="10"/>
  <c r="J17" i="10"/>
  <c r="J16" i="10"/>
  <c r="J15" i="10"/>
  <c r="J14" i="10"/>
  <c r="J13" i="10"/>
  <c r="J12" i="10"/>
  <c r="J11" i="10"/>
  <c r="J10" i="10"/>
  <c r="J9" i="10"/>
  <c r="J7" i="10"/>
  <c r="J6" i="10"/>
  <c r="AC89" i="4"/>
  <c r="AC88" i="4"/>
  <c r="AC87" i="4"/>
  <c r="AC86" i="4"/>
  <c r="AC85" i="4"/>
  <c r="AC84" i="4"/>
  <c r="AC83" i="4"/>
  <c r="AC80" i="4"/>
  <c r="AC79" i="4"/>
  <c r="AC78" i="4"/>
  <c r="AC77" i="4"/>
  <c r="AC76" i="4"/>
  <c r="AC75" i="4"/>
  <c r="AC74" i="4"/>
  <c r="AC72" i="4"/>
  <c r="AC71" i="4"/>
  <c r="AC70" i="4"/>
  <c r="AC69" i="4"/>
  <c r="AC68" i="4"/>
  <c r="AC52" i="4"/>
  <c r="R280" i="6" s="1"/>
  <c r="AC51" i="4"/>
  <c r="AC50" i="4"/>
  <c r="AC49" i="4"/>
  <c r="AC48" i="4"/>
  <c r="AC47" i="4"/>
  <c r="AC46" i="4"/>
  <c r="AC45" i="4"/>
  <c r="AC44" i="4"/>
  <c r="R277" i="6" s="1"/>
  <c r="AC43" i="4"/>
  <c r="R274" i="6" s="1"/>
  <c r="AC42" i="4"/>
  <c r="AC41" i="4"/>
  <c r="AC40" i="4"/>
  <c r="AC39" i="4"/>
  <c r="AC38" i="4"/>
  <c r="AC37" i="4"/>
  <c r="AC36" i="4"/>
  <c r="AC35" i="4"/>
  <c r="AC34" i="4"/>
  <c r="AC33" i="4"/>
  <c r="AC32" i="4"/>
  <c r="R282" i="6" s="1"/>
  <c r="AC31" i="4"/>
  <c r="R281" i="6" s="1"/>
  <c r="AC30" i="4"/>
  <c r="R278" i="6" s="1"/>
  <c r="AC29" i="4"/>
  <c r="AC28" i="4"/>
  <c r="R275" i="6" s="1"/>
  <c r="AC27" i="4"/>
  <c r="AC26" i="4"/>
  <c r="AC25" i="4"/>
  <c r="AC24" i="4"/>
  <c r="AC23" i="4"/>
  <c r="AC22" i="4"/>
  <c r="AC21" i="4"/>
  <c r="AC20" i="4"/>
  <c r="AC19" i="4"/>
  <c r="R271" i="6" s="1"/>
  <c r="AC18" i="4"/>
  <c r="AC17" i="4"/>
  <c r="AC16" i="4"/>
  <c r="AC15" i="4"/>
  <c r="AC14" i="4"/>
  <c r="AC13" i="4"/>
  <c r="R272" i="6" s="1"/>
  <c r="AC12" i="4"/>
  <c r="AC11" i="4"/>
  <c r="AC10" i="4"/>
  <c r="AC8" i="4"/>
  <c r="J33" i="2" l="1"/>
  <c r="N26" i="10" s="1"/>
  <c r="J26" i="10"/>
  <c r="J10" i="2"/>
  <c r="N8" i="10" s="1"/>
  <c r="J8" i="10"/>
  <c r="J22" i="2"/>
  <c r="D4" i="7"/>
  <c r="D42" i="7" s="1"/>
  <c r="H30" i="2" s="1"/>
  <c r="D88" i="6"/>
  <c r="E365" i="6"/>
  <c r="P256" i="6"/>
  <c r="P261" i="6" s="1"/>
  <c r="O256" i="6"/>
  <c r="O261" i="6" s="1"/>
  <c r="N256" i="6"/>
  <c r="N261" i="6" s="1"/>
  <c r="M256" i="6"/>
  <c r="M261" i="6" s="1"/>
  <c r="L256" i="6"/>
  <c r="L261" i="6" s="1"/>
  <c r="K256" i="6"/>
  <c r="K261" i="6" s="1"/>
  <c r="J256" i="6"/>
  <c r="J261" i="6" s="1"/>
  <c r="I256" i="6"/>
  <c r="I261" i="6" s="1"/>
  <c r="H256" i="6"/>
  <c r="H261" i="6" s="1"/>
  <c r="G256" i="6"/>
  <c r="G261" i="6" s="1"/>
  <c r="F256" i="6"/>
  <c r="F261" i="6" s="1"/>
  <c r="E256" i="6"/>
  <c r="E261" i="6" s="1"/>
  <c r="P255" i="6"/>
  <c r="P260" i="6" s="1"/>
  <c r="O255" i="6"/>
  <c r="O260" i="6" s="1"/>
  <c r="N255" i="6"/>
  <c r="N260" i="6" s="1"/>
  <c r="M255" i="6"/>
  <c r="M260" i="6" s="1"/>
  <c r="L255" i="6"/>
  <c r="L260" i="6" s="1"/>
  <c r="K255" i="6"/>
  <c r="K260" i="6" s="1"/>
  <c r="J255" i="6"/>
  <c r="J260" i="6" s="1"/>
  <c r="I255" i="6"/>
  <c r="I260" i="6" s="1"/>
  <c r="H255" i="6"/>
  <c r="H260" i="6" s="1"/>
  <c r="G255" i="6"/>
  <c r="G260" i="6" s="1"/>
  <c r="F255" i="6"/>
  <c r="F260" i="6" s="1"/>
  <c r="E255" i="6"/>
  <c r="E260" i="6" s="1"/>
  <c r="P254" i="6"/>
  <c r="P259" i="6" s="1"/>
  <c r="O254" i="6"/>
  <c r="O259" i="6" s="1"/>
  <c r="N254" i="6"/>
  <c r="N259" i="6" s="1"/>
  <c r="M254" i="6"/>
  <c r="M259" i="6" s="1"/>
  <c r="L254" i="6"/>
  <c r="L259" i="6" s="1"/>
  <c r="K254" i="6"/>
  <c r="K259" i="6" s="1"/>
  <c r="J254" i="6"/>
  <c r="J259" i="6" s="1"/>
  <c r="I254" i="6"/>
  <c r="I259" i="6" s="1"/>
  <c r="H254" i="6"/>
  <c r="H259" i="6" s="1"/>
  <c r="G254" i="6"/>
  <c r="G259" i="6" s="1"/>
  <c r="F254" i="6"/>
  <c r="F259" i="6" s="1"/>
  <c r="E254" i="6"/>
  <c r="E259" i="6" s="1"/>
  <c r="D33" i="7" l="1"/>
  <c r="D39" i="7"/>
  <c r="D24" i="7"/>
  <c r="D20" i="7"/>
  <c r="D41" i="7"/>
  <c r="H29" i="2" s="1"/>
  <c r="D21" i="7"/>
  <c r="D43" i="7"/>
  <c r="H31" i="2" s="1"/>
  <c r="D36" i="7"/>
  <c r="D27" i="7"/>
  <c r="H23" i="2" s="1"/>
  <c r="L20" i="10" s="1"/>
  <c r="R20" i="10" s="1"/>
  <c r="D22" i="7"/>
  <c r="D28" i="7"/>
  <c r="H24" i="2" s="1"/>
  <c r="D48" i="7"/>
  <c r="H37" i="2" s="1"/>
  <c r="D46" i="7"/>
  <c r="H35" i="2" s="1"/>
  <c r="D37" i="7"/>
  <c r="D23" i="7"/>
  <c r="D32" i="7"/>
  <c r="D44" i="7"/>
  <c r="H33" i="2" s="1"/>
  <c r="D35" i="7"/>
  <c r="D26" i="7"/>
  <c r="H22" i="2" s="1"/>
  <c r="D47" i="7"/>
  <c r="H36" i="2" s="1"/>
  <c r="D30" i="7"/>
  <c r="D19" i="7"/>
  <c r="D25" i="7"/>
  <c r="H21" i="2" s="1"/>
  <c r="D40" i="7"/>
  <c r="D38" i="7"/>
  <c r="D31" i="7"/>
  <c r="D45" i="7"/>
  <c r="H34" i="2" s="1"/>
  <c r="D14" i="7"/>
  <c r="H15" i="2" s="1"/>
  <c r="D15" i="7"/>
  <c r="H16" i="2" s="1"/>
  <c r="D17" i="7"/>
  <c r="H18" i="2" s="1"/>
  <c r="D16" i="7"/>
  <c r="H17" i="2" s="1"/>
  <c r="D13" i="7"/>
  <c r="H14" i="2" s="1"/>
  <c r="D8" i="7"/>
  <c r="H9" i="2" s="1"/>
  <c r="D12" i="7"/>
  <c r="H13" i="2" s="1"/>
  <c r="D7" i="7"/>
  <c r="H8" i="2" s="1"/>
  <c r="D11" i="7"/>
  <c r="H12" i="2" s="1"/>
  <c r="D9" i="7"/>
  <c r="H10" i="2" s="1"/>
  <c r="I10" i="2" s="1"/>
  <c r="D10" i="7"/>
  <c r="H11" i="2" s="1"/>
  <c r="H20" i="2"/>
  <c r="E357" i="6"/>
  <c r="E358" i="6"/>
  <c r="E359" i="6"/>
  <c r="E360" i="6"/>
  <c r="E361" i="6"/>
  <c r="E362" i="6"/>
  <c r="E363" i="6"/>
  <c r="E364" i="6"/>
  <c r="D356" i="6"/>
  <c r="D349" i="6"/>
  <c r="D323" i="6"/>
  <c r="D297" i="6"/>
  <c r="D287" i="6"/>
  <c r="D263" i="6"/>
  <c r="D252" i="6"/>
  <c r="D242" i="6"/>
  <c r="D218" i="6"/>
  <c r="D208" i="6"/>
  <c r="D203" i="6"/>
  <c r="D182" i="6"/>
  <c r="D159" i="6"/>
  <c r="D136" i="6"/>
  <c r="D128" i="6"/>
  <c r="D112" i="6"/>
  <c r="D107" i="6"/>
  <c r="D67" i="6"/>
  <c r="D47" i="6"/>
  <c r="D27" i="6"/>
  <c r="F1" i="6"/>
  <c r="I18" i="2" l="1"/>
  <c r="D29" i="7"/>
  <c r="H25" i="2" s="1"/>
  <c r="I25" i="2" s="1"/>
  <c r="D18" i="7"/>
  <c r="H19" i="2" s="1"/>
  <c r="F376" i="6"/>
  <c r="F387" i="6" s="1"/>
  <c r="F392" i="6"/>
  <c r="F393" i="6" s="1"/>
  <c r="F356" i="6"/>
  <c r="F263" i="6"/>
  <c r="F286" i="6" s="1"/>
  <c r="D34" i="7"/>
  <c r="H28" i="2" s="1"/>
  <c r="L25" i="10"/>
  <c r="H26" i="2"/>
  <c r="H27" i="2"/>
  <c r="F374" i="6"/>
  <c r="F372" i="6"/>
  <c r="F373" i="6" s="1"/>
  <c r="AR91" i="4" s="1"/>
  <c r="I11" i="2"/>
  <c r="I16" i="2"/>
  <c r="G1" i="6"/>
  <c r="F370" i="6"/>
  <c r="F371" i="6" s="1"/>
  <c r="AR90" i="4" s="1"/>
  <c r="F323" i="6"/>
  <c r="E284" i="6"/>
  <c r="E280" i="6"/>
  <c r="E277" i="6"/>
  <c r="AQ44" i="4" s="1"/>
  <c r="E271" i="6"/>
  <c r="E265" i="6"/>
  <c r="AQ58" i="4" s="1"/>
  <c r="E282" i="6"/>
  <c r="AQ32" i="4" s="1"/>
  <c r="E279" i="6"/>
  <c r="E275" i="6"/>
  <c r="E268" i="6"/>
  <c r="E281" i="6"/>
  <c r="AQ31" i="4" s="1"/>
  <c r="E278" i="6"/>
  <c r="E274" i="6"/>
  <c r="E267" i="6"/>
  <c r="E283" i="6"/>
  <c r="E264" i="6"/>
  <c r="E285" i="6"/>
  <c r="E273" i="6"/>
  <c r="E269" i="6"/>
  <c r="E286" i="6"/>
  <c r="E276" i="6"/>
  <c r="E272" i="6"/>
  <c r="E270" i="6"/>
  <c r="E266" i="6"/>
  <c r="H1" i="6"/>
  <c r="L22" i="10" l="1"/>
  <c r="R22" i="10" s="1"/>
  <c r="F386" i="6"/>
  <c r="F383" i="6"/>
  <c r="F384" i="6"/>
  <c r="F379" i="6"/>
  <c r="F273" i="6"/>
  <c r="F275" i="6"/>
  <c r="F276" i="6"/>
  <c r="F265" i="6"/>
  <c r="AR58" i="4" s="1"/>
  <c r="F266" i="6"/>
  <c r="F279" i="6"/>
  <c r="F284" i="6"/>
  <c r="F267" i="6"/>
  <c r="F280" i="6"/>
  <c r="F268" i="6"/>
  <c r="F281" i="6"/>
  <c r="AR31" i="4" s="1"/>
  <c r="F269" i="6"/>
  <c r="F270" i="6"/>
  <c r="F283" i="6"/>
  <c r="F271" i="6"/>
  <c r="F272" i="6"/>
  <c r="F285" i="6"/>
  <c r="F264" i="6"/>
  <c r="F277" i="6"/>
  <c r="AR44" i="4" s="1"/>
  <c r="F278" i="6"/>
  <c r="F282" i="6"/>
  <c r="AR32" i="4" s="1"/>
  <c r="F381" i="6"/>
  <c r="F378" i="6"/>
  <c r="F391" i="6"/>
  <c r="F274" i="6"/>
  <c r="F385" i="6"/>
  <c r="F382" i="6"/>
  <c r="F389" i="6"/>
  <c r="F388" i="6"/>
  <c r="F377" i="6"/>
  <c r="F380" i="6"/>
  <c r="F390" i="6"/>
  <c r="H376" i="6"/>
  <c r="H380" i="6" s="1"/>
  <c r="H392" i="6"/>
  <c r="H393" i="6" s="1"/>
  <c r="H356" i="6"/>
  <c r="H263" i="6"/>
  <c r="G392" i="6"/>
  <c r="G393" i="6" s="1"/>
  <c r="G356" i="6"/>
  <c r="G263" i="6"/>
  <c r="F359" i="6"/>
  <c r="F360" i="6"/>
  <c r="F357" i="6"/>
  <c r="F361" i="6"/>
  <c r="F365" i="6"/>
  <c r="F364" i="6"/>
  <c r="F362" i="6"/>
  <c r="F363" i="6"/>
  <c r="F358" i="6"/>
  <c r="F375" i="6"/>
  <c r="AR92" i="4" s="1"/>
  <c r="I27" i="2"/>
  <c r="M22" i="10" s="1"/>
  <c r="H374" i="6"/>
  <c r="H372" i="6"/>
  <c r="H373" i="6" s="1"/>
  <c r="AT91" i="4" s="1"/>
  <c r="G374" i="6"/>
  <c r="G372" i="6"/>
  <c r="G373" i="6" s="1"/>
  <c r="AS91" i="4" s="1"/>
  <c r="H370" i="6"/>
  <c r="H371" i="6" s="1"/>
  <c r="AT90" i="4" s="1"/>
  <c r="H323" i="6"/>
  <c r="F344" i="6"/>
  <c r="F343" i="6"/>
  <c r="G370" i="6"/>
  <c r="G371" i="6" s="1"/>
  <c r="AS90" i="4" s="1"/>
  <c r="G323" i="6"/>
  <c r="E206" i="6"/>
  <c r="E257" i="6"/>
  <c r="E262" i="6" s="1"/>
  <c r="I1" i="6"/>
  <c r="H389" i="6" l="1"/>
  <c r="H377" i="6"/>
  <c r="H386" i="6"/>
  <c r="H384" i="6"/>
  <c r="H387" i="6"/>
  <c r="H381" i="6"/>
  <c r="H378" i="6"/>
  <c r="H383" i="6"/>
  <c r="H382" i="6"/>
  <c r="H379" i="6"/>
  <c r="H390" i="6"/>
  <c r="H391" i="6"/>
  <c r="H385" i="6"/>
  <c r="H388" i="6"/>
  <c r="G264" i="6"/>
  <c r="G275" i="6"/>
  <c r="G285" i="6"/>
  <c r="G282" i="6"/>
  <c r="AS32" i="4" s="1"/>
  <c r="G278" i="6"/>
  <c r="G266" i="6"/>
  <c r="G277" i="6"/>
  <c r="AS44" i="4" s="1"/>
  <c r="G276" i="6"/>
  <c r="G286" i="6"/>
  <c r="G274" i="6"/>
  <c r="G273" i="6"/>
  <c r="G281" i="6"/>
  <c r="AS31" i="4" s="1"/>
  <c r="G269" i="6"/>
  <c r="G284" i="6"/>
  <c r="G272" i="6"/>
  <c r="G283" i="6"/>
  <c r="G271" i="6"/>
  <c r="G270" i="6"/>
  <c r="G280" i="6"/>
  <c r="G268" i="6"/>
  <c r="G279" i="6"/>
  <c r="G267" i="6"/>
  <c r="G265" i="6"/>
  <c r="AS58" i="4" s="1"/>
  <c r="I376" i="6"/>
  <c r="I380" i="6" s="1"/>
  <c r="I392" i="6"/>
  <c r="I393" i="6" s="1"/>
  <c r="I356" i="6"/>
  <c r="I263" i="6"/>
  <c r="G365" i="6"/>
  <c r="G357" i="6"/>
  <c r="G364" i="6"/>
  <c r="G360" i="6"/>
  <c r="G363" i="6"/>
  <c r="G358" i="6"/>
  <c r="G359" i="6"/>
  <c r="G362" i="6"/>
  <c r="G361" i="6"/>
  <c r="H286" i="6"/>
  <c r="H270" i="6"/>
  <c r="H283" i="6"/>
  <c r="H266" i="6"/>
  <c r="H285" i="6"/>
  <c r="H269" i="6"/>
  <c r="H271" i="6"/>
  <c r="H284" i="6"/>
  <c r="H268" i="6"/>
  <c r="H279" i="6"/>
  <c r="H273" i="6"/>
  <c r="H267" i="6"/>
  <c r="H278" i="6"/>
  <c r="H281" i="6"/>
  <c r="AT31" i="4" s="1"/>
  <c r="H282" i="6"/>
  <c r="AT32" i="4" s="1"/>
  <c r="H265" i="6"/>
  <c r="AT58" i="4" s="1"/>
  <c r="H280" i="6"/>
  <c r="H264" i="6"/>
  <c r="H277" i="6"/>
  <c r="AT44" i="4" s="1"/>
  <c r="H276" i="6"/>
  <c r="H275" i="6"/>
  <c r="H272" i="6"/>
  <c r="H274" i="6"/>
  <c r="H365" i="6"/>
  <c r="H357" i="6"/>
  <c r="H364" i="6"/>
  <c r="H358" i="6"/>
  <c r="H359" i="6"/>
  <c r="H360" i="6"/>
  <c r="H361" i="6"/>
  <c r="H363" i="6"/>
  <c r="H362" i="6"/>
  <c r="H375" i="6"/>
  <c r="AT92" i="4" s="1"/>
  <c r="G375" i="6"/>
  <c r="AS92" i="4" s="1"/>
  <c r="I374" i="6"/>
  <c r="I372" i="6"/>
  <c r="I373" i="6" s="1"/>
  <c r="AU91" i="4" s="1"/>
  <c r="S91" i="4" s="1"/>
  <c r="G344" i="6"/>
  <c r="G343" i="6"/>
  <c r="H344" i="6"/>
  <c r="H343" i="6"/>
  <c r="I370" i="6"/>
  <c r="I371" i="6" s="1"/>
  <c r="AU90" i="4" s="1"/>
  <c r="S90" i="4" s="1"/>
  <c r="T90" i="4" s="1"/>
  <c r="I323" i="6"/>
  <c r="G257" i="6"/>
  <c r="G262" i="6" s="1"/>
  <c r="E204" i="6"/>
  <c r="E207" i="6"/>
  <c r="E205" i="6"/>
  <c r="E208" i="6" s="1"/>
  <c r="E211" i="6" s="1"/>
  <c r="AQ38" i="4" s="1"/>
  <c r="F205" i="6"/>
  <c r="F208" i="6" s="1"/>
  <c r="G206" i="6"/>
  <c r="F257" i="6"/>
  <c r="F262" i="6" s="1"/>
  <c r="F206" i="6"/>
  <c r="J1" i="6"/>
  <c r="I381" i="6" l="1"/>
  <c r="I377" i="6"/>
  <c r="I388" i="6"/>
  <c r="I382" i="6"/>
  <c r="I386" i="6"/>
  <c r="I390" i="6"/>
  <c r="I379" i="6"/>
  <c r="I383" i="6"/>
  <c r="I285" i="6"/>
  <c r="I273" i="6"/>
  <c r="I271" i="6"/>
  <c r="I280" i="6"/>
  <c r="I264" i="6"/>
  <c r="I274" i="6"/>
  <c r="I284" i="6"/>
  <c r="I272" i="6"/>
  <c r="I283" i="6"/>
  <c r="I268" i="6"/>
  <c r="I276" i="6"/>
  <c r="I286" i="6"/>
  <c r="I279" i="6"/>
  <c r="I267" i="6"/>
  <c r="I282" i="6"/>
  <c r="AU32" i="4" s="1"/>
  <c r="S32" i="4" s="1"/>
  <c r="Y32" i="4" s="1"/>
  <c r="I270" i="6"/>
  <c r="I281" i="6"/>
  <c r="AU31" i="4" s="1"/>
  <c r="S31" i="4" s="1"/>
  <c r="Y31" i="4" s="1"/>
  <c r="I269" i="6"/>
  <c r="I278" i="6"/>
  <c r="I266" i="6"/>
  <c r="I277" i="6"/>
  <c r="AU44" i="4" s="1"/>
  <c r="S44" i="4" s="1"/>
  <c r="Y44" i="4" s="1"/>
  <c r="I265" i="6"/>
  <c r="AU58" i="4" s="1"/>
  <c r="S58" i="4" s="1"/>
  <c r="I275" i="6"/>
  <c r="I378" i="6"/>
  <c r="I389" i="6"/>
  <c r="I365" i="6"/>
  <c r="I361" i="6"/>
  <c r="I362" i="6"/>
  <c r="I363" i="6"/>
  <c r="I364" i="6"/>
  <c r="I359" i="6"/>
  <c r="I360" i="6"/>
  <c r="I358" i="6"/>
  <c r="I357" i="6"/>
  <c r="I387" i="6"/>
  <c r="I385" i="6"/>
  <c r="J376" i="6"/>
  <c r="J381" i="6" s="1"/>
  <c r="J392" i="6"/>
  <c r="J393" i="6" s="1"/>
  <c r="J356" i="6"/>
  <c r="J263" i="6"/>
  <c r="I384" i="6"/>
  <c r="I391" i="6"/>
  <c r="I375" i="6"/>
  <c r="AU92" i="4" s="1"/>
  <c r="S92" i="4" s="1"/>
  <c r="Y92" i="4" s="1"/>
  <c r="Y91" i="4"/>
  <c r="T91" i="4"/>
  <c r="Y90" i="4"/>
  <c r="J374" i="6"/>
  <c r="J372" i="6"/>
  <c r="J373" i="6" s="1"/>
  <c r="AV91" i="4" s="1"/>
  <c r="J370" i="6"/>
  <c r="J371" i="6" s="1"/>
  <c r="AV90" i="4" s="1"/>
  <c r="J323" i="6"/>
  <c r="I344" i="6"/>
  <c r="I343" i="6"/>
  <c r="E209" i="6"/>
  <c r="E210" i="6"/>
  <c r="E212" i="6"/>
  <c r="F207" i="6"/>
  <c r="F204" i="6"/>
  <c r="G207" i="6"/>
  <c r="G204" i="6"/>
  <c r="G205" i="6"/>
  <c r="G208" i="6" s="1"/>
  <c r="G210" i="6" s="1"/>
  <c r="H206" i="6"/>
  <c r="H257" i="6"/>
  <c r="H262" i="6" s="1"/>
  <c r="H207" i="6"/>
  <c r="H205" i="6"/>
  <c r="H208" i="6" s="1"/>
  <c r="H204" i="6"/>
  <c r="F212" i="6"/>
  <c r="F211" i="6"/>
  <c r="AR38" i="4" s="1"/>
  <c r="F210" i="6"/>
  <c r="F209" i="6"/>
  <c r="K1" i="6"/>
  <c r="U58" i="4" l="1"/>
  <c r="Y58" i="4"/>
  <c r="T58" i="4"/>
  <c r="J380" i="6"/>
  <c r="J379" i="6"/>
  <c r="J388" i="6"/>
  <c r="J385" i="6"/>
  <c r="J384" i="6"/>
  <c r="J390" i="6"/>
  <c r="J377" i="6"/>
  <c r="J387" i="6"/>
  <c r="J382" i="6"/>
  <c r="J386" i="6"/>
  <c r="J284" i="6"/>
  <c r="J272" i="6"/>
  <c r="J270" i="6"/>
  <c r="J279" i="6"/>
  <c r="J276" i="6"/>
  <c r="J275" i="6"/>
  <c r="J274" i="6"/>
  <c r="J273" i="6"/>
  <c r="J283" i="6"/>
  <c r="J271" i="6"/>
  <c r="J282" i="6"/>
  <c r="AV32" i="4" s="1"/>
  <c r="J267" i="6"/>
  <c r="J286" i="6"/>
  <c r="J285" i="6"/>
  <c r="J278" i="6"/>
  <c r="J266" i="6"/>
  <c r="J281" i="6"/>
  <c r="AV31" i="4" s="1"/>
  <c r="J269" i="6"/>
  <c r="J280" i="6"/>
  <c r="J268" i="6"/>
  <c r="J277" i="6"/>
  <c r="AV44" i="4" s="1"/>
  <c r="J265" i="6"/>
  <c r="AV58" i="4" s="1"/>
  <c r="J264" i="6"/>
  <c r="J365" i="6"/>
  <c r="J360" i="6"/>
  <c r="J357" i="6"/>
  <c r="J359" i="6"/>
  <c r="J363" i="6"/>
  <c r="J358" i="6"/>
  <c r="J361" i="6"/>
  <c r="J362" i="6"/>
  <c r="J364" i="6"/>
  <c r="K376" i="6"/>
  <c r="K384" i="6" s="1"/>
  <c r="K392" i="6"/>
  <c r="K393" i="6" s="1"/>
  <c r="K356" i="6"/>
  <c r="K263" i="6"/>
  <c r="J383" i="6"/>
  <c r="J391" i="6"/>
  <c r="J389" i="6"/>
  <c r="J378" i="6"/>
  <c r="T92" i="4"/>
  <c r="J375" i="6"/>
  <c r="AV92" i="4" s="1"/>
  <c r="K374" i="6"/>
  <c r="K372" i="6"/>
  <c r="K373" i="6" s="1"/>
  <c r="AW91" i="4" s="1"/>
  <c r="K370" i="6"/>
  <c r="K371" i="6" s="1"/>
  <c r="AW90" i="4" s="1"/>
  <c r="K323" i="6"/>
  <c r="J344" i="6"/>
  <c r="J343" i="6"/>
  <c r="G211" i="6"/>
  <c r="AS38" i="4" s="1"/>
  <c r="G212" i="6"/>
  <c r="G209" i="6"/>
  <c r="I257" i="6"/>
  <c r="I262" i="6" s="1"/>
  <c r="I207" i="6"/>
  <c r="I206" i="6"/>
  <c r="I205" i="6"/>
  <c r="I208" i="6" s="1"/>
  <c r="I204" i="6"/>
  <c r="H212" i="6"/>
  <c r="H211" i="6"/>
  <c r="AT38" i="4" s="1"/>
  <c r="H210" i="6"/>
  <c r="H209" i="6"/>
  <c r="L1" i="6"/>
  <c r="K386" i="6" l="1"/>
  <c r="K390" i="6"/>
  <c r="K284" i="6"/>
  <c r="K272" i="6"/>
  <c r="K283" i="6"/>
  <c r="K271" i="6"/>
  <c r="K281" i="6"/>
  <c r="AW31" i="4" s="1"/>
  <c r="K278" i="6"/>
  <c r="K266" i="6"/>
  <c r="K274" i="6"/>
  <c r="K282" i="6"/>
  <c r="AW32" i="4" s="1"/>
  <c r="K270" i="6"/>
  <c r="K269" i="6"/>
  <c r="K277" i="6"/>
  <c r="AW44" i="4" s="1"/>
  <c r="K265" i="6"/>
  <c r="AW58" i="4" s="1"/>
  <c r="K286" i="6"/>
  <c r="K276" i="6"/>
  <c r="K280" i="6"/>
  <c r="K268" i="6"/>
  <c r="K264" i="6"/>
  <c r="K275" i="6"/>
  <c r="K285" i="6"/>
  <c r="K273" i="6"/>
  <c r="K279" i="6"/>
  <c r="K267" i="6"/>
  <c r="K365" i="6"/>
  <c r="K357" i="6"/>
  <c r="K358" i="6"/>
  <c r="K361" i="6"/>
  <c r="K364" i="6"/>
  <c r="K359" i="6"/>
  <c r="K360" i="6"/>
  <c r="K363" i="6"/>
  <c r="K362" i="6"/>
  <c r="K381" i="6"/>
  <c r="K382" i="6"/>
  <c r="K383" i="6"/>
  <c r="K389" i="6"/>
  <c r="K385" i="6"/>
  <c r="K378" i="6"/>
  <c r="K391" i="6"/>
  <c r="K380" i="6"/>
  <c r="L376" i="6"/>
  <c r="L389" i="6" s="1"/>
  <c r="L392" i="6"/>
  <c r="L393" i="6" s="1"/>
  <c r="L356" i="6"/>
  <c r="L263" i="6"/>
  <c r="K387" i="6"/>
  <c r="K379" i="6"/>
  <c r="K388" i="6"/>
  <c r="K377" i="6"/>
  <c r="K375" i="6"/>
  <c r="AW92" i="4" s="1"/>
  <c r="L374" i="6"/>
  <c r="L372" i="6"/>
  <c r="L373" i="6" s="1"/>
  <c r="AX91" i="4" s="1"/>
  <c r="L370" i="6"/>
  <c r="L371" i="6" s="1"/>
  <c r="AX90" i="4" s="1"/>
  <c r="L323" i="6"/>
  <c r="K344" i="6"/>
  <c r="K343" i="6"/>
  <c r="J205" i="6"/>
  <c r="J208" i="6" s="1"/>
  <c r="J257" i="6"/>
  <c r="J262" i="6" s="1"/>
  <c r="I212" i="6"/>
  <c r="I211" i="6"/>
  <c r="AU38" i="4" s="1"/>
  <c r="S38" i="4" s="1"/>
  <c r="I210" i="6"/>
  <c r="I209" i="6"/>
  <c r="J207" i="6"/>
  <c r="J206" i="6"/>
  <c r="M1" i="6"/>
  <c r="L386" i="6" l="1"/>
  <c r="L388" i="6"/>
  <c r="L387" i="6"/>
  <c r="L391" i="6"/>
  <c r="L383" i="6"/>
  <c r="L385" i="6"/>
  <c r="L384" i="6"/>
  <c r="L365" i="6"/>
  <c r="L361" i="6"/>
  <c r="L362" i="6"/>
  <c r="L363" i="6"/>
  <c r="L364" i="6"/>
  <c r="L359" i="6"/>
  <c r="L360" i="6"/>
  <c r="L358" i="6"/>
  <c r="L357" i="6"/>
  <c r="L382" i="6"/>
  <c r="L381" i="6"/>
  <c r="L380" i="6"/>
  <c r="L282" i="6"/>
  <c r="AX32" i="4" s="1"/>
  <c r="L270" i="6"/>
  <c r="L281" i="6"/>
  <c r="AX31" i="4" s="1"/>
  <c r="L269" i="6"/>
  <c r="L267" i="6"/>
  <c r="L264" i="6"/>
  <c r="L284" i="6"/>
  <c r="L272" i="6"/>
  <c r="L283" i="6"/>
  <c r="L280" i="6"/>
  <c r="L268" i="6"/>
  <c r="L279" i="6"/>
  <c r="L276" i="6"/>
  <c r="L275" i="6"/>
  <c r="L271" i="6"/>
  <c r="L286" i="6"/>
  <c r="L274" i="6"/>
  <c r="L278" i="6"/>
  <c r="L266" i="6"/>
  <c r="L285" i="6"/>
  <c r="L273" i="6"/>
  <c r="L277" i="6"/>
  <c r="AX44" i="4" s="1"/>
  <c r="L265" i="6"/>
  <c r="AX58" i="4" s="1"/>
  <c r="M376" i="6"/>
  <c r="M386" i="6" s="1"/>
  <c r="M392" i="6"/>
  <c r="M393" i="6" s="1"/>
  <c r="M356" i="6"/>
  <c r="M263" i="6"/>
  <c r="L378" i="6"/>
  <c r="L377" i="6"/>
  <c r="L379" i="6"/>
  <c r="L390" i="6"/>
  <c r="L375" i="6"/>
  <c r="AX92" i="4" s="1"/>
  <c r="Y38" i="4"/>
  <c r="M374" i="6"/>
  <c r="M372" i="6"/>
  <c r="M373" i="6" s="1"/>
  <c r="AY91" i="4" s="1"/>
  <c r="L344" i="6"/>
  <c r="L343" i="6"/>
  <c r="M370" i="6"/>
  <c r="M371" i="6" s="1"/>
  <c r="AY90" i="4" s="1"/>
  <c r="M323" i="6"/>
  <c r="J204" i="6"/>
  <c r="K257" i="6"/>
  <c r="K262" i="6" s="1"/>
  <c r="K207" i="6"/>
  <c r="K206" i="6"/>
  <c r="K205" i="6"/>
  <c r="K208" i="6" s="1"/>
  <c r="K204" i="6"/>
  <c r="J212" i="6"/>
  <c r="J211" i="6"/>
  <c r="AV38" i="4" s="1"/>
  <c r="J210" i="6"/>
  <c r="J209" i="6"/>
  <c r="N1" i="6"/>
  <c r="M385" i="6" l="1"/>
  <c r="M383" i="6"/>
  <c r="M389" i="6"/>
  <c r="M391" i="6"/>
  <c r="M379" i="6"/>
  <c r="M378" i="6"/>
  <c r="M282" i="6"/>
  <c r="AY32" i="4" s="1"/>
  <c r="M270" i="6"/>
  <c r="M281" i="6"/>
  <c r="AY31" i="4" s="1"/>
  <c r="M269" i="6"/>
  <c r="M267" i="6"/>
  <c r="M284" i="6"/>
  <c r="M272" i="6"/>
  <c r="M271" i="6"/>
  <c r="M280" i="6"/>
  <c r="M268" i="6"/>
  <c r="M279" i="6"/>
  <c r="M276" i="6"/>
  <c r="M264" i="6"/>
  <c r="M275" i="6"/>
  <c r="M286" i="6"/>
  <c r="M274" i="6"/>
  <c r="M278" i="6"/>
  <c r="M266" i="6"/>
  <c r="M285" i="6"/>
  <c r="M273" i="6"/>
  <c r="M283" i="6"/>
  <c r="M277" i="6"/>
  <c r="AY44" i="4" s="1"/>
  <c r="M265" i="6"/>
  <c r="AY58" i="4" s="1"/>
  <c r="M382" i="6"/>
  <c r="M384" i="6"/>
  <c r="M381" i="6"/>
  <c r="M388" i="6"/>
  <c r="M380" i="6"/>
  <c r="M387" i="6"/>
  <c r="M377" i="6"/>
  <c r="M390" i="6"/>
  <c r="N376" i="6"/>
  <c r="N385" i="6" s="1"/>
  <c r="N392" i="6"/>
  <c r="N393" i="6" s="1"/>
  <c r="N356" i="6"/>
  <c r="N263" i="6"/>
  <c r="M365" i="6"/>
  <c r="M357" i="6"/>
  <c r="M364" i="6"/>
  <c r="M361" i="6"/>
  <c r="M360" i="6"/>
  <c r="M359" i="6"/>
  <c r="M363" i="6"/>
  <c r="M362" i="6"/>
  <c r="M358" i="6"/>
  <c r="M375" i="6"/>
  <c r="AY92" i="4" s="1"/>
  <c r="N374" i="6"/>
  <c r="N372" i="6"/>
  <c r="N373" i="6" s="1"/>
  <c r="AZ91" i="4" s="1"/>
  <c r="M344" i="6"/>
  <c r="M343" i="6"/>
  <c r="N370" i="6"/>
  <c r="N371" i="6" s="1"/>
  <c r="AZ90" i="4" s="1"/>
  <c r="N323" i="6"/>
  <c r="L207" i="6"/>
  <c r="L257" i="6"/>
  <c r="L262" i="6" s="1"/>
  <c r="L206" i="6"/>
  <c r="L205" i="6"/>
  <c r="L208" i="6" s="1"/>
  <c r="L204" i="6"/>
  <c r="K212" i="6"/>
  <c r="K211" i="6"/>
  <c r="AW38" i="4" s="1"/>
  <c r="K210" i="6"/>
  <c r="K209" i="6"/>
  <c r="O1" i="6"/>
  <c r="N387" i="6" l="1"/>
  <c r="N390" i="6"/>
  <c r="N389" i="6"/>
  <c r="N379" i="6"/>
  <c r="N391" i="6"/>
  <c r="N382" i="6"/>
  <c r="N381" i="6"/>
  <c r="N380" i="6"/>
  <c r="N388" i="6"/>
  <c r="N377" i="6"/>
  <c r="N386" i="6"/>
  <c r="N383" i="6"/>
  <c r="N378" i="6"/>
  <c r="N384" i="6"/>
  <c r="O376" i="6"/>
  <c r="O387" i="6" s="1"/>
  <c r="O392" i="6"/>
  <c r="O393" i="6" s="1"/>
  <c r="O356" i="6"/>
  <c r="O263" i="6"/>
  <c r="N281" i="6"/>
  <c r="AZ31" i="4" s="1"/>
  <c r="N269" i="6"/>
  <c r="N280" i="6"/>
  <c r="N268" i="6"/>
  <c r="N266" i="6"/>
  <c r="N264" i="6"/>
  <c r="N283" i="6"/>
  <c r="N271" i="6"/>
  <c r="N279" i="6"/>
  <c r="N267" i="6"/>
  <c r="N278" i="6"/>
  <c r="N275" i="6"/>
  <c r="N286" i="6"/>
  <c r="N274" i="6"/>
  <c r="N270" i="6"/>
  <c r="N285" i="6"/>
  <c r="N273" i="6"/>
  <c r="N277" i="6"/>
  <c r="AZ44" i="4" s="1"/>
  <c r="N265" i="6"/>
  <c r="AZ58" i="4" s="1"/>
  <c r="N284" i="6"/>
  <c r="N272" i="6"/>
  <c r="N282" i="6"/>
  <c r="AZ32" i="4" s="1"/>
  <c r="N276" i="6"/>
  <c r="N365" i="6"/>
  <c r="N357" i="6"/>
  <c r="N364" i="6"/>
  <c r="N358" i="6"/>
  <c r="N359" i="6"/>
  <c r="N361" i="6"/>
  <c r="N360" i="6"/>
  <c r="N363" i="6"/>
  <c r="N362" i="6"/>
  <c r="N375" i="6"/>
  <c r="AZ92" i="4" s="1"/>
  <c r="O374" i="6"/>
  <c r="O372" i="6"/>
  <c r="O373" i="6" s="1"/>
  <c r="BA91" i="4" s="1"/>
  <c r="N344" i="6"/>
  <c r="N343" i="6"/>
  <c r="O370" i="6"/>
  <c r="O371" i="6" s="1"/>
  <c r="BA90" i="4" s="1"/>
  <c r="O323" i="6"/>
  <c r="M257" i="6"/>
  <c r="M262" i="6" s="1"/>
  <c r="L212" i="6"/>
  <c r="L211" i="6"/>
  <c r="AX38" i="4" s="1"/>
  <c r="L210" i="6"/>
  <c r="L209" i="6"/>
  <c r="M207" i="6"/>
  <c r="M206" i="6"/>
  <c r="M205" i="6"/>
  <c r="M208" i="6" s="1"/>
  <c r="M204" i="6"/>
  <c r="P1" i="6"/>
  <c r="O377" i="6" l="1"/>
  <c r="O385" i="6"/>
  <c r="O380" i="6"/>
  <c r="O386" i="6"/>
  <c r="O384" i="6"/>
  <c r="O383" i="6"/>
  <c r="O389" i="6"/>
  <c r="O388" i="6"/>
  <c r="O391" i="6"/>
  <c r="O379" i="6"/>
  <c r="O378" i="6"/>
  <c r="O390" i="6"/>
  <c r="O382" i="6"/>
  <c r="P376" i="6"/>
  <c r="P391" i="6" s="1"/>
  <c r="P392" i="6"/>
  <c r="P393" i="6" s="1"/>
  <c r="P356" i="6"/>
  <c r="P263" i="6"/>
  <c r="O381" i="6"/>
  <c r="O279" i="6"/>
  <c r="O267" i="6"/>
  <c r="O278" i="6"/>
  <c r="O266" i="6"/>
  <c r="O264" i="6"/>
  <c r="O285" i="6"/>
  <c r="O280" i="6"/>
  <c r="O277" i="6"/>
  <c r="BA44" i="4" s="1"/>
  <c r="O265" i="6"/>
  <c r="BA58" i="4" s="1"/>
  <c r="O276" i="6"/>
  <c r="O273" i="6"/>
  <c r="O284" i="6"/>
  <c r="O272" i="6"/>
  <c r="O269" i="6"/>
  <c r="O268" i="6"/>
  <c r="O283" i="6"/>
  <c r="O271" i="6"/>
  <c r="O275" i="6"/>
  <c r="O282" i="6"/>
  <c r="BA32" i="4" s="1"/>
  <c r="O270" i="6"/>
  <c r="O281" i="6"/>
  <c r="BA31" i="4" s="1"/>
  <c r="O286" i="6"/>
  <c r="O274" i="6"/>
  <c r="O365" i="6"/>
  <c r="O361" i="6"/>
  <c r="O357" i="6"/>
  <c r="O362" i="6"/>
  <c r="O363" i="6"/>
  <c r="O360" i="6"/>
  <c r="O364" i="6"/>
  <c r="O359" i="6"/>
  <c r="O358" i="6"/>
  <c r="O375" i="6"/>
  <c r="BA92" i="4" s="1"/>
  <c r="P374" i="6"/>
  <c r="P372" i="6"/>
  <c r="P373" i="6" s="1"/>
  <c r="BB91" i="4" s="1"/>
  <c r="O344" i="6"/>
  <c r="O343" i="6"/>
  <c r="P370" i="6"/>
  <c r="P371" i="6" s="1"/>
  <c r="BB90" i="4" s="1"/>
  <c r="P323" i="6"/>
  <c r="N206" i="6"/>
  <c r="N257" i="6"/>
  <c r="N262" i="6" s="1"/>
  <c r="N207" i="6"/>
  <c r="N204" i="6"/>
  <c r="M212" i="6"/>
  <c r="M211" i="6"/>
  <c r="AY38" i="4" s="1"/>
  <c r="M210" i="6"/>
  <c r="M209" i="6"/>
  <c r="P381" i="6" l="1"/>
  <c r="P384" i="6"/>
  <c r="P378" i="6"/>
  <c r="P389" i="6"/>
  <c r="P380" i="6"/>
  <c r="P379" i="6"/>
  <c r="P377" i="6"/>
  <c r="P386" i="6"/>
  <c r="P383" i="6"/>
  <c r="P388" i="6"/>
  <c r="P390" i="6"/>
  <c r="P387" i="6"/>
  <c r="P385" i="6"/>
  <c r="P382" i="6"/>
  <c r="P278" i="6"/>
  <c r="P271" i="6"/>
  <c r="P266" i="6"/>
  <c r="P284" i="6"/>
  <c r="P281" i="6"/>
  <c r="BB31" i="4" s="1"/>
  <c r="P279" i="6"/>
  <c r="P270" i="6"/>
  <c r="P283" i="6"/>
  <c r="P277" i="6"/>
  <c r="BB44" i="4" s="1"/>
  <c r="P282" i="6"/>
  <c r="BB32" i="4" s="1"/>
  <c r="P265" i="6"/>
  <c r="BB58" i="4" s="1"/>
  <c r="P274" i="6"/>
  <c r="P269" i="6"/>
  <c r="P285" i="6"/>
  <c r="P280" i="6"/>
  <c r="P273" i="6"/>
  <c r="P286" i="6"/>
  <c r="P276" i="6"/>
  <c r="P268" i="6"/>
  <c r="P272" i="6"/>
  <c r="P267" i="6"/>
  <c r="P264" i="6"/>
  <c r="P275" i="6"/>
  <c r="P365" i="6"/>
  <c r="P360" i="6"/>
  <c r="P357" i="6"/>
  <c r="P363" i="6"/>
  <c r="P359" i="6"/>
  <c r="P358" i="6"/>
  <c r="P362" i="6"/>
  <c r="P361" i="6"/>
  <c r="P364" i="6"/>
  <c r="P375" i="6"/>
  <c r="BB92" i="4" s="1"/>
  <c r="P344" i="6"/>
  <c r="P343" i="6"/>
  <c r="N205" i="6"/>
  <c r="N208" i="6" s="1"/>
  <c r="N212" i="6" s="1"/>
  <c r="O204" i="6"/>
  <c r="O257" i="6"/>
  <c r="O262" i="6" s="1"/>
  <c r="O205" i="6"/>
  <c r="O208" i="6" s="1"/>
  <c r="F2" i="6"/>
  <c r="G2" i="6" s="1"/>
  <c r="H2" i="6" s="1"/>
  <c r="I2" i="6" s="1"/>
  <c r="J2" i="6" s="1"/>
  <c r="K2" i="6" s="1"/>
  <c r="L2" i="6" s="1"/>
  <c r="M2" i="6" s="1"/>
  <c r="N2" i="6" s="1"/>
  <c r="O2" i="6" s="1"/>
  <c r="P2" i="6" s="1"/>
  <c r="N209" i="6" l="1"/>
  <c r="N210" i="6"/>
  <c r="N211" i="6"/>
  <c r="AZ38" i="4" s="1"/>
  <c r="O206" i="6"/>
  <c r="O207" i="6"/>
  <c r="P207" i="6"/>
  <c r="P257" i="6"/>
  <c r="P262" i="6" s="1"/>
  <c r="O212" i="6"/>
  <c r="O211" i="6"/>
  <c r="BA38" i="4" s="1"/>
  <c r="O210" i="6"/>
  <c r="O209" i="6"/>
  <c r="F6" i="7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Z6" i="7" s="1"/>
  <c r="BA6" i="7" s="1"/>
  <c r="BB6" i="7" s="1"/>
  <c r="BC6" i="7" s="1"/>
  <c r="BD6" i="7" s="1"/>
  <c r="BE6" i="7" s="1"/>
  <c r="BF6" i="7" s="1"/>
  <c r="BG6" i="7" s="1"/>
  <c r="BH6" i="7" s="1"/>
  <c r="BI6" i="7" s="1"/>
  <c r="BJ6" i="7" s="1"/>
  <c r="BK6" i="7" s="1"/>
  <c r="BL6" i="7" s="1"/>
  <c r="BM6" i="7" s="1"/>
  <c r="BN6" i="7" s="1"/>
  <c r="BO6" i="7" s="1"/>
  <c r="BP6" i="7" s="1"/>
  <c r="BQ6" i="7" s="1"/>
  <c r="BR6" i="7" s="1"/>
  <c r="BS6" i="7" s="1"/>
  <c r="BT6" i="7" s="1"/>
  <c r="BU6" i="7" s="1"/>
  <c r="BV6" i="7" s="1"/>
  <c r="BW6" i="7" s="1"/>
  <c r="BX6" i="7" s="1"/>
  <c r="BY6" i="7" s="1"/>
  <c r="BZ6" i="7" s="1"/>
  <c r="CA6" i="7" s="1"/>
  <c r="CB6" i="7" s="1"/>
  <c r="CC6" i="7" s="1"/>
  <c r="CD6" i="7" s="1"/>
  <c r="CE6" i="7" s="1"/>
  <c r="CF6" i="7" s="1"/>
  <c r="CG6" i="7" s="1"/>
  <c r="CH6" i="7" s="1"/>
  <c r="CI6" i="7" s="1"/>
  <c r="CJ6" i="7" s="1"/>
  <c r="CK6" i="7" s="1"/>
  <c r="CL6" i="7" s="1"/>
  <c r="CM6" i="7" s="1"/>
  <c r="CN6" i="7" s="1"/>
  <c r="CO6" i="7" s="1"/>
  <c r="CP6" i="7" s="1"/>
  <c r="CQ6" i="7" s="1"/>
  <c r="CR6" i="7" s="1"/>
  <c r="CS6" i="7" s="1"/>
  <c r="CT6" i="7" s="1"/>
  <c r="CU6" i="7" s="1"/>
  <c r="CV6" i="7" s="1"/>
  <c r="CW6" i="7" s="1"/>
  <c r="CX6" i="7" s="1"/>
  <c r="CY6" i="7" s="1"/>
  <c r="CZ6" i="7" s="1"/>
  <c r="DA6" i="7" s="1"/>
  <c r="DB6" i="7" s="1"/>
  <c r="DC6" i="7" s="1"/>
  <c r="DD6" i="7" s="1"/>
  <c r="DE6" i="7" s="1"/>
  <c r="DF6" i="7" s="1"/>
  <c r="DG6" i="7" s="1"/>
  <c r="DH6" i="7" s="1"/>
  <c r="DI6" i="7" s="1"/>
  <c r="DJ6" i="7" s="1"/>
  <c r="DK6" i="7" s="1"/>
  <c r="DL6" i="7" s="1"/>
  <c r="DM6" i="7" s="1"/>
  <c r="DN6" i="7" s="1"/>
  <c r="DO6" i="7" s="1"/>
  <c r="DP6" i="7" s="1"/>
  <c r="DQ6" i="7" s="1"/>
  <c r="DR6" i="7" s="1"/>
  <c r="DS6" i="7" s="1"/>
  <c r="DT6" i="7" s="1"/>
  <c r="DU6" i="7" s="1"/>
  <c r="DV6" i="7" s="1"/>
  <c r="DW6" i="7" s="1"/>
  <c r="DX6" i="7" s="1"/>
  <c r="DY6" i="7" s="1"/>
  <c r="DZ6" i="7" s="1"/>
  <c r="EA6" i="7" s="1"/>
  <c r="EB6" i="7" s="1"/>
  <c r="EC6" i="7" s="1"/>
  <c r="ED6" i="7" s="1"/>
  <c r="EE6" i="7" s="1"/>
  <c r="EF6" i="7" s="1"/>
  <c r="EG6" i="7" s="1"/>
  <c r="EH6" i="7" s="1"/>
  <c r="EI6" i="7" s="1"/>
  <c r="EJ6" i="7" s="1"/>
  <c r="EK6" i="7" s="1"/>
  <c r="EL6" i="7" s="1"/>
  <c r="EM6" i="7" s="1"/>
  <c r="EN6" i="7" s="1"/>
  <c r="EO6" i="7" s="1"/>
  <c r="EP6" i="7" s="1"/>
  <c r="EQ6" i="7" s="1"/>
  <c r="ER6" i="7" s="1"/>
  <c r="ES6" i="7" s="1"/>
  <c r="ET6" i="7" s="1"/>
  <c r="EU6" i="7" s="1"/>
  <c r="AJ7" i="2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P204" i="6" l="1"/>
  <c r="P205" i="6"/>
  <c r="P208" i="6" s="1"/>
  <c r="P212" i="6" s="1"/>
  <c r="P206" i="6"/>
  <c r="E52" i="4"/>
  <c r="F52" i="4"/>
  <c r="V52" i="4" s="1"/>
  <c r="G47" i="4"/>
  <c r="E51" i="4"/>
  <c r="E50" i="4"/>
  <c r="E49" i="4"/>
  <c r="E48" i="4"/>
  <c r="E44" i="4"/>
  <c r="F51" i="4"/>
  <c r="F50" i="4"/>
  <c r="F49" i="4"/>
  <c r="V49" i="4" s="1"/>
  <c r="F48" i="4"/>
  <c r="F47" i="4"/>
  <c r="T47" i="4" s="1"/>
  <c r="F46" i="4"/>
  <c r="G46" i="4" s="1"/>
  <c r="F45" i="4"/>
  <c r="G45" i="4" s="1"/>
  <c r="F44" i="4"/>
  <c r="T44" i="4" s="1"/>
  <c r="L48" i="4" l="1"/>
  <c r="I48" i="4"/>
  <c r="L50" i="4"/>
  <c r="I50" i="4"/>
  <c r="L44" i="4"/>
  <c r="I44" i="4"/>
  <c r="I49" i="4"/>
  <c r="L49" i="4"/>
  <c r="L51" i="4"/>
  <c r="I51" i="4"/>
  <c r="I52" i="4"/>
  <c r="L52" i="4"/>
  <c r="G51" i="4"/>
  <c r="O44" i="4"/>
  <c r="G48" i="4"/>
  <c r="G50" i="4"/>
  <c r="V44" i="4"/>
  <c r="P210" i="6"/>
  <c r="P209" i="6"/>
  <c r="P211" i="6"/>
  <c r="BB38" i="4" s="1"/>
  <c r="V47" i="4"/>
  <c r="V48" i="4"/>
  <c r="V50" i="4"/>
  <c r="V45" i="4"/>
  <c r="V51" i="4"/>
  <c r="V46" i="4"/>
  <c r="G52" i="4"/>
  <c r="G49" i="4"/>
  <c r="G44" i="4"/>
  <c r="E69" i="4" l="1"/>
  <c r="H1" i="2"/>
  <c r="V89" i="4"/>
  <c r="V88" i="4"/>
  <c r="V87" i="4"/>
  <c r="V86" i="4"/>
  <c r="V85" i="4"/>
  <c r="V84" i="4"/>
  <c r="V83" i="4"/>
  <c r="V80" i="4"/>
  <c r="V79" i="4"/>
  <c r="V78" i="4"/>
  <c r="V77" i="4"/>
  <c r="V76" i="4"/>
  <c r="V75" i="4"/>
  <c r="V74" i="4"/>
  <c r="V72" i="4"/>
  <c r="V71" i="4"/>
  <c r="E70" i="4" l="1"/>
  <c r="G70" i="4" s="1"/>
  <c r="G69" i="4"/>
  <c r="M27" i="2"/>
  <c r="R27" i="2"/>
  <c r="J27" i="2"/>
  <c r="N22" i="10" s="1"/>
  <c r="R8" i="2"/>
  <c r="M32" i="2"/>
  <c r="O32" i="2" s="1"/>
  <c r="R32" i="2"/>
  <c r="R28" i="2"/>
  <c r="M37" i="2"/>
  <c r="M30" i="2"/>
  <c r="M23" i="2"/>
  <c r="M17" i="2"/>
  <c r="M11" i="2"/>
  <c r="M36" i="2"/>
  <c r="M29" i="2"/>
  <c r="M22" i="2"/>
  <c r="M16" i="2"/>
  <c r="M10" i="2"/>
  <c r="M24" i="2"/>
  <c r="M35" i="2"/>
  <c r="M28" i="2"/>
  <c r="M21" i="2"/>
  <c r="M15" i="2"/>
  <c r="M9" i="2"/>
  <c r="M12" i="2"/>
  <c r="M34" i="2"/>
  <c r="M26" i="2"/>
  <c r="M20" i="2"/>
  <c r="M14" i="2"/>
  <c r="M8" i="2"/>
  <c r="M31" i="2"/>
  <c r="M33" i="2"/>
  <c r="M25" i="2"/>
  <c r="M19" i="2"/>
  <c r="M13" i="2"/>
  <c r="M18" i="2"/>
  <c r="O89" i="4"/>
  <c r="O88" i="4"/>
  <c r="O87" i="4"/>
  <c r="O86" i="4"/>
  <c r="O85" i="4"/>
  <c r="O84" i="4"/>
  <c r="O83" i="4"/>
  <c r="O80" i="4"/>
  <c r="O79" i="4"/>
  <c r="O78" i="4"/>
  <c r="O77" i="4"/>
  <c r="O76" i="4"/>
  <c r="O75" i="4"/>
  <c r="O74" i="4"/>
  <c r="O72" i="4"/>
  <c r="O71" i="4"/>
  <c r="O70" i="4"/>
  <c r="O69" i="4"/>
  <c r="O68" i="4"/>
  <c r="O67" i="4"/>
  <c r="O43" i="4"/>
  <c r="O42" i="4"/>
  <c r="O41" i="4"/>
  <c r="O40" i="4"/>
  <c r="O39" i="4"/>
  <c r="O38" i="4"/>
  <c r="O37" i="4"/>
  <c r="O36" i="4"/>
  <c r="O35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6" i="4"/>
  <c r="O15" i="4"/>
  <c r="O14" i="4"/>
  <c r="O13" i="4"/>
  <c r="O12" i="4"/>
  <c r="O11" i="4"/>
  <c r="O10" i="4"/>
  <c r="L89" i="4"/>
  <c r="L88" i="4"/>
  <c r="L87" i="4"/>
  <c r="L86" i="4"/>
  <c r="L85" i="4"/>
  <c r="L84" i="4"/>
  <c r="L83" i="4"/>
  <c r="L80" i="4"/>
  <c r="L79" i="4"/>
  <c r="L78" i="4"/>
  <c r="L77" i="4"/>
  <c r="L76" i="4"/>
  <c r="L75" i="4"/>
  <c r="L74" i="4"/>
  <c r="L72" i="4"/>
  <c r="L71" i="4"/>
  <c r="L70" i="4"/>
  <c r="L69" i="4"/>
  <c r="L68" i="4"/>
  <c r="L67" i="4"/>
  <c r="I89" i="4"/>
  <c r="I88" i="4"/>
  <c r="I87" i="4"/>
  <c r="I86" i="4"/>
  <c r="I85" i="4"/>
  <c r="I84" i="4"/>
  <c r="I83" i="4"/>
  <c r="I80" i="4"/>
  <c r="I79" i="4"/>
  <c r="I78" i="4"/>
  <c r="I77" i="4"/>
  <c r="I76" i="4"/>
  <c r="I75" i="4"/>
  <c r="I74" i="4"/>
  <c r="I72" i="4"/>
  <c r="I71" i="4"/>
  <c r="I70" i="4"/>
  <c r="I69" i="4"/>
  <c r="I68" i="4"/>
  <c r="I67" i="4"/>
  <c r="O8" i="4"/>
  <c r="L8" i="4"/>
  <c r="I8" i="4"/>
  <c r="S27" i="2" l="1"/>
  <c r="D22" i="10" s="1"/>
  <c r="T27" i="2"/>
  <c r="E22" i="10" s="1"/>
  <c r="O27" i="2"/>
  <c r="O10" i="2"/>
  <c r="O22" i="2"/>
  <c r="O33" i="2"/>
  <c r="BL36" i="2"/>
  <c r="G22" i="10" l="1"/>
  <c r="V27" i="2"/>
  <c r="S1" i="4"/>
  <c r="V69" i="4"/>
  <c r="F68" i="4"/>
  <c r="F67" i="4"/>
  <c r="G83" i="4"/>
  <c r="G84" i="4"/>
  <c r="G85" i="4"/>
  <c r="G86" i="4"/>
  <c r="G87" i="4"/>
  <c r="G88" i="4"/>
  <c r="G89" i="4"/>
  <c r="Z66" i="4" l="1"/>
  <c r="R66" i="4"/>
  <c r="Q66" i="4" s="1"/>
  <c r="U92" i="4"/>
  <c r="R92" i="4" s="1"/>
  <c r="Z73" i="4"/>
  <c r="U91" i="4"/>
  <c r="R91" i="4" s="1"/>
  <c r="U90" i="4"/>
  <c r="R90" i="4" s="1"/>
  <c r="AA58" i="4"/>
  <c r="AB58" i="4"/>
  <c r="Z82" i="4"/>
  <c r="Z81" i="4"/>
  <c r="R82" i="4"/>
  <c r="Q82" i="4" s="1"/>
  <c r="R81" i="4"/>
  <c r="Q81" i="4" s="1"/>
  <c r="R58" i="4"/>
  <c r="Q58" i="4" s="1"/>
  <c r="Z58" i="4"/>
  <c r="Z92" i="4"/>
  <c r="Z78" i="4"/>
  <c r="Z62" i="4"/>
  <c r="Z44" i="4"/>
  <c r="Z72" i="4"/>
  <c r="Z71" i="4"/>
  <c r="Z91" i="4"/>
  <c r="Z77" i="4"/>
  <c r="Z76" i="4"/>
  <c r="Z90" i="4"/>
  <c r="Z83" i="4"/>
  <c r="Z79" i="4"/>
  <c r="Z89" i="4"/>
  <c r="Z75" i="4"/>
  <c r="Z88" i="4"/>
  <c r="Z87" i="4"/>
  <c r="Z86" i="4"/>
  <c r="Z85" i="4"/>
  <c r="Z84" i="4"/>
  <c r="Z47" i="4"/>
  <c r="Z80" i="4"/>
  <c r="Z74" i="4"/>
  <c r="Z49" i="4"/>
  <c r="V67" i="4"/>
  <c r="V70" i="4"/>
  <c r="R47" i="4"/>
  <c r="R44" i="4"/>
  <c r="G67" i="4"/>
  <c r="G68" i="4"/>
  <c r="V68" i="4"/>
  <c r="AD58" i="4" l="1"/>
  <c r="Z67" i="4"/>
  <c r="Q92" i="4"/>
  <c r="Q90" i="4"/>
  <c r="AB92" i="4"/>
  <c r="AA92" i="4"/>
  <c r="AA90" i="4"/>
  <c r="AB90" i="4"/>
  <c r="AB91" i="4"/>
  <c r="Q91" i="4"/>
  <c r="AA91" i="4"/>
  <c r="AA67" i="4"/>
  <c r="AB47" i="4"/>
  <c r="AA47" i="4"/>
  <c r="Q47" i="4"/>
  <c r="AB44" i="4"/>
  <c r="AA44" i="4"/>
  <c r="Q44" i="4"/>
  <c r="AD92" i="4" l="1"/>
  <c r="AD91" i="4"/>
  <c r="AD90" i="4"/>
  <c r="AD44" i="4"/>
  <c r="AD47" i="4"/>
  <c r="R78" i="4" l="1"/>
  <c r="R76" i="4"/>
  <c r="R77" i="4"/>
  <c r="R79" i="4"/>
  <c r="R80" i="4"/>
  <c r="R83" i="4"/>
  <c r="R84" i="4"/>
  <c r="R85" i="4"/>
  <c r="R71" i="4"/>
  <c r="R86" i="4"/>
  <c r="R87" i="4"/>
  <c r="R74" i="4"/>
  <c r="R88" i="4"/>
  <c r="R75" i="4"/>
  <c r="R89" i="4"/>
  <c r="F43" i="4"/>
  <c r="V43" i="4" s="1"/>
  <c r="Z43" i="4" s="1"/>
  <c r="Q74" i="4" l="1"/>
  <c r="AB74" i="4"/>
  <c r="AA74" i="4"/>
  <c r="Q79" i="4"/>
  <c r="AB79" i="4"/>
  <c r="AA79" i="4"/>
  <c r="Q76" i="4"/>
  <c r="AB76" i="4"/>
  <c r="AA76" i="4"/>
  <c r="Q80" i="4"/>
  <c r="AB80" i="4"/>
  <c r="AA80" i="4"/>
  <c r="Q89" i="4"/>
  <c r="AA89" i="4"/>
  <c r="AB89" i="4"/>
  <c r="Q85" i="4"/>
  <c r="AA85" i="4"/>
  <c r="AB85" i="4"/>
  <c r="Q78" i="4"/>
  <c r="AB78" i="4"/>
  <c r="AA78" i="4"/>
  <c r="Q75" i="4"/>
  <c r="AB75" i="4"/>
  <c r="AA75" i="4"/>
  <c r="Q84" i="4"/>
  <c r="AB84" i="4"/>
  <c r="AA84" i="4"/>
  <c r="Q87" i="4"/>
  <c r="AB87" i="4"/>
  <c r="AA87" i="4"/>
  <c r="Q77" i="4"/>
  <c r="AA77" i="4"/>
  <c r="AB77" i="4"/>
  <c r="Q71" i="4"/>
  <c r="AB71" i="4"/>
  <c r="AA71" i="4"/>
  <c r="Q86" i="4"/>
  <c r="AB86" i="4"/>
  <c r="AA86" i="4"/>
  <c r="Q88" i="4"/>
  <c r="AB88" i="4"/>
  <c r="AA88" i="4"/>
  <c r="Q83" i="4"/>
  <c r="AA83" i="4"/>
  <c r="AB83" i="4"/>
  <c r="G43" i="4"/>
  <c r="F31" i="4"/>
  <c r="T31" i="4" s="1"/>
  <c r="F42" i="4"/>
  <c r="F8" i="4"/>
  <c r="F32" i="4"/>
  <c r="T32" i="4" s="1"/>
  <c r="F38" i="4"/>
  <c r="T38" i="4" s="1"/>
  <c r="F40" i="4"/>
  <c r="T40" i="4" s="1"/>
  <c r="AB40" i="4" s="1"/>
  <c r="F41" i="4"/>
  <c r="AF7" i="4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CO37" i="2"/>
  <c r="CN37" i="2"/>
  <c r="CM37" i="2"/>
  <c r="CL37" i="2"/>
  <c r="CK37" i="2"/>
  <c r="CJ37" i="2"/>
  <c r="CI37" i="2"/>
  <c r="CH37" i="2"/>
  <c r="CG37" i="2"/>
  <c r="CF37" i="2"/>
  <c r="CE37" i="2"/>
  <c r="CO36" i="2"/>
  <c r="CN36" i="2"/>
  <c r="CM36" i="2"/>
  <c r="CL36" i="2"/>
  <c r="CK36" i="2"/>
  <c r="CJ36" i="2"/>
  <c r="CI36" i="2"/>
  <c r="CH36" i="2"/>
  <c r="CG36" i="2"/>
  <c r="CF36" i="2"/>
  <c r="CE36" i="2"/>
  <c r="CO35" i="2"/>
  <c r="O242" i="6" s="1"/>
  <c r="CN35" i="2"/>
  <c r="N242" i="6" s="1"/>
  <c r="CM35" i="2"/>
  <c r="CL35" i="2"/>
  <c r="CK35" i="2"/>
  <c r="CJ35" i="2"/>
  <c r="J242" i="6" s="1"/>
  <c r="CI35" i="2"/>
  <c r="CH35" i="2"/>
  <c r="CG35" i="2"/>
  <c r="CF35" i="2"/>
  <c r="CE35" i="2"/>
  <c r="CO34" i="2"/>
  <c r="CN34" i="2"/>
  <c r="CM34" i="2"/>
  <c r="CL34" i="2"/>
  <c r="CK34" i="2"/>
  <c r="CJ34" i="2"/>
  <c r="CI34" i="2"/>
  <c r="CH34" i="2"/>
  <c r="CG34" i="2"/>
  <c r="CF34" i="2"/>
  <c r="CE34" i="2"/>
  <c r="CO33" i="2"/>
  <c r="CN33" i="2"/>
  <c r="CM33" i="2"/>
  <c r="CL33" i="2"/>
  <c r="CK33" i="2"/>
  <c r="CJ33" i="2"/>
  <c r="CI33" i="2"/>
  <c r="CH33" i="2"/>
  <c r="CG33" i="2"/>
  <c r="CF33" i="2"/>
  <c r="CE33" i="2"/>
  <c r="CL31" i="2"/>
  <c r="CK31" i="2"/>
  <c r="CJ31" i="2"/>
  <c r="CI31" i="2"/>
  <c r="CH31" i="2"/>
  <c r="CG31" i="2"/>
  <c r="CF31" i="2"/>
  <c r="CE31" i="2"/>
  <c r="CL30" i="2"/>
  <c r="CK30" i="2"/>
  <c r="CJ30" i="2"/>
  <c r="CI30" i="2"/>
  <c r="CH30" i="2"/>
  <c r="CG30" i="2"/>
  <c r="CF30" i="2"/>
  <c r="CE30" i="2"/>
  <c r="CO29" i="2"/>
  <c r="CN29" i="2"/>
  <c r="CM29" i="2"/>
  <c r="CL29" i="2"/>
  <c r="CK29" i="2"/>
  <c r="CJ29" i="2"/>
  <c r="CI29" i="2"/>
  <c r="CH29" i="2"/>
  <c r="CG29" i="2"/>
  <c r="CF29" i="2"/>
  <c r="CE29" i="2"/>
  <c r="CO28" i="2"/>
  <c r="CN28" i="2"/>
  <c r="CM28" i="2"/>
  <c r="CL28" i="2"/>
  <c r="CK28" i="2"/>
  <c r="CJ28" i="2"/>
  <c r="CI28" i="2"/>
  <c r="CH28" i="2"/>
  <c r="CG28" i="2"/>
  <c r="CF28" i="2"/>
  <c r="CE28" i="2"/>
  <c r="CO26" i="2"/>
  <c r="CN26" i="2"/>
  <c r="CM26" i="2"/>
  <c r="CL26" i="2"/>
  <c r="CK26" i="2"/>
  <c r="CJ26" i="2"/>
  <c r="CI26" i="2"/>
  <c r="CH26" i="2"/>
  <c r="CG26" i="2"/>
  <c r="CF26" i="2"/>
  <c r="CE26" i="2"/>
  <c r="CO25" i="2"/>
  <c r="CN25" i="2"/>
  <c r="CM25" i="2"/>
  <c r="CL25" i="2"/>
  <c r="CK25" i="2"/>
  <c r="CJ25" i="2"/>
  <c r="CI25" i="2"/>
  <c r="CH25" i="2"/>
  <c r="CG25" i="2"/>
  <c r="CF25" i="2"/>
  <c r="CE25" i="2"/>
  <c r="CO24" i="2"/>
  <c r="CN24" i="2"/>
  <c r="CM24" i="2"/>
  <c r="CL24" i="2"/>
  <c r="CK24" i="2"/>
  <c r="CJ24" i="2"/>
  <c r="CI24" i="2"/>
  <c r="CH24" i="2"/>
  <c r="CG24" i="2"/>
  <c r="CF24" i="2"/>
  <c r="CE24" i="2"/>
  <c r="CO23" i="2"/>
  <c r="CN23" i="2"/>
  <c r="CM23" i="2"/>
  <c r="CL23" i="2"/>
  <c r="CK23" i="2"/>
  <c r="CJ23" i="2"/>
  <c r="CI23" i="2"/>
  <c r="CH23" i="2"/>
  <c r="CG23" i="2"/>
  <c r="CF23" i="2"/>
  <c r="CE23" i="2"/>
  <c r="CO22" i="2"/>
  <c r="O287" i="6" s="1"/>
  <c r="CN22" i="2"/>
  <c r="N287" i="6" s="1"/>
  <c r="CM22" i="2"/>
  <c r="CL22" i="2"/>
  <c r="CK22" i="2"/>
  <c r="CJ22" i="2"/>
  <c r="J287" i="6" s="1"/>
  <c r="CI22" i="2"/>
  <c r="CH22" i="2"/>
  <c r="CG22" i="2"/>
  <c r="CF22" i="2"/>
  <c r="CE22" i="2"/>
  <c r="CO21" i="2"/>
  <c r="O182" i="6" s="1"/>
  <c r="CN21" i="2"/>
  <c r="N182" i="6" s="1"/>
  <c r="CM21" i="2"/>
  <c r="CL21" i="2"/>
  <c r="CK21" i="2"/>
  <c r="CJ21" i="2"/>
  <c r="J182" i="6" s="1"/>
  <c r="CI21" i="2"/>
  <c r="CH21" i="2"/>
  <c r="CG21" i="2"/>
  <c r="CF21" i="2"/>
  <c r="CE21" i="2"/>
  <c r="CO20" i="2"/>
  <c r="CN20" i="2"/>
  <c r="CM20" i="2"/>
  <c r="CL20" i="2"/>
  <c r="CK20" i="2"/>
  <c r="CJ20" i="2"/>
  <c r="CI20" i="2"/>
  <c r="CH20" i="2"/>
  <c r="CG20" i="2"/>
  <c r="CF20" i="2"/>
  <c r="CE20" i="2"/>
  <c r="CO19" i="2"/>
  <c r="O67" i="6" s="1"/>
  <c r="CN19" i="2"/>
  <c r="N67" i="6" s="1"/>
  <c r="CM19" i="2"/>
  <c r="CL19" i="2"/>
  <c r="CK19" i="2"/>
  <c r="CJ19" i="2"/>
  <c r="J67" i="6" s="1"/>
  <c r="CI19" i="2"/>
  <c r="CH19" i="2"/>
  <c r="CG19" i="2"/>
  <c r="CF19" i="2"/>
  <c r="CE19" i="2"/>
  <c r="CO18" i="2"/>
  <c r="O218" i="6" s="1"/>
  <c r="CN18" i="2"/>
  <c r="N218" i="6" s="1"/>
  <c r="CM18" i="2"/>
  <c r="CL18" i="2"/>
  <c r="CK18" i="2"/>
  <c r="CJ18" i="2"/>
  <c r="J218" i="6" s="1"/>
  <c r="CI18" i="2"/>
  <c r="CH18" i="2"/>
  <c r="CG18" i="2"/>
  <c r="CF18" i="2"/>
  <c r="CE18" i="2"/>
  <c r="CO17" i="2"/>
  <c r="O349" i="6" s="1"/>
  <c r="CN17" i="2"/>
  <c r="N349" i="6" s="1"/>
  <c r="CM17" i="2"/>
  <c r="CL17" i="2"/>
  <c r="CK17" i="2"/>
  <c r="CJ17" i="2"/>
  <c r="J349" i="6" s="1"/>
  <c r="CI17" i="2"/>
  <c r="CH17" i="2"/>
  <c r="CG17" i="2"/>
  <c r="CF17" i="2"/>
  <c r="CE17" i="2"/>
  <c r="CO16" i="2"/>
  <c r="O159" i="6" s="1"/>
  <c r="CN16" i="2"/>
  <c r="N159" i="6" s="1"/>
  <c r="CM16" i="2"/>
  <c r="CL16" i="2"/>
  <c r="CK16" i="2"/>
  <c r="CJ16" i="2"/>
  <c r="J159" i="6" s="1"/>
  <c r="CI16" i="2"/>
  <c r="CH16" i="2"/>
  <c r="CG16" i="2"/>
  <c r="CF16" i="2"/>
  <c r="CE16" i="2"/>
  <c r="CO15" i="2"/>
  <c r="O47" i="6" s="1"/>
  <c r="CN15" i="2"/>
  <c r="N47" i="6" s="1"/>
  <c r="CM15" i="2"/>
  <c r="CL15" i="2"/>
  <c r="CK15" i="2"/>
  <c r="CJ15" i="2"/>
  <c r="J47" i="6" s="1"/>
  <c r="CI15" i="2"/>
  <c r="CH15" i="2"/>
  <c r="CG15" i="2"/>
  <c r="CF15" i="2"/>
  <c r="CE15" i="2"/>
  <c r="CO14" i="2"/>
  <c r="O88" i="6" s="1"/>
  <c r="CN14" i="2"/>
  <c r="N88" i="6" s="1"/>
  <c r="CM14" i="2"/>
  <c r="CL14" i="2"/>
  <c r="CK14" i="2"/>
  <c r="CJ14" i="2"/>
  <c r="J88" i="6" s="1"/>
  <c r="CI14" i="2"/>
  <c r="CH14" i="2"/>
  <c r="CG14" i="2"/>
  <c r="CF14" i="2"/>
  <c r="CE14" i="2"/>
  <c r="CO13" i="2"/>
  <c r="O27" i="6" s="1"/>
  <c r="CN13" i="2"/>
  <c r="N27" i="6" s="1"/>
  <c r="CM13" i="2"/>
  <c r="CL13" i="2"/>
  <c r="CK13" i="2"/>
  <c r="CJ13" i="2"/>
  <c r="J27" i="6" s="1"/>
  <c r="CI13" i="2"/>
  <c r="CH13" i="2"/>
  <c r="CG13" i="2"/>
  <c r="CF13" i="2"/>
  <c r="CE13" i="2"/>
  <c r="CO12" i="2"/>
  <c r="BA65" i="4" s="1"/>
  <c r="CN12" i="2"/>
  <c r="AZ65" i="4" s="1"/>
  <c r="CM12" i="2"/>
  <c r="CL12" i="2"/>
  <c r="CK12" i="2"/>
  <c r="CJ12" i="2"/>
  <c r="AV65" i="4" s="1"/>
  <c r="CI12" i="2"/>
  <c r="CH12" i="2"/>
  <c r="CG12" i="2"/>
  <c r="CF12" i="2"/>
  <c r="CE12" i="2"/>
  <c r="CO11" i="2"/>
  <c r="O297" i="6" s="1"/>
  <c r="CN11" i="2"/>
  <c r="N297" i="6" s="1"/>
  <c r="CM11" i="2"/>
  <c r="CL11" i="2"/>
  <c r="CK11" i="2"/>
  <c r="CJ11" i="2"/>
  <c r="J297" i="6" s="1"/>
  <c r="CI11" i="2"/>
  <c r="CH11" i="2"/>
  <c r="CG11" i="2"/>
  <c r="CF11" i="2"/>
  <c r="CE11" i="2"/>
  <c r="CO10" i="2"/>
  <c r="O136" i="6" s="1"/>
  <c r="CN10" i="2"/>
  <c r="N136" i="6" s="1"/>
  <c r="CM10" i="2"/>
  <c r="CL10" i="2"/>
  <c r="CK10" i="2"/>
  <c r="CJ10" i="2"/>
  <c r="J136" i="6" s="1"/>
  <c r="CI10" i="2"/>
  <c r="CH10" i="2"/>
  <c r="CG10" i="2"/>
  <c r="CF10" i="2"/>
  <c r="CE10" i="2"/>
  <c r="CO9" i="2"/>
  <c r="O3" i="6" s="1"/>
  <c r="O25" i="6" s="1"/>
  <c r="CN9" i="2"/>
  <c r="N3" i="6" s="1"/>
  <c r="N25" i="6" s="1"/>
  <c r="CM9" i="2"/>
  <c r="CL9" i="2"/>
  <c r="CK9" i="2"/>
  <c r="CJ9" i="2"/>
  <c r="J3" i="6" s="1"/>
  <c r="J25" i="6" s="1"/>
  <c r="CI9" i="2"/>
  <c r="CH9" i="2"/>
  <c r="CG9" i="2"/>
  <c r="CF9" i="2"/>
  <c r="CE9" i="2"/>
  <c r="CO8" i="2"/>
  <c r="O107" i="6" s="1"/>
  <c r="CN8" i="2"/>
  <c r="N107" i="6" s="1"/>
  <c r="CM8" i="2"/>
  <c r="CL8" i="2"/>
  <c r="CK8" i="2"/>
  <c r="CJ8" i="2"/>
  <c r="J107" i="6" s="1"/>
  <c r="CI8" i="2"/>
  <c r="CH8" i="2"/>
  <c r="CG8" i="2"/>
  <c r="CF8" i="2"/>
  <c r="CE8" i="2"/>
  <c r="CF7" i="2"/>
  <c r="CG7" i="2" s="1"/>
  <c r="CH7" i="2" s="1"/>
  <c r="CI7" i="2" s="1"/>
  <c r="CJ7" i="2" s="1"/>
  <c r="CK7" i="2" s="1"/>
  <c r="CL7" i="2" s="1"/>
  <c r="CM7" i="2" s="1"/>
  <c r="CN7" i="2" s="1"/>
  <c r="CO7" i="2" s="1"/>
  <c r="CP7" i="2" s="1"/>
  <c r="BQ30" i="2"/>
  <c r="BQ31" i="2" s="1"/>
  <c r="CO31" i="2" s="1"/>
  <c r="BP30" i="2"/>
  <c r="BP31" i="2" s="1"/>
  <c r="CN31" i="2" s="1"/>
  <c r="BO30" i="2"/>
  <c r="BO31" i="2" s="1"/>
  <c r="CM31" i="2" s="1"/>
  <c r="U8" i="2" l="1"/>
  <c r="AD84" i="4"/>
  <c r="AD89" i="4"/>
  <c r="AD79" i="4"/>
  <c r="AD74" i="4"/>
  <c r="AD76" i="4"/>
  <c r="AD88" i="4"/>
  <c r="AD77" i="4"/>
  <c r="AD75" i="4"/>
  <c r="AD83" i="4"/>
  <c r="AD71" i="4"/>
  <c r="AD86" i="4"/>
  <c r="AD87" i="4"/>
  <c r="AD78" i="4"/>
  <c r="AD80" i="4"/>
  <c r="AD85" i="4"/>
  <c r="N227" i="6"/>
  <c r="N238" i="6"/>
  <c r="N226" i="6"/>
  <c r="N237" i="6"/>
  <c r="N225" i="6"/>
  <c r="N222" i="6"/>
  <c r="N236" i="6"/>
  <c r="N224" i="6"/>
  <c r="N235" i="6"/>
  <c r="N223" i="6"/>
  <c r="N234" i="6"/>
  <c r="N233" i="6"/>
  <c r="N221" i="6"/>
  <c r="N232" i="6"/>
  <c r="N220" i="6"/>
  <c r="N231" i="6"/>
  <c r="N219" i="6"/>
  <c r="N230" i="6"/>
  <c r="N229" i="6"/>
  <c r="N228" i="6"/>
  <c r="O81" i="6"/>
  <c r="O87" i="6"/>
  <c r="O71" i="6"/>
  <c r="O82" i="6"/>
  <c r="O73" i="6"/>
  <c r="O77" i="6"/>
  <c r="O75" i="6"/>
  <c r="O79" i="6"/>
  <c r="O78" i="6"/>
  <c r="O69" i="6"/>
  <c r="O86" i="6"/>
  <c r="O80" i="6"/>
  <c r="O74" i="6"/>
  <c r="O68" i="6"/>
  <c r="O76" i="6"/>
  <c r="O83" i="6"/>
  <c r="BA12" i="4" s="1"/>
  <c r="O70" i="6"/>
  <c r="O84" i="6"/>
  <c r="O85" i="6"/>
  <c r="O72" i="6"/>
  <c r="J37" i="6"/>
  <c r="J28" i="6"/>
  <c r="J36" i="6"/>
  <c r="J34" i="6"/>
  <c r="J40" i="6"/>
  <c r="J35" i="6"/>
  <c r="J46" i="6"/>
  <c r="J45" i="6"/>
  <c r="J33" i="6"/>
  <c r="J44" i="6"/>
  <c r="J32" i="6"/>
  <c r="J43" i="6"/>
  <c r="J31" i="6"/>
  <c r="J42" i="6"/>
  <c r="J30" i="6"/>
  <c r="J41" i="6"/>
  <c r="J29" i="6"/>
  <c r="J38" i="6"/>
  <c r="J39" i="6"/>
  <c r="N355" i="6"/>
  <c r="N353" i="6"/>
  <c r="N354" i="6"/>
  <c r="N352" i="6"/>
  <c r="N351" i="6"/>
  <c r="AZ42" i="4" s="1"/>
  <c r="N350" i="6"/>
  <c r="AZ41" i="4" s="1"/>
  <c r="O231" i="6"/>
  <c r="O228" i="6"/>
  <c r="O220" i="6"/>
  <c r="O226" i="6"/>
  <c r="O235" i="6"/>
  <c r="O221" i="6"/>
  <c r="O234" i="6"/>
  <c r="O219" i="6"/>
  <c r="O233" i="6"/>
  <c r="O232" i="6"/>
  <c r="O230" i="6"/>
  <c r="O229" i="6"/>
  <c r="O223" i="6"/>
  <c r="O227" i="6"/>
  <c r="O238" i="6"/>
  <c r="O237" i="6"/>
  <c r="O236" i="6"/>
  <c r="O225" i="6"/>
  <c r="O224" i="6"/>
  <c r="O222" i="6"/>
  <c r="N79" i="6"/>
  <c r="N75" i="6"/>
  <c r="N80" i="6"/>
  <c r="N81" i="6"/>
  <c r="N68" i="6"/>
  <c r="N73" i="6"/>
  <c r="N82" i="6"/>
  <c r="N77" i="6"/>
  <c r="N70" i="6"/>
  <c r="N69" i="6"/>
  <c r="N71" i="6"/>
  <c r="N84" i="6"/>
  <c r="N72" i="6"/>
  <c r="N74" i="6"/>
  <c r="N87" i="6"/>
  <c r="N86" i="6"/>
  <c r="N76" i="6"/>
  <c r="N78" i="6"/>
  <c r="N85" i="6"/>
  <c r="N83" i="6"/>
  <c r="AZ12" i="4" s="1"/>
  <c r="J95" i="6"/>
  <c r="J92" i="6"/>
  <c r="J106" i="6"/>
  <c r="J94" i="6"/>
  <c r="J104" i="6"/>
  <c r="J105" i="6"/>
  <c r="J93" i="6"/>
  <c r="J103" i="6"/>
  <c r="J91" i="6"/>
  <c r="J102" i="6"/>
  <c r="J90" i="6"/>
  <c r="J101" i="6"/>
  <c r="J89" i="6"/>
  <c r="J98" i="6"/>
  <c r="J96" i="6"/>
  <c r="J100" i="6"/>
  <c r="J99" i="6"/>
  <c r="J97" i="6"/>
  <c r="J339" i="6"/>
  <c r="J327" i="6"/>
  <c r="J338" i="6"/>
  <c r="J326" i="6"/>
  <c r="J337" i="6"/>
  <c r="J325" i="6"/>
  <c r="J328" i="6"/>
  <c r="AV50" i="4" s="1"/>
  <c r="J336" i="6"/>
  <c r="J324" i="6"/>
  <c r="J335" i="6"/>
  <c r="J348" i="6"/>
  <c r="J334" i="6"/>
  <c r="J330" i="6"/>
  <c r="AV57" i="4" s="1"/>
  <c r="J347" i="6"/>
  <c r="AV73" i="4" s="1"/>
  <c r="J333" i="6"/>
  <c r="J346" i="6"/>
  <c r="J332" i="6"/>
  <c r="J345" i="6"/>
  <c r="J331" i="6"/>
  <c r="J342" i="6"/>
  <c r="J341" i="6"/>
  <c r="AV60" i="4" s="1"/>
  <c r="J329" i="6"/>
  <c r="J340" i="6"/>
  <c r="N172" i="6"/>
  <c r="N169" i="6"/>
  <c r="N168" i="6"/>
  <c r="N167" i="6"/>
  <c r="N165" i="6"/>
  <c r="N175" i="6"/>
  <c r="N163" i="6"/>
  <c r="N166" i="6"/>
  <c r="N176" i="6"/>
  <c r="N164" i="6"/>
  <c r="N171" i="6"/>
  <c r="N174" i="6"/>
  <c r="N162" i="6"/>
  <c r="N178" i="6"/>
  <c r="N170" i="6"/>
  <c r="N173" i="6"/>
  <c r="N160" i="6"/>
  <c r="N177" i="6"/>
  <c r="N161" i="6"/>
  <c r="O354" i="6"/>
  <c r="O352" i="6"/>
  <c r="O355" i="6"/>
  <c r="O353" i="6"/>
  <c r="O351" i="6"/>
  <c r="BA42" i="4" s="1"/>
  <c r="O350" i="6"/>
  <c r="BA41" i="4" s="1"/>
  <c r="J63" i="6"/>
  <c r="J51" i="6"/>
  <c r="J60" i="6"/>
  <c r="J62" i="6"/>
  <c r="J50" i="6"/>
  <c r="J48" i="6"/>
  <c r="J61" i="6"/>
  <c r="J49" i="6"/>
  <c r="J54" i="6"/>
  <c r="J59" i="6"/>
  <c r="J66" i="6"/>
  <c r="J52" i="6"/>
  <c r="J58" i="6"/>
  <c r="J57" i="6"/>
  <c r="J56" i="6"/>
  <c r="J55" i="6"/>
  <c r="J65" i="6"/>
  <c r="J53" i="6"/>
  <c r="J64" i="6"/>
  <c r="J320" i="6"/>
  <c r="J308" i="6"/>
  <c r="J309" i="6"/>
  <c r="J319" i="6"/>
  <c r="J307" i="6"/>
  <c r="J318" i="6"/>
  <c r="J306" i="6"/>
  <c r="AV70" i="4" s="1"/>
  <c r="J317" i="6"/>
  <c r="J305" i="6"/>
  <c r="J316" i="6"/>
  <c r="AV49" i="4" s="1"/>
  <c r="J304" i="6"/>
  <c r="J315" i="6"/>
  <c r="J303" i="6"/>
  <c r="J314" i="6"/>
  <c r="J302" i="6"/>
  <c r="J311" i="6"/>
  <c r="J321" i="6"/>
  <c r="J313" i="6"/>
  <c r="AV48" i="4" s="1"/>
  <c r="J301" i="6"/>
  <c r="J299" i="6"/>
  <c r="J312" i="6"/>
  <c r="J300" i="6"/>
  <c r="J322" i="6"/>
  <c r="J310" i="6"/>
  <c r="J298" i="6"/>
  <c r="N55" i="6"/>
  <c r="N54" i="6"/>
  <c r="N62" i="6"/>
  <c r="N65" i="6"/>
  <c r="N53" i="6"/>
  <c r="N64" i="6"/>
  <c r="N52" i="6"/>
  <c r="N50" i="6"/>
  <c r="N63" i="6"/>
  <c r="N51" i="6"/>
  <c r="N61" i="6"/>
  <c r="N49" i="6"/>
  <c r="N60" i="6"/>
  <c r="N48" i="6"/>
  <c r="N59" i="6"/>
  <c r="N66" i="6"/>
  <c r="N57" i="6"/>
  <c r="N58" i="6"/>
  <c r="N56" i="6"/>
  <c r="O178" i="6"/>
  <c r="O160" i="6"/>
  <c r="O165" i="6"/>
  <c r="O177" i="6"/>
  <c r="O164" i="6"/>
  <c r="O172" i="6"/>
  <c r="O163" i="6"/>
  <c r="O174" i="6"/>
  <c r="O175" i="6"/>
  <c r="O176" i="6"/>
  <c r="O162" i="6"/>
  <c r="O171" i="6"/>
  <c r="O161" i="6"/>
  <c r="O173" i="6"/>
  <c r="O169" i="6"/>
  <c r="O167" i="6"/>
  <c r="O170" i="6"/>
  <c r="O166" i="6"/>
  <c r="O168" i="6"/>
  <c r="N245" i="6"/>
  <c r="N244" i="6"/>
  <c r="N243" i="6"/>
  <c r="N247" i="6"/>
  <c r="N248" i="6"/>
  <c r="N246" i="6"/>
  <c r="J146" i="6"/>
  <c r="J152" i="6"/>
  <c r="J145" i="6"/>
  <c r="AV53" i="4" s="1"/>
  <c r="J158" i="6"/>
  <c r="J144" i="6"/>
  <c r="AV56" i="4" s="1"/>
  <c r="J143" i="6"/>
  <c r="J156" i="6"/>
  <c r="J142" i="6"/>
  <c r="AV55" i="4" s="1"/>
  <c r="J147" i="6"/>
  <c r="J153" i="6"/>
  <c r="J141" i="6"/>
  <c r="J157" i="6"/>
  <c r="J140" i="6"/>
  <c r="J149" i="6"/>
  <c r="AV62" i="4" s="1"/>
  <c r="J154" i="6"/>
  <c r="J139" i="6"/>
  <c r="J137" i="6"/>
  <c r="J150" i="6"/>
  <c r="AV54" i="4" s="1"/>
  <c r="J138" i="6"/>
  <c r="J148" i="6"/>
  <c r="J151" i="6"/>
  <c r="J155" i="6"/>
  <c r="N103" i="6"/>
  <c r="N90" i="6"/>
  <c r="N102" i="6"/>
  <c r="N91" i="6"/>
  <c r="N98" i="6"/>
  <c r="N101" i="6"/>
  <c r="N92" i="6"/>
  <c r="N100" i="6"/>
  <c r="N99" i="6"/>
  <c r="N96" i="6"/>
  <c r="N105" i="6"/>
  <c r="N95" i="6"/>
  <c r="N106" i="6"/>
  <c r="N94" i="6"/>
  <c r="N93" i="6"/>
  <c r="N104" i="6"/>
  <c r="N89" i="6"/>
  <c r="N97" i="6"/>
  <c r="O66" i="6"/>
  <c r="O49" i="6"/>
  <c r="O48" i="6"/>
  <c r="O65" i="6"/>
  <c r="O55" i="6"/>
  <c r="O53" i="6"/>
  <c r="O52" i="6"/>
  <c r="O63" i="6"/>
  <c r="O60" i="6"/>
  <c r="O57" i="6"/>
  <c r="O54" i="6"/>
  <c r="O50" i="6"/>
  <c r="O51" i="6"/>
  <c r="O56" i="6"/>
  <c r="O62" i="6"/>
  <c r="O64" i="6"/>
  <c r="O61" i="6"/>
  <c r="O58" i="6"/>
  <c r="O59" i="6"/>
  <c r="J295" i="6"/>
  <c r="J294" i="6"/>
  <c r="J293" i="6"/>
  <c r="J292" i="6"/>
  <c r="J291" i="6"/>
  <c r="J290" i="6"/>
  <c r="J296" i="6"/>
  <c r="J289" i="6"/>
  <c r="J288" i="6"/>
  <c r="O244" i="6"/>
  <c r="O248" i="6"/>
  <c r="O247" i="6"/>
  <c r="O246" i="6"/>
  <c r="O245" i="6"/>
  <c r="O243" i="6"/>
  <c r="J14" i="6"/>
  <c r="J15" i="6"/>
  <c r="J26" i="6"/>
  <c r="AV9" i="4" s="1"/>
  <c r="J13" i="6"/>
  <c r="J11" i="6"/>
  <c r="J24" i="6"/>
  <c r="J12" i="6"/>
  <c r="J23" i="6"/>
  <c r="AV27" i="4" s="1"/>
  <c r="J22" i="6"/>
  <c r="J10" i="6"/>
  <c r="J21" i="6"/>
  <c r="AV26" i="4" s="1"/>
  <c r="J9" i="6"/>
  <c r="J20" i="6"/>
  <c r="AV25" i="4" s="1"/>
  <c r="J8" i="6"/>
  <c r="AV24" i="4" s="1"/>
  <c r="J19" i="6"/>
  <c r="J7" i="6"/>
  <c r="J5" i="6"/>
  <c r="J18" i="6"/>
  <c r="J6" i="6"/>
  <c r="J17" i="6"/>
  <c r="J16" i="6"/>
  <c r="J4" i="6"/>
  <c r="N41" i="6"/>
  <c r="N29" i="6"/>
  <c r="N40" i="6"/>
  <c r="N28" i="6"/>
  <c r="N39" i="6"/>
  <c r="N36" i="6"/>
  <c r="N38" i="6"/>
  <c r="N37" i="6"/>
  <c r="N35" i="6"/>
  <c r="N46" i="6"/>
  <c r="N34" i="6"/>
  <c r="N31" i="6"/>
  <c r="N45" i="6"/>
  <c r="N33" i="6"/>
  <c r="N44" i="6"/>
  <c r="N32" i="6"/>
  <c r="N43" i="6"/>
  <c r="N42" i="6"/>
  <c r="N30" i="6"/>
  <c r="O104" i="6"/>
  <c r="O92" i="6"/>
  <c r="O96" i="6"/>
  <c r="O103" i="6"/>
  <c r="O105" i="6"/>
  <c r="O93" i="6"/>
  <c r="O101" i="6"/>
  <c r="O91" i="6"/>
  <c r="O98" i="6"/>
  <c r="O94" i="6"/>
  <c r="O90" i="6"/>
  <c r="O100" i="6"/>
  <c r="O99" i="6"/>
  <c r="O106" i="6"/>
  <c r="O102" i="6"/>
  <c r="O89" i="6"/>
  <c r="O95" i="6"/>
  <c r="O97" i="6"/>
  <c r="J197" i="6"/>
  <c r="J185" i="6"/>
  <c r="J196" i="6"/>
  <c r="J184" i="6"/>
  <c r="J194" i="6"/>
  <c r="J195" i="6"/>
  <c r="J183" i="6"/>
  <c r="J186" i="6"/>
  <c r="J193" i="6"/>
  <c r="J192" i="6"/>
  <c r="J188" i="6"/>
  <c r="J198" i="6"/>
  <c r="J191" i="6"/>
  <c r="J202" i="6"/>
  <c r="J190" i="6"/>
  <c r="J200" i="6"/>
  <c r="J201" i="6"/>
  <c r="AV69" i="4" s="1"/>
  <c r="J189" i="6"/>
  <c r="J199" i="6"/>
  <c r="AV61" i="4" s="1"/>
  <c r="J187" i="6"/>
  <c r="J108" i="6"/>
  <c r="J110" i="6"/>
  <c r="J111" i="6"/>
  <c r="J109" i="6"/>
  <c r="N341" i="6"/>
  <c r="AZ60" i="4" s="1"/>
  <c r="N329" i="6"/>
  <c r="N336" i="6"/>
  <c r="N340" i="6"/>
  <c r="N328" i="6"/>
  <c r="AZ50" i="4" s="1"/>
  <c r="N339" i="6"/>
  <c r="N327" i="6"/>
  <c r="N324" i="6"/>
  <c r="N338" i="6"/>
  <c r="N326" i="6"/>
  <c r="N337" i="6"/>
  <c r="N325" i="6"/>
  <c r="N335" i="6"/>
  <c r="N348" i="6"/>
  <c r="N334" i="6"/>
  <c r="N347" i="6"/>
  <c r="AZ73" i="4" s="1"/>
  <c r="N333" i="6"/>
  <c r="N345" i="6"/>
  <c r="N346" i="6"/>
  <c r="N332" i="6"/>
  <c r="N331" i="6"/>
  <c r="N342" i="6"/>
  <c r="N330" i="6"/>
  <c r="AZ57" i="4" s="1"/>
  <c r="O31" i="6"/>
  <c r="O46" i="6"/>
  <c r="O43" i="6"/>
  <c r="O38" i="6"/>
  <c r="O41" i="6"/>
  <c r="O36" i="6"/>
  <c r="O39" i="6"/>
  <c r="O34" i="6"/>
  <c r="O37" i="6"/>
  <c r="O32" i="6"/>
  <c r="O35" i="6"/>
  <c r="O30" i="6"/>
  <c r="O33" i="6"/>
  <c r="O28" i="6"/>
  <c r="O29" i="6"/>
  <c r="O45" i="6"/>
  <c r="O44" i="6"/>
  <c r="O42" i="6"/>
  <c r="O40" i="6"/>
  <c r="J246" i="6"/>
  <c r="J245" i="6"/>
  <c r="J244" i="6"/>
  <c r="J243" i="6"/>
  <c r="J248" i="6"/>
  <c r="J247" i="6"/>
  <c r="N316" i="6"/>
  <c r="AZ49" i="4" s="1"/>
  <c r="N304" i="6"/>
  <c r="N315" i="6"/>
  <c r="N303" i="6"/>
  <c r="N311" i="6"/>
  <c r="N314" i="6"/>
  <c r="N302" i="6"/>
  <c r="N313" i="6"/>
  <c r="AZ48" i="4" s="1"/>
  <c r="N301" i="6"/>
  <c r="N312" i="6"/>
  <c r="N300" i="6"/>
  <c r="N322" i="6"/>
  <c r="N310" i="6"/>
  <c r="N298" i="6"/>
  <c r="N321" i="6"/>
  <c r="N309" i="6"/>
  <c r="N306" i="6"/>
  <c r="AZ70" i="4" s="1"/>
  <c r="N320" i="6"/>
  <c r="N308" i="6"/>
  <c r="AZ39" i="4" s="1"/>
  <c r="N319" i="6"/>
  <c r="N307" i="6"/>
  <c r="N318" i="6"/>
  <c r="N317" i="6"/>
  <c r="N305" i="6"/>
  <c r="N299" i="6"/>
  <c r="O348" i="6"/>
  <c r="O334" i="6"/>
  <c r="O346" i="6"/>
  <c r="O332" i="6"/>
  <c r="O340" i="6"/>
  <c r="O328" i="6"/>
  <c r="BA50" i="4" s="1"/>
  <c r="O339" i="6"/>
  <c r="O327" i="6"/>
  <c r="O338" i="6"/>
  <c r="O326" i="6"/>
  <c r="O337" i="6"/>
  <c r="O325" i="6"/>
  <c r="O336" i="6"/>
  <c r="O324" i="6"/>
  <c r="O335" i="6"/>
  <c r="O347" i="6"/>
  <c r="BA73" i="4" s="1"/>
  <c r="O333" i="6"/>
  <c r="O329" i="6"/>
  <c r="O331" i="6"/>
  <c r="O342" i="6"/>
  <c r="O341" i="6"/>
  <c r="BA60" i="4" s="1"/>
  <c r="O345" i="6"/>
  <c r="O330" i="6"/>
  <c r="BA57" i="4" s="1"/>
  <c r="J78" i="6"/>
  <c r="J73" i="6"/>
  <c r="J80" i="6"/>
  <c r="J68" i="6"/>
  <c r="J76" i="6"/>
  <c r="J79" i="6"/>
  <c r="J82" i="6"/>
  <c r="J71" i="6"/>
  <c r="J87" i="6"/>
  <c r="J70" i="6"/>
  <c r="J84" i="6"/>
  <c r="J69" i="6"/>
  <c r="AV20" i="4" s="1"/>
  <c r="J74" i="6"/>
  <c r="J83" i="6"/>
  <c r="AV12" i="4" s="1"/>
  <c r="J72" i="6"/>
  <c r="J85" i="6"/>
  <c r="J86" i="6"/>
  <c r="J81" i="6"/>
  <c r="J75" i="6"/>
  <c r="J77" i="6"/>
  <c r="N148" i="6"/>
  <c r="N158" i="6"/>
  <c r="N147" i="6"/>
  <c r="N155" i="6"/>
  <c r="N146" i="6"/>
  <c r="N152" i="6"/>
  <c r="N145" i="6"/>
  <c r="AZ53" i="4" s="1"/>
  <c r="N151" i="6"/>
  <c r="N143" i="6"/>
  <c r="N144" i="6"/>
  <c r="AZ56" i="4" s="1"/>
  <c r="N156" i="6"/>
  <c r="N142" i="6"/>
  <c r="AZ55" i="4" s="1"/>
  <c r="N153" i="6"/>
  <c r="N141" i="6"/>
  <c r="N150" i="6"/>
  <c r="AZ54" i="4" s="1"/>
  <c r="N157" i="6"/>
  <c r="N140" i="6"/>
  <c r="N138" i="6"/>
  <c r="N154" i="6"/>
  <c r="N139" i="6"/>
  <c r="N149" i="6"/>
  <c r="AZ62" i="4" s="1"/>
  <c r="N137" i="6"/>
  <c r="O321" i="6"/>
  <c r="O309" i="6"/>
  <c r="O319" i="6"/>
  <c r="O307" i="6"/>
  <c r="O315" i="6"/>
  <c r="O303" i="6"/>
  <c r="O314" i="6"/>
  <c r="O302" i="6"/>
  <c r="O313" i="6"/>
  <c r="BA48" i="4" s="1"/>
  <c r="O301" i="6"/>
  <c r="O312" i="6"/>
  <c r="O300" i="6"/>
  <c r="O311" i="6"/>
  <c r="O299" i="6"/>
  <c r="O322" i="6"/>
  <c r="O310" i="6"/>
  <c r="O298" i="6"/>
  <c r="O320" i="6"/>
  <c r="O308" i="6"/>
  <c r="O318" i="6"/>
  <c r="O316" i="6"/>
  <c r="BA49" i="4" s="1"/>
  <c r="O306" i="6"/>
  <c r="BA70" i="4" s="1"/>
  <c r="O305" i="6"/>
  <c r="O317" i="6"/>
  <c r="O304" i="6"/>
  <c r="J228" i="6"/>
  <c r="J227" i="6"/>
  <c r="J238" i="6"/>
  <c r="J226" i="6"/>
  <c r="J237" i="6"/>
  <c r="J225" i="6"/>
  <c r="J236" i="6"/>
  <c r="J224" i="6"/>
  <c r="J235" i="6"/>
  <c r="J223" i="6"/>
  <c r="J234" i="6"/>
  <c r="J222" i="6"/>
  <c r="J219" i="6"/>
  <c r="J233" i="6"/>
  <c r="J221" i="6"/>
  <c r="J231" i="6"/>
  <c r="J232" i="6"/>
  <c r="J220" i="6"/>
  <c r="J230" i="6"/>
  <c r="J229" i="6"/>
  <c r="N293" i="6"/>
  <c r="N288" i="6"/>
  <c r="N292" i="6"/>
  <c r="N291" i="6"/>
  <c r="N290" i="6"/>
  <c r="N289" i="6"/>
  <c r="N295" i="6"/>
  <c r="N296" i="6"/>
  <c r="N294" i="6"/>
  <c r="O108" i="6"/>
  <c r="O110" i="6"/>
  <c r="O109" i="6"/>
  <c r="O111" i="6"/>
  <c r="N24" i="6"/>
  <c r="N12" i="6"/>
  <c r="N14" i="6"/>
  <c r="N23" i="6"/>
  <c r="AZ27" i="4" s="1"/>
  <c r="N11" i="6"/>
  <c r="N22" i="6"/>
  <c r="N10" i="6"/>
  <c r="N21" i="6"/>
  <c r="AZ26" i="4" s="1"/>
  <c r="N9" i="6"/>
  <c r="N19" i="6"/>
  <c r="N18" i="6"/>
  <c r="N20" i="6"/>
  <c r="AZ25" i="4" s="1"/>
  <c r="N8" i="6"/>
  <c r="AZ24" i="4" s="1"/>
  <c r="N7" i="6"/>
  <c r="N17" i="6"/>
  <c r="N5" i="6"/>
  <c r="N16" i="6"/>
  <c r="N4" i="6"/>
  <c r="N15" i="6"/>
  <c r="N26" i="6"/>
  <c r="AZ9" i="4" s="1"/>
  <c r="N13" i="6"/>
  <c r="N6" i="6"/>
  <c r="O143" i="6"/>
  <c r="O153" i="6"/>
  <c r="O141" i="6"/>
  <c r="O149" i="6"/>
  <c r="BA62" i="4" s="1"/>
  <c r="O137" i="6"/>
  <c r="O148" i="6"/>
  <c r="O151" i="6"/>
  <c r="O147" i="6"/>
  <c r="O158" i="6"/>
  <c r="O146" i="6"/>
  <c r="O155" i="6"/>
  <c r="O145" i="6"/>
  <c r="BA53" i="4" s="1"/>
  <c r="O152" i="6"/>
  <c r="O144" i="6"/>
  <c r="BA56" i="4" s="1"/>
  <c r="O156" i="6"/>
  <c r="O142" i="6"/>
  <c r="BA55" i="4" s="1"/>
  <c r="O157" i="6"/>
  <c r="O154" i="6"/>
  <c r="O140" i="6"/>
  <c r="O139" i="6"/>
  <c r="O138" i="6"/>
  <c r="O150" i="6"/>
  <c r="BA54" i="4" s="1"/>
  <c r="J355" i="6"/>
  <c r="J350" i="6"/>
  <c r="AV41" i="4" s="1"/>
  <c r="J354" i="6"/>
  <c r="J353" i="6"/>
  <c r="J352" i="6"/>
  <c r="J351" i="6"/>
  <c r="AV42" i="4" s="1"/>
  <c r="N201" i="6"/>
  <c r="AZ69" i="4" s="1"/>
  <c r="N189" i="6"/>
  <c r="N196" i="6"/>
  <c r="N200" i="6"/>
  <c r="N188" i="6"/>
  <c r="N199" i="6"/>
  <c r="AZ61" i="4" s="1"/>
  <c r="N187" i="6"/>
  <c r="N198" i="6"/>
  <c r="N186" i="6"/>
  <c r="N197" i="6"/>
  <c r="N185" i="6"/>
  <c r="N184" i="6"/>
  <c r="N195" i="6"/>
  <c r="N183" i="6"/>
  <c r="N194" i="6"/>
  <c r="N193" i="6"/>
  <c r="N191" i="6"/>
  <c r="N192" i="6"/>
  <c r="N202" i="6"/>
  <c r="N190" i="6"/>
  <c r="O296" i="6"/>
  <c r="O292" i="6"/>
  <c r="O291" i="6"/>
  <c r="O290" i="6"/>
  <c r="O289" i="6"/>
  <c r="O288" i="6"/>
  <c r="O293" i="6"/>
  <c r="O295" i="6"/>
  <c r="O294" i="6"/>
  <c r="N110" i="6"/>
  <c r="N108" i="6"/>
  <c r="N109" i="6"/>
  <c r="N111" i="6"/>
  <c r="O21" i="6"/>
  <c r="BA26" i="4" s="1"/>
  <c r="O9" i="6"/>
  <c r="O15" i="6"/>
  <c r="O14" i="6"/>
  <c r="O26" i="6"/>
  <c r="BA9" i="4" s="1"/>
  <c r="O13" i="6"/>
  <c r="O24" i="6"/>
  <c r="O12" i="6"/>
  <c r="O23" i="6"/>
  <c r="BA27" i="4" s="1"/>
  <c r="O11" i="6"/>
  <c r="O22" i="6"/>
  <c r="O10" i="6"/>
  <c r="O8" i="6"/>
  <c r="BA24" i="4" s="1"/>
  <c r="O20" i="6"/>
  <c r="BA25" i="4" s="1"/>
  <c r="O16" i="6"/>
  <c r="O6" i="6"/>
  <c r="O5" i="6"/>
  <c r="O4" i="6"/>
  <c r="O7" i="6"/>
  <c r="O18" i="6"/>
  <c r="O19" i="6"/>
  <c r="O17" i="6"/>
  <c r="J162" i="6"/>
  <c r="J171" i="6"/>
  <c r="J170" i="6"/>
  <c r="J160" i="6"/>
  <c r="J172" i="6"/>
  <c r="J174" i="6"/>
  <c r="J168" i="6"/>
  <c r="J169" i="6"/>
  <c r="J178" i="6"/>
  <c r="J167" i="6"/>
  <c r="J173" i="6"/>
  <c r="J165" i="6"/>
  <c r="J177" i="6"/>
  <c r="J175" i="6"/>
  <c r="J163" i="6"/>
  <c r="J161" i="6"/>
  <c r="J164" i="6"/>
  <c r="J166" i="6"/>
  <c r="J176" i="6"/>
  <c r="O202" i="6"/>
  <c r="O190" i="6"/>
  <c r="O196" i="6"/>
  <c r="O184" i="6"/>
  <c r="O195" i="6"/>
  <c r="O183" i="6"/>
  <c r="O194" i="6"/>
  <c r="O193" i="6"/>
  <c r="O192" i="6"/>
  <c r="O191" i="6"/>
  <c r="O201" i="6"/>
  <c r="BA69" i="4" s="1"/>
  <c r="O189" i="6"/>
  <c r="O200" i="6"/>
  <c r="O199" i="6"/>
  <c r="BA61" i="4" s="1"/>
  <c r="O198" i="6"/>
  <c r="O197" i="6"/>
  <c r="O188" i="6"/>
  <c r="O187" i="6"/>
  <c r="O185" i="6"/>
  <c r="O186" i="6"/>
  <c r="G40" i="4"/>
  <c r="V40" i="4"/>
  <c r="G38" i="4"/>
  <c r="V38" i="4"/>
  <c r="G32" i="4"/>
  <c r="V32" i="4"/>
  <c r="G8" i="4"/>
  <c r="V8" i="4"/>
  <c r="G42" i="4"/>
  <c r="V42" i="4"/>
  <c r="G31" i="4"/>
  <c r="V31" i="4"/>
  <c r="G41" i="4"/>
  <c r="V41" i="4"/>
  <c r="AB32" i="4"/>
  <c r="AB38" i="4"/>
  <c r="AB31" i="4"/>
  <c r="BH7" i="2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R32" i="4" l="1"/>
  <c r="Q32" i="4" s="1"/>
  <c r="R38" i="4"/>
  <c r="Q38" i="4" s="1"/>
  <c r="AV37" i="4"/>
  <c r="AZ64" i="4"/>
  <c r="BA63" i="4"/>
  <c r="AV63" i="4"/>
  <c r="AV64" i="4"/>
  <c r="BA64" i="4"/>
  <c r="AZ63" i="4"/>
  <c r="R31" i="4"/>
  <c r="Q31" i="4" s="1"/>
  <c r="R40" i="4"/>
  <c r="Q40" i="4" s="1"/>
  <c r="BA11" i="4"/>
  <c r="AA40" i="4"/>
  <c r="AD40" i="4" s="1"/>
  <c r="Z40" i="4"/>
  <c r="Z42" i="4"/>
  <c r="Z8" i="4"/>
  <c r="Z32" i="4"/>
  <c r="Z38" i="4"/>
  <c r="Z41" i="4"/>
  <c r="Z31" i="4"/>
  <c r="AV68" i="4"/>
  <c r="J128" i="6"/>
  <c r="AZ67" i="4"/>
  <c r="N112" i="6"/>
  <c r="BA67" i="4"/>
  <c r="O112" i="6"/>
  <c r="BA68" i="4"/>
  <c r="O128" i="6"/>
  <c r="AZ68" i="4"/>
  <c r="N128" i="6"/>
  <c r="AV67" i="4"/>
  <c r="J112" i="6"/>
  <c r="BA15" i="4"/>
  <c r="AV33" i="4"/>
  <c r="AZ10" i="4"/>
  <c r="AZ46" i="4"/>
  <c r="AV39" i="4"/>
  <c r="AV11" i="4"/>
  <c r="AZ33" i="4"/>
  <c r="BA39" i="4"/>
  <c r="AV21" i="4"/>
  <c r="AZ37" i="4"/>
  <c r="AZ51" i="4"/>
  <c r="AZ20" i="4"/>
  <c r="BA14" i="4"/>
  <c r="AZ30" i="4"/>
  <c r="BA30" i="4"/>
  <c r="BA21" i="4"/>
  <c r="BA22" i="4"/>
  <c r="AZ22" i="4"/>
  <c r="AZ11" i="4"/>
  <c r="BA52" i="4"/>
  <c r="BA37" i="4"/>
  <c r="BA51" i="4"/>
  <c r="AZ28" i="4"/>
  <c r="BA16" i="4"/>
  <c r="BA33" i="4"/>
  <c r="AV30" i="4"/>
  <c r="BA18" i="4"/>
  <c r="BA10" i="4"/>
  <c r="AZ21" i="4"/>
  <c r="AZ14" i="4"/>
  <c r="AZ18" i="4"/>
  <c r="AV18" i="4"/>
  <c r="AV28" i="4"/>
  <c r="AV17" i="4"/>
  <c r="AZ15" i="4"/>
  <c r="AV8" i="4"/>
  <c r="J253" i="6"/>
  <c r="J258" i="6" s="1"/>
  <c r="AV45" i="4" s="1"/>
  <c r="AV15" i="4"/>
  <c r="AZ17" i="4"/>
  <c r="AZ8" i="4"/>
  <c r="N253" i="6"/>
  <c r="N258" i="6" s="1"/>
  <c r="AZ45" i="4" s="1"/>
  <c r="BA20" i="4"/>
  <c r="AZ52" i="4"/>
  <c r="AV10" i="4"/>
  <c r="AV16" i="4"/>
  <c r="BA8" i="4"/>
  <c r="O253" i="6"/>
  <c r="O258" i="6" s="1"/>
  <c r="BA45" i="4" s="1"/>
  <c r="AV22" i="4"/>
  <c r="AV52" i="4"/>
  <c r="AV51" i="4"/>
  <c r="AZ16" i="4"/>
  <c r="BA28" i="4"/>
  <c r="BA46" i="4"/>
  <c r="AV46" i="4"/>
  <c r="BA17" i="4"/>
  <c r="AV14" i="4"/>
  <c r="AA42" i="4"/>
  <c r="AA32" i="4"/>
  <c r="AD32" i="4" s="1"/>
  <c r="AA41" i="4"/>
  <c r="AA38" i="4"/>
  <c r="AD38" i="4" s="1"/>
  <c r="AA31" i="4"/>
  <c r="AD31" i="4" s="1"/>
  <c r="AA8" i="4"/>
  <c r="F26" i="4"/>
  <c r="N130" i="6" l="1"/>
  <c r="AZ19" i="4" s="1"/>
  <c r="N131" i="6"/>
  <c r="N134" i="6"/>
  <c r="N129" i="6"/>
  <c r="AZ13" i="4" s="1"/>
  <c r="N132" i="6"/>
  <c r="N135" i="6"/>
  <c r="N133" i="6"/>
  <c r="O131" i="6"/>
  <c r="O135" i="6"/>
  <c r="O129" i="6"/>
  <c r="BA13" i="4" s="1"/>
  <c r="O132" i="6"/>
  <c r="O130" i="6"/>
  <c r="BA19" i="4" s="1"/>
  <c r="O133" i="6"/>
  <c r="O134" i="6"/>
  <c r="O121" i="6"/>
  <c r="BA59" i="4" s="1"/>
  <c r="O118" i="6"/>
  <c r="O127" i="6"/>
  <c r="O115" i="6"/>
  <c r="BA43" i="4" s="1"/>
  <c r="O125" i="6"/>
  <c r="O119" i="6"/>
  <c r="BA34" i="4" s="1"/>
  <c r="O117" i="6"/>
  <c r="BA29" i="4" s="1"/>
  <c r="O116" i="6"/>
  <c r="O113" i="6"/>
  <c r="O122" i="6"/>
  <c r="BA36" i="4" s="1"/>
  <c r="O120" i="6"/>
  <c r="BA35" i="4" s="1"/>
  <c r="O123" i="6"/>
  <c r="O126" i="6"/>
  <c r="O114" i="6"/>
  <c r="BA23" i="4" s="1"/>
  <c r="O124" i="6"/>
  <c r="N126" i="6"/>
  <c r="N114" i="6"/>
  <c r="AZ23" i="4" s="1"/>
  <c r="N120" i="6"/>
  <c r="AZ35" i="4" s="1"/>
  <c r="N125" i="6"/>
  <c r="N122" i="6"/>
  <c r="AZ36" i="4" s="1"/>
  <c r="N117" i="6"/>
  <c r="AZ29" i="4" s="1"/>
  <c r="N124" i="6"/>
  <c r="N113" i="6"/>
  <c r="N127" i="6"/>
  <c r="N115" i="6"/>
  <c r="AZ43" i="4" s="1"/>
  <c r="N118" i="6"/>
  <c r="N119" i="6"/>
  <c r="AZ34" i="4" s="1"/>
  <c r="N116" i="6"/>
  <c r="N121" i="6"/>
  <c r="AZ59" i="4" s="1"/>
  <c r="N123" i="6"/>
  <c r="J129" i="6"/>
  <c r="AV13" i="4" s="1"/>
  <c r="J135" i="6"/>
  <c r="J133" i="6"/>
  <c r="J130" i="6"/>
  <c r="AV19" i="4" s="1"/>
  <c r="J131" i="6"/>
  <c r="J134" i="6"/>
  <c r="J132" i="6"/>
  <c r="J118" i="6"/>
  <c r="J127" i="6"/>
  <c r="J115" i="6"/>
  <c r="AV43" i="4" s="1"/>
  <c r="J124" i="6"/>
  <c r="J119" i="6"/>
  <c r="AV34" i="4" s="1"/>
  <c r="J117" i="6"/>
  <c r="AV29" i="4" s="1"/>
  <c r="J126" i="6"/>
  <c r="J114" i="6"/>
  <c r="AV23" i="4" s="1"/>
  <c r="J125" i="6"/>
  <c r="J113" i="6"/>
  <c r="J122" i="6"/>
  <c r="AV36" i="4" s="1"/>
  <c r="J116" i="6"/>
  <c r="J120" i="6"/>
  <c r="AV35" i="4" s="1"/>
  <c r="J123" i="6"/>
  <c r="J121" i="6"/>
  <c r="AV59" i="4" s="1"/>
  <c r="G26" i="4"/>
  <c r="V26" i="4"/>
  <c r="F23" i="4"/>
  <c r="F39" i="4"/>
  <c r="F24" i="4"/>
  <c r="F22" i="4"/>
  <c r="AZ72" i="4" l="1"/>
  <c r="BA72" i="4"/>
  <c r="AV72" i="4"/>
  <c r="G23" i="4"/>
  <c r="V23" i="4"/>
  <c r="G24" i="4"/>
  <c r="V24" i="4"/>
  <c r="G39" i="4"/>
  <c r="V39" i="4"/>
  <c r="G22" i="4"/>
  <c r="V22" i="4"/>
  <c r="Z39" i="4" l="1"/>
  <c r="AA39" i="4"/>
  <c r="AS30" i="2"/>
  <c r="CO30" i="2" s="1"/>
  <c r="R29" i="2" l="1"/>
  <c r="L24" i="10"/>
  <c r="R24" i="10" s="1"/>
  <c r="S10" i="2"/>
  <c r="D8" i="10" s="1"/>
  <c r="S22" i="2"/>
  <c r="S33" i="2"/>
  <c r="D26" i="10" s="1"/>
  <c r="AR30" i="2"/>
  <c r="CN30" i="2" s="1"/>
  <c r="AQ30" i="2"/>
  <c r="CM30" i="2" s="1"/>
  <c r="R36" i="2" l="1"/>
  <c r="L29" i="10"/>
  <c r="R29" i="10" s="1"/>
  <c r="I36" i="2"/>
  <c r="M29" i="10" s="1"/>
  <c r="G37" i="2"/>
  <c r="K30" i="10" s="1"/>
  <c r="G36" i="2"/>
  <c r="K29" i="10" s="1"/>
  <c r="G35" i="2"/>
  <c r="K28" i="10" s="1"/>
  <c r="G34" i="2"/>
  <c r="K27" i="10" s="1"/>
  <c r="G33" i="2"/>
  <c r="K26" i="10" s="1"/>
  <c r="G30" i="2"/>
  <c r="K25" i="10" s="1"/>
  <c r="G29" i="2"/>
  <c r="G28" i="2"/>
  <c r="K23" i="10" s="1"/>
  <c r="G26" i="2"/>
  <c r="K21" i="10" s="1"/>
  <c r="G25" i="2"/>
  <c r="G24" i="2"/>
  <c r="G23" i="2"/>
  <c r="K20" i="10" s="1"/>
  <c r="G22" i="2"/>
  <c r="G21" i="2"/>
  <c r="K19" i="10" s="1"/>
  <c r="G20" i="2"/>
  <c r="K18" i="10" s="1"/>
  <c r="G19" i="2"/>
  <c r="K17" i="10" s="1"/>
  <c r="G18" i="2"/>
  <c r="K16" i="10" s="1"/>
  <c r="G17" i="2"/>
  <c r="K15" i="10" s="1"/>
  <c r="G16" i="2"/>
  <c r="K14" i="10" s="1"/>
  <c r="K13" i="10"/>
  <c r="G14" i="2"/>
  <c r="K12" i="10" s="1"/>
  <c r="G13" i="2"/>
  <c r="K11" i="10" s="1"/>
  <c r="G12" i="2"/>
  <c r="K10" i="10" s="1"/>
  <c r="G11" i="2"/>
  <c r="K9" i="10" s="1"/>
  <c r="G10" i="2"/>
  <c r="K8" i="10" s="1"/>
  <c r="G9" i="2"/>
  <c r="K7" i="10" s="1"/>
  <c r="G8" i="2"/>
  <c r="K6" i="10" s="1"/>
  <c r="J36" i="2" l="1"/>
  <c r="T36" i="2" s="1"/>
  <c r="K24" i="10"/>
  <c r="I29" i="2"/>
  <c r="S36" i="2" l="1"/>
  <c r="O36" i="2"/>
  <c r="N29" i="10"/>
  <c r="M24" i="10"/>
  <c r="J29" i="2"/>
  <c r="F29" i="4"/>
  <c r="F36" i="4"/>
  <c r="F33" i="4"/>
  <c r="F13" i="4"/>
  <c r="F30" i="4"/>
  <c r="F15" i="4"/>
  <c r="F19" i="4"/>
  <c r="F11" i="4"/>
  <c r="N24" i="10" l="1"/>
  <c r="O29" i="2"/>
  <c r="G11" i="4"/>
  <c r="V11" i="4"/>
  <c r="G10" i="4"/>
  <c r="V10" i="4"/>
  <c r="G19" i="4"/>
  <c r="V19" i="4"/>
  <c r="G36" i="4"/>
  <c r="V36" i="4"/>
  <c r="G30" i="4"/>
  <c r="V30" i="4"/>
  <c r="G13" i="4"/>
  <c r="V13" i="4"/>
  <c r="G33" i="4"/>
  <c r="V33" i="4"/>
  <c r="G15" i="4"/>
  <c r="V15" i="4"/>
  <c r="G29" i="4"/>
  <c r="V29" i="4"/>
  <c r="F21" i="4"/>
  <c r="F20" i="4"/>
  <c r="F16" i="4"/>
  <c r="V16" i="4" s="1"/>
  <c r="F17" i="4"/>
  <c r="F37" i="4"/>
  <c r="F27" i="4"/>
  <c r="F28" i="4"/>
  <c r="F25" i="4"/>
  <c r="F35" i="4"/>
  <c r="F18" i="4"/>
  <c r="F14" i="4"/>
  <c r="F12" i="4"/>
  <c r="F34" i="4"/>
  <c r="Z33" i="4" l="1"/>
  <c r="G17" i="4"/>
  <c r="V17" i="4"/>
  <c r="G14" i="4"/>
  <c r="V14" i="4"/>
  <c r="G34" i="4"/>
  <c r="V34" i="4"/>
  <c r="G25" i="4"/>
  <c r="V25" i="4"/>
  <c r="G37" i="4"/>
  <c r="V37" i="4"/>
  <c r="G12" i="4"/>
  <c r="V12" i="4"/>
  <c r="G20" i="4"/>
  <c r="V20" i="4"/>
  <c r="G28" i="4"/>
  <c r="V28" i="4"/>
  <c r="G18" i="4"/>
  <c r="V18" i="4"/>
  <c r="G35" i="4"/>
  <c r="V35" i="4"/>
  <c r="G27" i="4"/>
  <c r="V27" i="4"/>
  <c r="G21" i="4"/>
  <c r="V21" i="4"/>
  <c r="G16" i="4"/>
  <c r="Z12" i="4" l="1"/>
  <c r="Z34" i="4"/>
  <c r="H27" i="6"/>
  <c r="H42" i="6" s="1"/>
  <c r="G27" i="6"/>
  <c r="H88" i="6"/>
  <c r="H103" i="6" s="1"/>
  <c r="G88" i="6"/>
  <c r="H349" i="6"/>
  <c r="H354" i="6" s="1"/>
  <c r="G349" i="6"/>
  <c r="H182" i="6"/>
  <c r="H200" i="6" s="1"/>
  <c r="G182" i="6"/>
  <c r="H287" i="6"/>
  <c r="H296" i="6" s="1"/>
  <c r="G287" i="6"/>
  <c r="H67" i="6"/>
  <c r="H74" i="6" s="1"/>
  <c r="G67" i="6"/>
  <c r="H47" i="6"/>
  <c r="H62" i="6" s="1"/>
  <c r="G47" i="6"/>
  <c r="H297" i="6"/>
  <c r="H311" i="6" s="1"/>
  <c r="G297" i="6"/>
  <c r="H136" i="6"/>
  <c r="H153" i="6" s="1"/>
  <c r="G136" i="6"/>
  <c r="AS65" i="4"/>
  <c r="F287" i="6"/>
  <c r="F292" i="6" s="1"/>
  <c r="F88" i="6"/>
  <c r="F94" i="6" s="1"/>
  <c r="F27" i="6"/>
  <c r="F43" i="6" s="1"/>
  <c r="F67" i="6"/>
  <c r="F75" i="6" s="1"/>
  <c r="F182" i="6"/>
  <c r="F185" i="6" s="1"/>
  <c r="F297" i="6"/>
  <c r="F319" i="6" s="1"/>
  <c r="F349" i="6"/>
  <c r="F352" i="6" s="1"/>
  <c r="F136" i="6"/>
  <c r="F151" i="6" s="1"/>
  <c r="F47" i="6"/>
  <c r="F64" i="6" s="1"/>
  <c r="H338" i="6" l="1"/>
  <c r="AT65" i="4"/>
  <c r="F338" i="6"/>
  <c r="AR65" i="4"/>
  <c r="H95" i="6"/>
  <c r="H92" i="6"/>
  <c r="H352" i="6"/>
  <c r="H353" i="6"/>
  <c r="H314" i="6"/>
  <c r="H305" i="6"/>
  <c r="H65" i="6"/>
  <c r="H50" i="6"/>
  <c r="H145" i="6"/>
  <c r="AT53" i="4" s="1"/>
  <c r="H146" i="6"/>
  <c r="H147" i="6"/>
  <c r="H137" i="6"/>
  <c r="H140" i="6"/>
  <c r="H152" i="6"/>
  <c r="H141" i="6"/>
  <c r="H142" i="6"/>
  <c r="AT55" i="4" s="1"/>
  <c r="H139" i="6"/>
  <c r="H154" i="6"/>
  <c r="H317" i="6"/>
  <c r="H304" i="6"/>
  <c r="H143" i="6"/>
  <c r="H155" i="6"/>
  <c r="H158" i="6"/>
  <c r="H148" i="6"/>
  <c r="H144" i="6"/>
  <c r="AT56" i="4" s="1"/>
  <c r="H149" i="6"/>
  <c r="AT62" i="4" s="1"/>
  <c r="H328" i="6"/>
  <c r="AT50" i="4" s="1"/>
  <c r="H138" i="6"/>
  <c r="H351" i="6"/>
  <c r="AT42" i="4" s="1"/>
  <c r="H340" i="6"/>
  <c r="H330" i="6"/>
  <c r="AT57" i="4" s="1"/>
  <c r="H348" i="6"/>
  <c r="H156" i="6"/>
  <c r="H303" i="6"/>
  <c r="H150" i="6"/>
  <c r="AT54" i="4" s="1"/>
  <c r="H316" i="6"/>
  <c r="AT49" i="4" s="1"/>
  <c r="H105" i="6"/>
  <c r="H319" i="6"/>
  <c r="H309" i="6"/>
  <c r="H321" i="6"/>
  <c r="H307" i="6"/>
  <c r="H290" i="6"/>
  <c r="H310" i="6"/>
  <c r="H302" i="6"/>
  <c r="H322" i="6"/>
  <c r="H300" i="6"/>
  <c r="H315" i="6"/>
  <c r="H312" i="6"/>
  <c r="H151" i="6"/>
  <c r="H355" i="6"/>
  <c r="H350" i="6"/>
  <c r="AT41" i="4" s="1"/>
  <c r="F48" i="6"/>
  <c r="H308" i="6"/>
  <c r="H301" i="6"/>
  <c r="H29" i="6"/>
  <c r="H100" i="6"/>
  <c r="H320" i="6"/>
  <c r="H313" i="6"/>
  <c r="AT48" i="4" s="1"/>
  <c r="H28" i="6"/>
  <c r="H98" i="6"/>
  <c r="H102" i="6"/>
  <c r="H298" i="6"/>
  <c r="H306" i="6"/>
  <c r="AT70" i="4" s="1"/>
  <c r="H299" i="6"/>
  <c r="H104" i="6"/>
  <c r="H318" i="6"/>
  <c r="H96" i="6"/>
  <c r="H56" i="6"/>
  <c r="H32" i="6"/>
  <c r="H347" i="6"/>
  <c r="AT73" i="4" s="1"/>
  <c r="H60" i="6"/>
  <c r="H334" i="6"/>
  <c r="H61" i="6"/>
  <c r="H335" i="6"/>
  <c r="H30" i="6"/>
  <c r="H324" i="6"/>
  <c r="H31" i="6"/>
  <c r="H336" i="6"/>
  <c r="H48" i="6"/>
  <c r="H38" i="6"/>
  <c r="H55" i="6"/>
  <c r="H34" i="6"/>
  <c r="H327" i="6"/>
  <c r="H57" i="6"/>
  <c r="H43" i="6"/>
  <c r="H339" i="6"/>
  <c r="H157" i="6"/>
  <c r="H63" i="6"/>
  <c r="H45" i="6"/>
  <c r="H106" i="6"/>
  <c r="H97" i="6"/>
  <c r="H99" i="6"/>
  <c r="H288" i="6"/>
  <c r="F50" i="6"/>
  <c r="F45" i="6"/>
  <c r="F36" i="6"/>
  <c r="F39" i="6"/>
  <c r="F37" i="6"/>
  <c r="F32" i="6"/>
  <c r="F40" i="6"/>
  <c r="H189" i="6"/>
  <c r="H190" i="6"/>
  <c r="F30" i="6"/>
  <c r="F42" i="6"/>
  <c r="F34" i="6"/>
  <c r="H90" i="6"/>
  <c r="F46" i="6"/>
  <c r="H101" i="6"/>
  <c r="H94" i="6"/>
  <c r="H93" i="6"/>
  <c r="H51" i="6"/>
  <c r="H33" i="6"/>
  <c r="H44" i="6"/>
  <c r="F41" i="6"/>
  <c r="H66" i="6"/>
  <c r="H53" i="6"/>
  <c r="H35" i="6"/>
  <c r="H46" i="6"/>
  <c r="H52" i="6"/>
  <c r="H59" i="6"/>
  <c r="H37" i="6"/>
  <c r="H40" i="6"/>
  <c r="H58" i="6"/>
  <c r="H49" i="6"/>
  <c r="H39" i="6"/>
  <c r="H54" i="6"/>
  <c r="H64" i="6"/>
  <c r="H41" i="6"/>
  <c r="H36" i="6"/>
  <c r="F59" i="6"/>
  <c r="H183" i="6"/>
  <c r="H293" i="6"/>
  <c r="H193" i="6"/>
  <c r="H341" i="6"/>
  <c r="AT60" i="4" s="1"/>
  <c r="H325" i="6"/>
  <c r="H342" i="6"/>
  <c r="AT51" i="4" s="1"/>
  <c r="H329" i="6"/>
  <c r="H331" i="6"/>
  <c r="H333" i="6"/>
  <c r="H332" i="6"/>
  <c r="H326" i="6"/>
  <c r="H345" i="6"/>
  <c r="H337" i="6"/>
  <c r="H346" i="6"/>
  <c r="F73" i="6"/>
  <c r="F74" i="6"/>
  <c r="F35" i="6"/>
  <c r="F56" i="6"/>
  <c r="H87" i="6"/>
  <c r="F336" i="6"/>
  <c r="F49" i="6"/>
  <c r="H91" i="6"/>
  <c r="F72" i="6"/>
  <c r="F342" i="6"/>
  <c r="F53" i="6"/>
  <c r="F325" i="6"/>
  <c r="F76" i="6"/>
  <c r="F345" i="6"/>
  <c r="F79" i="6"/>
  <c r="F332" i="6"/>
  <c r="F86" i="6"/>
  <c r="H83" i="6"/>
  <c r="AT12" i="4" s="1"/>
  <c r="H86" i="6"/>
  <c r="H79" i="6"/>
  <c r="H289" i="6"/>
  <c r="H73" i="6"/>
  <c r="H76" i="6"/>
  <c r="H75" i="6"/>
  <c r="F60" i="6"/>
  <c r="F63" i="6"/>
  <c r="H195" i="6"/>
  <c r="F196" i="6"/>
  <c r="F29" i="6"/>
  <c r="F62" i="6"/>
  <c r="F188" i="6"/>
  <c r="F51" i="6"/>
  <c r="F31" i="6"/>
  <c r="F57" i="6"/>
  <c r="H199" i="6"/>
  <c r="AT61" i="4" s="1"/>
  <c r="H185" i="6"/>
  <c r="F330" i="6"/>
  <c r="AR57" i="4" s="1"/>
  <c r="F334" i="6"/>
  <c r="F68" i="6"/>
  <c r="F294" i="6"/>
  <c r="F340" i="6"/>
  <c r="F337" i="6"/>
  <c r="F61" i="6"/>
  <c r="F78" i="6"/>
  <c r="F326" i="6"/>
  <c r="F71" i="6"/>
  <c r="F327" i="6"/>
  <c r="F341" i="6"/>
  <c r="AR60" i="4" s="1"/>
  <c r="F80" i="6"/>
  <c r="F339" i="6"/>
  <c r="F324" i="6"/>
  <c r="F83" i="6"/>
  <c r="AR12" i="4" s="1"/>
  <c r="H70" i="6"/>
  <c r="F335" i="6"/>
  <c r="F82" i="6"/>
  <c r="H69" i="6"/>
  <c r="H202" i="6"/>
  <c r="F333" i="6"/>
  <c r="F69" i="6"/>
  <c r="H71" i="6"/>
  <c r="H196" i="6"/>
  <c r="F346" i="6"/>
  <c r="F58" i="6"/>
  <c r="F65" i="6"/>
  <c r="F87" i="6"/>
  <c r="H78" i="6"/>
  <c r="H68" i="6"/>
  <c r="H201" i="6"/>
  <c r="AT69" i="4" s="1"/>
  <c r="H89" i="6"/>
  <c r="H77" i="6"/>
  <c r="H82" i="6"/>
  <c r="H191" i="6"/>
  <c r="F198" i="6"/>
  <c r="H184" i="6"/>
  <c r="F187" i="6"/>
  <c r="H85" i="6"/>
  <c r="H198" i="6"/>
  <c r="H197" i="6"/>
  <c r="F295" i="6"/>
  <c r="F296" i="6"/>
  <c r="F293" i="6"/>
  <c r="F190" i="6"/>
  <c r="H81" i="6"/>
  <c r="H186" i="6"/>
  <c r="H188" i="6"/>
  <c r="F290" i="6"/>
  <c r="F200" i="6"/>
  <c r="H187" i="6"/>
  <c r="H192" i="6"/>
  <c r="G69" i="6"/>
  <c r="G83" i="6"/>
  <c r="AS12" i="4" s="1"/>
  <c r="G76" i="6"/>
  <c r="G70" i="6"/>
  <c r="G85" i="6"/>
  <c r="G74" i="6"/>
  <c r="G81" i="6"/>
  <c r="G86" i="6"/>
  <c r="G77" i="6"/>
  <c r="G78" i="6"/>
  <c r="G79" i="6"/>
  <c r="G68" i="6"/>
  <c r="G75" i="6"/>
  <c r="G72" i="6"/>
  <c r="G71" i="6"/>
  <c r="G73" i="6"/>
  <c r="G87" i="6"/>
  <c r="G80" i="6"/>
  <c r="G82" i="6"/>
  <c r="G84" i="6"/>
  <c r="H3" i="6"/>
  <c r="G3" i="6"/>
  <c r="G25" i="6" s="1"/>
  <c r="F195" i="6"/>
  <c r="F289" i="6"/>
  <c r="G289" i="6"/>
  <c r="G294" i="6"/>
  <c r="G288" i="6"/>
  <c r="G296" i="6"/>
  <c r="G295" i="6"/>
  <c r="G293" i="6"/>
  <c r="G292" i="6"/>
  <c r="G290" i="6"/>
  <c r="G291" i="6"/>
  <c r="G340" i="6"/>
  <c r="G332" i="6"/>
  <c r="G339" i="6"/>
  <c r="G345" i="6"/>
  <c r="G327" i="6"/>
  <c r="G331" i="6"/>
  <c r="G338" i="6"/>
  <c r="G328" i="6"/>
  <c r="AS50" i="4" s="1"/>
  <c r="G325" i="6"/>
  <c r="G326" i="6"/>
  <c r="G324" i="6"/>
  <c r="G337" i="6"/>
  <c r="G335" i="6"/>
  <c r="G336" i="6"/>
  <c r="G348" i="6"/>
  <c r="G342" i="6"/>
  <c r="G347" i="6"/>
  <c r="AS73" i="4" s="1"/>
  <c r="G330" i="6"/>
  <c r="AS57" i="4" s="1"/>
  <c r="G346" i="6"/>
  <c r="G341" i="6"/>
  <c r="AS60" i="4" s="1"/>
  <c r="G334" i="6"/>
  <c r="G329" i="6"/>
  <c r="G333" i="6"/>
  <c r="G194" i="6"/>
  <c r="G200" i="6"/>
  <c r="G192" i="6"/>
  <c r="G187" i="6"/>
  <c r="G191" i="6"/>
  <c r="G199" i="6"/>
  <c r="AS61" i="4" s="1"/>
  <c r="G190" i="6"/>
  <c r="G196" i="6"/>
  <c r="G184" i="6"/>
  <c r="G183" i="6"/>
  <c r="G202" i="6"/>
  <c r="G189" i="6"/>
  <c r="G198" i="6"/>
  <c r="G193" i="6"/>
  <c r="G186" i="6"/>
  <c r="G197" i="6"/>
  <c r="G185" i="6"/>
  <c r="G188" i="6"/>
  <c r="G195" i="6"/>
  <c r="G201" i="6"/>
  <c r="AS69" i="4" s="1"/>
  <c r="G156" i="6"/>
  <c r="G146" i="6"/>
  <c r="G155" i="6"/>
  <c r="G140" i="6"/>
  <c r="G141" i="6"/>
  <c r="G150" i="6"/>
  <c r="AS54" i="4" s="1"/>
  <c r="G152" i="6"/>
  <c r="G154" i="6"/>
  <c r="G137" i="6"/>
  <c r="G149" i="6"/>
  <c r="AS62" i="4" s="1"/>
  <c r="G153" i="6"/>
  <c r="G143" i="6"/>
  <c r="G157" i="6"/>
  <c r="G138" i="6"/>
  <c r="G144" i="6"/>
  <c r="AS56" i="4" s="1"/>
  <c r="G158" i="6"/>
  <c r="G139" i="6"/>
  <c r="G148" i="6"/>
  <c r="G151" i="6"/>
  <c r="G142" i="6"/>
  <c r="AS55" i="4" s="1"/>
  <c r="G145" i="6"/>
  <c r="AS53" i="4" s="1"/>
  <c r="G147" i="6"/>
  <c r="G355" i="6"/>
  <c r="G354" i="6"/>
  <c r="G353" i="6"/>
  <c r="G351" i="6"/>
  <c r="AS42" i="4" s="1"/>
  <c r="G350" i="6"/>
  <c r="AS41" i="4" s="1"/>
  <c r="G352" i="6"/>
  <c r="H107" i="6"/>
  <c r="H111" i="6" s="1"/>
  <c r="G107" i="6"/>
  <c r="H291" i="6"/>
  <c r="F302" i="6"/>
  <c r="F354" i="6"/>
  <c r="H72" i="6"/>
  <c r="H80" i="6"/>
  <c r="H292" i="6"/>
  <c r="G304" i="6"/>
  <c r="G319" i="6"/>
  <c r="G318" i="6"/>
  <c r="G315" i="6"/>
  <c r="G309" i="6"/>
  <c r="G306" i="6"/>
  <c r="AS70" i="4" s="1"/>
  <c r="G303" i="6"/>
  <c r="G314" i="6"/>
  <c r="G302" i="6"/>
  <c r="G301" i="6"/>
  <c r="G313" i="6"/>
  <c r="AS48" i="4" s="1"/>
  <c r="G311" i="6"/>
  <c r="G312" i="6"/>
  <c r="G322" i="6"/>
  <c r="G300" i="6"/>
  <c r="G298" i="6"/>
  <c r="G299" i="6"/>
  <c r="G321" i="6"/>
  <c r="G310" i="6"/>
  <c r="G317" i="6"/>
  <c r="G308" i="6"/>
  <c r="G305" i="6"/>
  <c r="G320" i="6"/>
  <c r="G316" i="6"/>
  <c r="AS49" i="4" s="1"/>
  <c r="G307" i="6"/>
  <c r="G89" i="6"/>
  <c r="G103" i="6"/>
  <c r="G101" i="6"/>
  <c r="G102" i="6"/>
  <c r="G90" i="6"/>
  <c r="G99" i="6"/>
  <c r="G92" i="6"/>
  <c r="G100" i="6"/>
  <c r="G93" i="6"/>
  <c r="G98" i="6"/>
  <c r="G95" i="6"/>
  <c r="G106" i="6"/>
  <c r="G97" i="6"/>
  <c r="G91" i="6"/>
  <c r="G104" i="6"/>
  <c r="G105" i="6"/>
  <c r="G94" i="6"/>
  <c r="G96" i="6"/>
  <c r="F102" i="6"/>
  <c r="H159" i="6"/>
  <c r="H170" i="6" s="1"/>
  <c r="G159" i="6"/>
  <c r="H295" i="6"/>
  <c r="F348" i="6"/>
  <c r="F142" i="6"/>
  <c r="AR55" i="4" s="1"/>
  <c r="F84" i="6"/>
  <c r="F81" i="6"/>
  <c r="F355" i="6"/>
  <c r="F347" i="6"/>
  <c r="AR73" i="4" s="1"/>
  <c r="F329" i="6"/>
  <c r="F152" i="6"/>
  <c r="F70" i="6"/>
  <c r="F77" i="6"/>
  <c r="F92" i="6"/>
  <c r="H84" i="6"/>
  <c r="H294" i="6"/>
  <c r="G55" i="6"/>
  <c r="G63" i="6"/>
  <c r="G60" i="6"/>
  <c r="G54" i="6"/>
  <c r="G51" i="6"/>
  <c r="G56" i="6"/>
  <c r="G59" i="6"/>
  <c r="G65" i="6"/>
  <c r="G50" i="6"/>
  <c r="G66" i="6"/>
  <c r="G62" i="6"/>
  <c r="G61" i="6"/>
  <c r="G49" i="6"/>
  <c r="G57" i="6"/>
  <c r="G48" i="6"/>
  <c r="G52" i="6"/>
  <c r="G58" i="6"/>
  <c r="G53" i="6"/>
  <c r="G64" i="6"/>
  <c r="G40" i="6"/>
  <c r="G45" i="6"/>
  <c r="G41" i="6"/>
  <c r="G33" i="6"/>
  <c r="G43" i="6"/>
  <c r="G34" i="6"/>
  <c r="G38" i="6"/>
  <c r="G42" i="6"/>
  <c r="G35" i="6"/>
  <c r="G39" i="6"/>
  <c r="G44" i="6"/>
  <c r="G30" i="6"/>
  <c r="G31" i="6"/>
  <c r="G32" i="6"/>
  <c r="G37" i="6"/>
  <c r="G36" i="6"/>
  <c r="G28" i="6"/>
  <c r="G29" i="6"/>
  <c r="G46" i="6"/>
  <c r="F321" i="6"/>
  <c r="F351" i="6"/>
  <c r="AR42" i="4" s="1"/>
  <c r="H218" i="6"/>
  <c r="H236" i="6" s="1"/>
  <c r="AT30" i="4" s="1"/>
  <c r="G218" i="6"/>
  <c r="F328" i="6"/>
  <c r="AR50" i="4" s="1"/>
  <c r="F331" i="6"/>
  <c r="F149" i="6"/>
  <c r="AR62" i="4" s="1"/>
  <c r="F85" i="6"/>
  <c r="F99" i="6"/>
  <c r="H194" i="6"/>
  <c r="F100" i="6"/>
  <c r="F311" i="6"/>
  <c r="F307" i="6"/>
  <c r="F312" i="6"/>
  <c r="F146" i="6"/>
  <c r="F105" i="6"/>
  <c r="F322" i="6"/>
  <c r="F308" i="6"/>
  <c r="F141" i="6"/>
  <c r="F155" i="6"/>
  <c r="F106" i="6"/>
  <c r="F90" i="6"/>
  <c r="F298" i="6"/>
  <c r="F314" i="6"/>
  <c r="F156" i="6"/>
  <c r="F138" i="6"/>
  <c r="F44" i="6"/>
  <c r="F38" i="6"/>
  <c r="F54" i="6"/>
  <c r="F201" i="6"/>
  <c r="AR69" i="4" s="1"/>
  <c r="F194" i="6"/>
  <c r="F96" i="6"/>
  <c r="F89" i="6"/>
  <c r="F305" i="6"/>
  <c r="F313" i="6"/>
  <c r="AR48" i="4" s="1"/>
  <c r="F153" i="6"/>
  <c r="F140" i="6"/>
  <c r="F192" i="6"/>
  <c r="F95" i="6"/>
  <c r="F101" i="6"/>
  <c r="F317" i="6"/>
  <c r="F301" i="6"/>
  <c r="F143" i="6"/>
  <c r="F158" i="6"/>
  <c r="F33" i="6"/>
  <c r="F28" i="6"/>
  <c r="F66" i="6"/>
  <c r="F193" i="6"/>
  <c r="F191" i="6"/>
  <c r="F91" i="6"/>
  <c r="F103" i="6"/>
  <c r="F315" i="6"/>
  <c r="F148" i="6"/>
  <c r="F52" i="6"/>
  <c r="F184" i="6"/>
  <c r="F350" i="6"/>
  <c r="AR41" i="4" s="1"/>
  <c r="F97" i="6"/>
  <c r="F288" i="6"/>
  <c r="F202" i="6"/>
  <c r="F304" i="6"/>
  <c r="F154" i="6"/>
  <c r="F306" i="6"/>
  <c r="AR70" i="4" s="1"/>
  <c r="F309" i="6"/>
  <c r="F144" i="6"/>
  <c r="AR56" i="4" s="1"/>
  <c r="F137" i="6"/>
  <c r="F55" i="6"/>
  <c r="F199" i="6"/>
  <c r="AR61" i="4" s="1"/>
  <c r="F353" i="6"/>
  <c r="F98" i="6"/>
  <c r="F291" i="6"/>
  <c r="F310" i="6"/>
  <c r="F303" i="6"/>
  <c r="F316" i="6"/>
  <c r="AR49" i="4" s="1"/>
  <c r="F299" i="6"/>
  <c r="F147" i="6"/>
  <c r="F150" i="6"/>
  <c r="AR54" i="4" s="1"/>
  <c r="F183" i="6"/>
  <c r="F93" i="6"/>
  <c r="F318" i="6"/>
  <c r="F320" i="6"/>
  <c r="F157" i="6"/>
  <c r="F139" i="6"/>
  <c r="F186" i="6"/>
  <c r="F197" i="6"/>
  <c r="F104" i="6"/>
  <c r="F300" i="6"/>
  <c r="F145" i="6"/>
  <c r="AR53" i="4" s="1"/>
  <c r="F189" i="6"/>
  <c r="F159" i="6"/>
  <c r="F163" i="6" s="1"/>
  <c r="F218" i="6"/>
  <c r="F223" i="6" s="1"/>
  <c r="F3" i="6"/>
  <c r="F107" i="6"/>
  <c r="F109" i="6" s="1"/>
  <c r="F24" i="6" l="1"/>
  <c r="AR22" i="4" s="1"/>
  <c r="F25" i="6"/>
  <c r="H23" i="6"/>
  <c r="AT27" i="4" s="1"/>
  <c r="H25" i="6"/>
  <c r="AR68" i="4"/>
  <c r="F128" i="6"/>
  <c r="AT37" i="4"/>
  <c r="AT33" i="4"/>
  <c r="AT52" i="4"/>
  <c r="AT20" i="4"/>
  <c r="AT39" i="4"/>
  <c r="AR39" i="4"/>
  <c r="AR51" i="4"/>
  <c r="H110" i="6"/>
  <c r="H21" i="6"/>
  <c r="AT26" i="4" s="1"/>
  <c r="AR20" i="4"/>
  <c r="H109" i="6"/>
  <c r="H108" i="6"/>
  <c r="AS39" i="4"/>
  <c r="AS51" i="4"/>
  <c r="H233" i="6"/>
  <c r="F177" i="6"/>
  <c r="AR64" i="4" s="1"/>
  <c r="F175" i="6"/>
  <c r="H22" i="6"/>
  <c r="AR52" i="4"/>
  <c r="F23" i="6"/>
  <c r="AR27" i="4" s="1"/>
  <c r="H173" i="6"/>
  <c r="H220" i="6"/>
  <c r="H18" i="6"/>
  <c r="F169" i="6"/>
  <c r="H12" i="6"/>
  <c r="H13" i="6"/>
  <c r="H7" i="6"/>
  <c r="H14" i="6"/>
  <c r="H19" i="6"/>
  <c r="F14" i="6"/>
  <c r="H9" i="6"/>
  <c r="H8" i="6"/>
  <c r="AT24" i="4" s="1"/>
  <c r="H24" i="6"/>
  <c r="AT22" i="4" s="1"/>
  <c r="H20" i="6"/>
  <c r="AT25" i="4" s="1"/>
  <c r="H16" i="6"/>
  <c r="H5" i="6"/>
  <c r="H15" i="6"/>
  <c r="H232" i="6"/>
  <c r="H17" i="6"/>
  <c r="H4" i="6"/>
  <c r="F219" i="6"/>
  <c r="H10" i="6"/>
  <c r="H6" i="6"/>
  <c r="F225" i="6"/>
  <c r="F228" i="6"/>
  <c r="F231" i="6"/>
  <c r="F221" i="6"/>
  <c r="H11" i="6"/>
  <c r="F226" i="6"/>
  <c r="H237" i="6"/>
  <c r="H26" i="6"/>
  <c r="F224" i="6"/>
  <c r="AR10" i="4" s="1"/>
  <c r="F21" i="6"/>
  <c r="AR26" i="4" s="1"/>
  <c r="H174" i="6"/>
  <c r="H234" i="6"/>
  <c r="H227" i="6"/>
  <c r="H221" i="6"/>
  <c r="H228" i="6"/>
  <c r="AS37" i="4"/>
  <c r="H222" i="6"/>
  <c r="H229" i="6"/>
  <c r="H163" i="6"/>
  <c r="H223" i="6"/>
  <c r="AS52" i="4"/>
  <c r="F13" i="6"/>
  <c r="H178" i="6"/>
  <c r="H235" i="6"/>
  <c r="F16" i="6"/>
  <c r="H168" i="6"/>
  <c r="AR37" i="4"/>
  <c r="H225" i="6"/>
  <c r="F10" i="6"/>
  <c r="F238" i="6"/>
  <c r="F19" i="6"/>
  <c r="H165" i="6"/>
  <c r="AT14" i="4" s="1"/>
  <c r="H226" i="6"/>
  <c r="F4" i="6"/>
  <c r="F6" i="6"/>
  <c r="H171" i="6"/>
  <c r="AT46" i="4" s="1"/>
  <c r="H230" i="6"/>
  <c r="H238" i="6"/>
  <c r="F222" i="6"/>
  <c r="F22" i="6"/>
  <c r="H166" i="6"/>
  <c r="H219" i="6"/>
  <c r="H224" i="6"/>
  <c r="AT10" i="4" s="1"/>
  <c r="F8" i="6"/>
  <c r="AR24" i="4" s="1"/>
  <c r="H160" i="6"/>
  <c r="H231" i="6"/>
  <c r="F108" i="6"/>
  <c r="F171" i="6"/>
  <c r="AR46" i="4" s="1"/>
  <c r="H175" i="6"/>
  <c r="H172" i="6"/>
  <c r="AT28" i="4" s="1"/>
  <c r="F170" i="6"/>
  <c r="F235" i="6"/>
  <c r="F110" i="6"/>
  <c r="F237" i="6"/>
  <c r="F164" i="6"/>
  <c r="H164" i="6"/>
  <c r="H177" i="6"/>
  <c r="AT64" i="4" s="1"/>
  <c r="AR33" i="4"/>
  <c r="G18" i="6"/>
  <c r="G15" i="6"/>
  <c r="G7" i="6"/>
  <c r="G4" i="6"/>
  <c r="G19" i="6"/>
  <c r="G16" i="6"/>
  <c r="G8" i="6"/>
  <c r="AS24" i="4" s="1"/>
  <c r="G9" i="6"/>
  <c r="G20" i="6"/>
  <c r="AS25" i="4" s="1"/>
  <c r="G21" i="6"/>
  <c r="AS26" i="4" s="1"/>
  <c r="G10" i="6"/>
  <c r="G13" i="6"/>
  <c r="G22" i="6"/>
  <c r="G14" i="6"/>
  <c r="G11" i="6"/>
  <c r="G23" i="6"/>
  <c r="AS27" i="4" s="1"/>
  <c r="G5" i="6"/>
  <c r="G12" i="6"/>
  <c r="G17" i="6"/>
  <c r="G24" i="6"/>
  <c r="AS22" i="4" s="1"/>
  <c r="G6" i="6"/>
  <c r="G26" i="6"/>
  <c r="G110" i="6"/>
  <c r="G111" i="6"/>
  <c r="G108" i="6"/>
  <c r="G109" i="6"/>
  <c r="F230" i="6"/>
  <c r="F236" i="6"/>
  <c r="AR30" i="4" s="1"/>
  <c r="F176" i="6"/>
  <c r="AR63" i="4" s="1"/>
  <c r="F26" i="6"/>
  <c r="H176" i="6"/>
  <c r="AT63" i="4" s="1"/>
  <c r="H161" i="6"/>
  <c r="AS33" i="4"/>
  <c r="F162" i="6"/>
  <c r="F220" i="6"/>
  <c r="F232" i="6"/>
  <c r="F174" i="6"/>
  <c r="F15" i="6"/>
  <c r="H167" i="6"/>
  <c r="H162" i="6"/>
  <c r="G165" i="6"/>
  <c r="AS14" i="4" s="1"/>
  <c r="G163" i="6"/>
  <c r="G166" i="6"/>
  <c r="G178" i="6"/>
  <c r="G169" i="6"/>
  <c r="G170" i="6"/>
  <c r="G176" i="6"/>
  <c r="AS63" i="4" s="1"/>
  <c r="G168" i="6"/>
  <c r="G174" i="6"/>
  <c r="G164" i="6"/>
  <c r="G171" i="6"/>
  <c r="AS46" i="4" s="1"/>
  <c r="G162" i="6"/>
  <c r="G161" i="6"/>
  <c r="G177" i="6"/>
  <c r="AS64" i="4" s="1"/>
  <c r="G160" i="6"/>
  <c r="G167" i="6"/>
  <c r="G173" i="6"/>
  <c r="G175" i="6"/>
  <c r="G172" i="6"/>
  <c r="AS28" i="4" s="1"/>
  <c r="F227" i="6"/>
  <c r="F233" i="6"/>
  <c r="H169" i="6"/>
  <c r="G227" i="6"/>
  <c r="G234" i="6"/>
  <c r="G224" i="6"/>
  <c r="AS10" i="4" s="1"/>
  <c r="G223" i="6"/>
  <c r="G232" i="6"/>
  <c r="G237" i="6"/>
  <c r="G219" i="6"/>
  <c r="G233" i="6"/>
  <c r="G228" i="6"/>
  <c r="G221" i="6"/>
  <c r="G225" i="6"/>
  <c r="G231" i="6"/>
  <c r="G229" i="6"/>
  <c r="G220" i="6"/>
  <c r="G226" i="6"/>
  <c r="G236" i="6"/>
  <c r="AS30" i="4" s="1"/>
  <c r="G222" i="6"/>
  <c r="G230" i="6"/>
  <c r="G238" i="6"/>
  <c r="G235" i="6"/>
  <c r="F234" i="6"/>
  <c r="F165" i="6"/>
  <c r="AR14" i="4" s="1"/>
  <c r="AS20" i="4"/>
  <c r="F229" i="6"/>
  <c r="F160" i="6"/>
  <c r="F11" i="6"/>
  <c r="F111" i="6"/>
  <c r="F166" i="6"/>
  <c r="F172" i="6"/>
  <c r="AR28" i="4" s="1"/>
  <c r="F9" i="6"/>
  <c r="F7" i="6"/>
  <c r="F167" i="6"/>
  <c r="F161" i="6"/>
  <c r="F5" i="6"/>
  <c r="F12" i="6"/>
  <c r="F168" i="6"/>
  <c r="F173" i="6"/>
  <c r="F20" i="6"/>
  <c r="AR25" i="4" s="1"/>
  <c r="F18" i="6"/>
  <c r="F178" i="6"/>
  <c r="F17" i="6"/>
  <c r="AT11" i="4" l="1"/>
  <c r="AT9" i="4"/>
  <c r="AS11" i="4"/>
  <c r="AS9" i="4"/>
  <c r="AR11" i="4"/>
  <c r="AR9" i="4"/>
  <c r="AS67" i="4"/>
  <c r="G112" i="6"/>
  <c r="AR67" i="4"/>
  <c r="F112" i="6"/>
  <c r="AS68" i="4"/>
  <c r="G128" i="6"/>
  <c r="AT67" i="4"/>
  <c r="H112" i="6"/>
  <c r="AT68" i="4"/>
  <c r="H128" i="6"/>
  <c r="F130" i="6"/>
  <c r="AR19" i="4" s="1"/>
  <c r="F129" i="6"/>
  <c r="AR13" i="4" s="1"/>
  <c r="F134" i="6"/>
  <c r="F131" i="6"/>
  <c r="F132" i="6"/>
  <c r="F135" i="6"/>
  <c r="F133" i="6"/>
  <c r="AR16" i="4"/>
  <c r="AT21" i="4"/>
  <c r="AT15" i="4"/>
  <c r="AS18" i="4"/>
  <c r="AT16" i="4"/>
  <c r="AT18" i="4"/>
  <c r="AR15" i="4"/>
  <c r="AS15" i="4"/>
  <c r="AR21" i="4"/>
  <c r="AS16" i="4"/>
  <c r="AS21" i="4"/>
  <c r="AR18" i="4"/>
  <c r="T29" i="2"/>
  <c r="S29" i="2"/>
  <c r="E24" i="10" l="1"/>
  <c r="D24" i="10"/>
  <c r="G133" i="6"/>
  <c r="G135" i="6"/>
  <c r="G130" i="6"/>
  <c r="AS19" i="4" s="1"/>
  <c r="G129" i="6"/>
  <c r="AS13" i="4" s="1"/>
  <c r="G131" i="6"/>
  <c r="G134" i="6"/>
  <c r="G132" i="6"/>
  <c r="H133" i="6"/>
  <c r="H130" i="6"/>
  <c r="AT19" i="4" s="1"/>
  <c r="H134" i="6"/>
  <c r="H132" i="6"/>
  <c r="H129" i="6"/>
  <c r="AT13" i="4" s="1"/>
  <c r="H135" i="6"/>
  <c r="H131" i="6"/>
  <c r="F124" i="6"/>
  <c r="F121" i="6"/>
  <c r="AR59" i="4" s="1"/>
  <c r="F118" i="6"/>
  <c r="F116" i="6"/>
  <c r="F125" i="6"/>
  <c r="F120" i="6"/>
  <c r="AR35" i="4" s="1"/>
  <c r="F119" i="6"/>
  <c r="AR34" i="4" s="1"/>
  <c r="F113" i="6"/>
  <c r="F123" i="6"/>
  <c r="F126" i="6"/>
  <c r="F114" i="6"/>
  <c r="AR23" i="4" s="1"/>
  <c r="F117" i="6"/>
  <c r="AR29" i="4" s="1"/>
  <c r="F127" i="6"/>
  <c r="AR72" i="4" s="1"/>
  <c r="F115" i="6"/>
  <c r="AR43" i="4" s="1"/>
  <c r="F122" i="6"/>
  <c r="AR36" i="4" s="1"/>
  <c r="H114" i="6"/>
  <c r="AT23" i="4" s="1"/>
  <c r="H120" i="6"/>
  <c r="AT35" i="4" s="1"/>
  <c r="H117" i="6"/>
  <c r="AT29" i="4" s="1"/>
  <c r="H123" i="6"/>
  <c r="H115" i="6"/>
  <c r="AT43" i="4" s="1"/>
  <c r="H125" i="6"/>
  <c r="H124" i="6"/>
  <c r="H116" i="6"/>
  <c r="H113" i="6"/>
  <c r="H127" i="6"/>
  <c r="AT72" i="4" s="1"/>
  <c r="H118" i="6"/>
  <c r="H121" i="6"/>
  <c r="AT59" i="4" s="1"/>
  <c r="H122" i="6"/>
  <c r="AT36" i="4" s="1"/>
  <c r="H119" i="6"/>
  <c r="AT34" i="4" s="1"/>
  <c r="H126" i="6"/>
  <c r="G122" i="6"/>
  <c r="AS36" i="4" s="1"/>
  <c r="G119" i="6"/>
  <c r="AS34" i="4" s="1"/>
  <c r="G116" i="6"/>
  <c r="G114" i="6"/>
  <c r="AS23" i="4" s="1"/>
  <c r="G118" i="6"/>
  <c r="G117" i="6"/>
  <c r="AS29" i="4" s="1"/>
  <c r="G126" i="6"/>
  <c r="G123" i="6"/>
  <c r="G121" i="6"/>
  <c r="AS59" i="4" s="1"/>
  <c r="G124" i="6"/>
  <c r="G127" i="6"/>
  <c r="G115" i="6"/>
  <c r="AS43" i="4" s="1"/>
  <c r="G125" i="6"/>
  <c r="G113" i="6"/>
  <c r="G120" i="6"/>
  <c r="AS35" i="4" s="1"/>
  <c r="AS72" i="4" l="1"/>
  <c r="CP29" i="2"/>
  <c r="U29" i="2" s="1"/>
  <c r="F24" i="10" l="1"/>
  <c r="G24" i="10" s="1"/>
  <c r="V29" i="2" l="1"/>
  <c r="CP36" i="2"/>
  <c r="U36" i="2" s="1"/>
  <c r="F29" i="10" l="1"/>
  <c r="G29" i="10" s="1"/>
  <c r="H242" i="6"/>
  <c r="H247" i="6" s="1"/>
  <c r="G242" i="6"/>
  <c r="F242" i="6"/>
  <c r="F248" i="6" s="1"/>
  <c r="V36" i="2" l="1"/>
  <c r="H248" i="6"/>
  <c r="H253" i="6" s="1"/>
  <c r="H258" i="6" s="1"/>
  <c r="AT45" i="4" s="1"/>
  <c r="H246" i="6"/>
  <c r="H243" i="6"/>
  <c r="H244" i="6"/>
  <c r="AT17" i="4" s="1"/>
  <c r="H245" i="6"/>
  <c r="G244" i="6"/>
  <c r="AS17" i="4" s="1"/>
  <c r="G243" i="6"/>
  <c r="G248" i="6"/>
  <c r="G247" i="6"/>
  <c r="G246" i="6"/>
  <c r="G245" i="6"/>
  <c r="F243" i="6"/>
  <c r="AT8" i="4"/>
  <c r="F244" i="6"/>
  <c r="AR17" i="4" s="1"/>
  <c r="F245" i="6"/>
  <c r="F246" i="6"/>
  <c r="F247" i="6"/>
  <c r="AR8" i="4"/>
  <c r="F253" i="6"/>
  <c r="F258" i="6" s="1"/>
  <c r="AR45" i="4" s="1"/>
  <c r="AS8" i="4" l="1"/>
  <c r="G253" i="6"/>
  <c r="G258" i="6" s="1"/>
  <c r="AS45" i="4" s="1"/>
  <c r="CP14" i="2" l="1"/>
  <c r="U14" i="2" s="1"/>
  <c r="CP30" i="2"/>
  <c r="U30" i="2" s="1"/>
  <c r="CP9" i="2"/>
  <c r="U9" i="2" s="1"/>
  <c r="CP12" i="2"/>
  <c r="U12" i="2" s="1"/>
  <c r="CP20" i="2"/>
  <c r="U20" i="2" s="1"/>
  <c r="CP21" i="2"/>
  <c r="U21" i="2" s="1"/>
  <c r="CP31" i="2"/>
  <c r="U31" i="2" s="1"/>
  <c r="CP16" i="2"/>
  <c r="U16" i="2" s="1"/>
  <c r="CP22" i="2"/>
  <c r="U22" i="2" s="1"/>
  <c r="CP10" i="2"/>
  <c r="U10" i="2" s="1"/>
  <c r="CP33" i="2"/>
  <c r="U33" i="2" s="1"/>
  <c r="CP25" i="2"/>
  <c r="U25" i="2" s="1"/>
  <c r="CP34" i="2"/>
  <c r="U34" i="2" s="1"/>
  <c r="CP11" i="2"/>
  <c r="U11" i="2" s="1"/>
  <c r="CP23" i="2"/>
  <c r="U23" i="2" s="1"/>
  <c r="F20" i="10" s="1"/>
  <c r="CP26" i="2"/>
  <c r="U26" i="2" s="1"/>
  <c r="CP35" i="2"/>
  <c r="U35" i="2" s="1"/>
  <c r="CP15" i="2"/>
  <c r="U15" i="2" s="1"/>
  <c r="CP17" i="2"/>
  <c r="U17" i="2" s="1"/>
  <c r="CP18" i="2"/>
  <c r="U18" i="2" s="1"/>
  <c r="CP28" i="2"/>
  <c r="U28" i="2" s="1"/>
  <c r="CP13" i="2"/>
  <c r="U13" i="2" s="1"/>
  <c r="CP19" i="2"/>
  <c r="U19" i="2" s="1"/>
  <c r="CP24" i="2"/>
  <c r="U24" i="2" s="1"/>
  <c r="CP37" i="2"/>
  <c r="U37" i="2" s="1"/>
  <c r="P67" i="6" l="1"/>
  <c r="P74" i="6" s="1"/>
  <c r="P218" i="6"/>
  <c r="P236" i="6" s="1"/>
  <c r="P47" i="6"/>
  <c r="P58" i="6" s="1"/>
  <c r="F23" i="10"/>
  <c r="P182" i="6"/>
  <c r="P189" i="6" s="1"/>
  <c r="F19" i="10"/>
  <c r="F26" i="10"/>
  <c r="P159" i="6"/>
  <c r="P160" i="6" s="1"/>
  <c r="F14" i="10"/>
  <c r="F18" i="10"/>
  <c r="P242" i="6"/>
  <c r="P247" i="6" s="1"/>
  <c r="BB65" i="4"/>
  <c r="F10" i="10"/>
  <c r="P297" i="6"/>
  <c r="P303" i="6" s="1"/>
  <c r="F9" i="10"/>
  <c r="P3" i="6"/>
  <c r="P25" i="6" s="1"/>
  <c r="F7" i="10"/>
  <c r="P136" i="6"/>
  <c r="P150" i="6" s="1"/>
  <c r="BB54" i="4" s="1"/>
  <c r="P287" i="6"/>
  <c r="P296" i="6" s="1"/>
  <c r="F30" i="10"/>
  <c r="F27" i="10"/>
  <c r="F25" i="10"/>
  <c r="P27" i="6"/>
  <c r="P40" i="6" s="1"/>
  <c r="P349" i="6"/>
  <c r="P355" i="6" s="1"/>
  <c r="F21" i="10"/>
  <c r="P107" i="6"/>
  <c r="P111" i="6" s="1"/>
  <c r="F6" i="10"/>
  <c r="P88" i="6"/>
  <c r="P99" i="6" s="1"/>
  <c r="F12" i="10"/>
  <c r="P346" i="6"/>
  <c r="P332" i="6"/>
  <c r="P345" i="6"/>
  <c r="P331" i="6"/>
  <c r="P342" i="6"/>
  <c r="P330" i="6"/>
  <c r="BB57" i="4" s="1"/>
  <c r="P341" i="6"/>
  <c r="BB60" i="4" s="1"/>
  <c r="P329" i="6"/>
  <c r="P340" i="6"/>
  <c r="P328" i="6"/>
  <c r="BB50" i="4" s="1"/>
  <c r="P339" i="6"/>
  <c r="P327" i="6"/>
  <c r="P338" i="6"/>
  <c r="P326" i="6"/>
  <c r="P347" i="6"/>
  <c r="BB73" i="4" s="1"/>
  <c r="P336" i="6"/>
  <c r="P324" i="6"/>
  <c r="P337" i="6"/>
  <c r="P325" i="6"/>
  <c r="P335" i="6"/>
  <c r="P348" i="6"/>
  <c r="P334" i="6"/>
  <c r="P333" i="6"/>
  <c r="L136" i="6"/>
  <c r="L141" i="6" s="1"/>
  <c r="M136" i="6"/>
  <c r="L27" i="6"/>
  <c r="L36" i="6" s="1"/>
  <c r="M27" i="6"/>
  <c r="AY65" i="4"/>
  <c r="L3" i="6"/>
  <c r="M3" i="6"/>
  <c r="M25" i="6" s="1"/>
  <c r="L218" i="6"/>
  <c r="L237" i="6" s="1"/>
  <c r="M218" i="6"/>
  <c r="L287" i="6"/>
  <c r="L294" i="6" s="1"/>
  <c r="M287" i="6"/>
  <c r="L297" i="6"/>
  <c r="L317" i="6" s="1"/>
  <c r="M297" i="6"/>
  <c r="L159" i="6"/>
  <c r="L160" i="6" s="1"/>
  <c r="M159" i="6"/>
  <c r="L88" i="6"/>
  <c r="L106" i="6" s="1"/>
  <c r="M88" i="6"/>
  <c r="L107" i="6"/>
  <c r="L109" i="6" s="1"/>
  <c r="M107" i="6"/>
  <c r="L47" i="6"/>
  <c r="L56" i="6" s="1"/>
  <c r="M47" i="6"/>
  <c r="L349" i="6"/>
  <c r="L355" i="6" s="1"/>
  <c r="M349" i="6"/>
  <c r="L242" i="6"/>
  <c r="L248" i="6" s="1"/>
  <c r="M242" i="6"/>
  <c r="L67" i="6"/>
  <c r="L69" i="6" s="1"/>
  <c r="M67" i="6"/>
  <c r="L182" i="6"/>
  <c r="L202" i="6" s="1"/>
  <c r="M182" i="6"/>
  <c r="I27" i="6"/>
  <c r="I40" i="6" s="1"/>
  <c r="K27" i="6"/>
  <c r="I136" i="6"/>
  <c r="I143" i="6" s="1"/>
  <c r="K136" i="6"/>
  <c r="AW65" i="4"/>
  <c r="I287" i="6"/>
  <c r="I292" i="6" s="1"/>
  <c r="K287" i="6"/>
  <c r="I3" i="6"/>
  <c r="K3" i="6"/>
  <c r="K25" i="6" s="1"/>
  <c r="I218" i="6"/>
  <c r="I232" i="6" s="1"/>
  <c r="K218" i="6"/>
  <c r="I297" i="6"/>
  <c r="I300" i="6" s="1"/>
  <c r="K297" i="6"/>
  <c r="I159" i="6"/>
  <c r="I165" i="6" s="1"/>
  <c r="K159" i="6"/>
  <c r="I88" i="6"/>
  <c r="I95" i="6" s="1"/>
  <c r="K88" i="6"/>
  <c r="I107" i="6"/>
  <c r="I110" i="6" s="1"/>
  <c r="K107" i="6"/>
  <c r="I47" i="6"/>
  <c r="I59" i="6" s="1"/>
  <c r="K47" i="6"/>
  <c r="I349" i="6"/>
  <c r="I355" i="6" s="1"/>
  <c r="K349" i="6"/>
  <c r="I242" i="6"/>
  <c r="I245" i="6" s="1"/>
  <c r="K242" i="6"/>
  <c r="I67" i="6"/>
  <c r="I83" i="6" s="1"/>
  <c r="AU12" i="4" s="1"/>
  <c r="K67" i="6"/>
  <c r="I182" i="6"/>
  <c r="I189" i="6" s="1"/>
  <c r="K182" i="6"/>
  <c r="F8" i="10"/>
  <c r="E136" i="6"/>
  <c r="AQ65" i="4"/>
  <c r="F16" i="10"/>
  <c r="E218" i="6"/>
  <c r="E287" i="6"/>
  <c r="E3" i="6"/>
  <c r="E297" i="6"/>
  <c r="F15" i="10"/>
  <c r="E349" i="6"/>
  <c r="E159" i="6"/>
  <c r="F11" i="10"/>
  <c r="E27" i="6"/>
  <c r="E88" i="6"/>
  <c r="E107" i="6"/>
  <c r="F13" i="10"/>
  <c r="E47" i="6"/>
  <c r="F28" i="10"/>
  <c r="E242" i="6"/>
  <c r="F17" i="10"/>
  <c r="E67" i="6"/>
  <c r="E182" i="6"/>
  <c r="I30" i="2"/>
  <c r="M25" i="10" s="1"/>
  <c r="R30" i="2"/>
  <c r="R25" i="10"/>
  <c r="R19" i="2"/>
  <c r="I19" i="2"/>
  <c r="M17" i="10" s="1"/>
  <c r="L17" i="10"/>
  <c r="R17" i="10" s="1"/>
  <c r="R21" i="2"/>
  <c r="L19" i="10"/>
  <c r="R19" i="10" s="1"/>
  <c r="I21" i="2"/>
  <c r="R35" i="2"/>
  <c r="I35" i="2"/>
  <c r="M28" i="10" s="1"/>
  <c r="L28" i="10"/>
  <c r="R28" i="10" s="1"/>
  <c r="R25" i="2"/>
  <c r="R13" i="2"/>
  <c r="L11" i="10"/>
  <c r="R11" i="10" s="1"/>
  <c r="I13" i="2"/>
  <c r="M11" i="10" s="1"/>
  <c r="R26" i="2"/>
  <c r="I26" i="2"/>
  <c r="M21" i="10" s="1"/>
  <c r="L21" i="10"/>
  <c r="R21" i="10" s="1"/>
  <c r="L26" i="10"/>
  <c r="R26" i="10" s="1"/>
  <c r="I33" i="2"/>
  <c r="R33" i="2"/>
  <c r="R20" i="2"/>
  <c r="I20" i="2"/>
  <c r="M18" i="10" s="1"/>
  <c r="L18" i="10"/>
  <c r="R18" i="10" s="1"/>
  <c r="I12" i="2"/>
  <c r="M10" i="10" s="1"/>
  <c r="R12" i="2"/>
  <c r="L10" i="10"/>
  <c r="R10" i="10" s="1"/>
  <c r="I28" i="2"/>
  <c r="M23" i="10" s="1"/>
  <c r="L23" i="10"/>
  <c r="R23" i="10" s="1"/>
  <c r="I23" i="2"/>
  <c r="M20" i="10" s="1"/>
  <c r="R23" i="2"/>
  <c r="L8" i="10"/>
  <c r="R8" i="10" s="1"/>
  <c r="R10" i="2"/>
  <c r="R11" i="2"/>
  <c r="L9" i="10"/>
  <c r="R9" i="10" s="1"/>
  <c r="M9" i="10"/>
  <c r="M16" i="10"/>
  <c r="R18" i="2"/>
  <c r="L16" i="10"/>
  <c r="R16" i="10" s="1"/>
  <c r="R22" i="2"/>
  <c r="I22" i="2"/>
  <c r="I9" i="2"/>
  <c r="M7" i="10" s="1"/>
  <c r="R9" i="2"/>
  <c r="L7" i="10"/>
  <c r="R7" i="10" s="1"/>
  <c r="I37" i="2"/>
  <c r="M30" i="10" s="1"/>
  <c r="R37" i="2"/>
  <c r="L30" i="10"/>
  <c r="R30" i="10" s="1"/>
  <c r="I17" i="2"/>
  <c r="M15" i="10" s="1"/>
  <c r="R17" i="2"/>
  <c r="L15" i="10"/>
  <c r="R15" i="10" s="1"/>
  <c r="L27" i="10"/>
  <c r="R27" i="10" s="1"/>
  <c r="R34" i="2"/>
  <c r="I34" i="2"/>
  <c r="M27" i="10" s="1"/>
  <c r="R16" i="2"/>
  <c r="L14" i="10"/>
  <c r="R14" i="10" s="1"/>
  <c r="M14" i="10"/>
  <c r="I15" i="2"/>
  <c r="M13" i="10" s="1"/>
  <c r="R15" i="2"/>
  <c r="L13" i="10"/>
  <c r="R13" i="10" s="1"/>
  <c r="I14" i="2"/>
  <c r="M12" i="10" s="1"/>
  <c r="R14" i="2"/>
  <c r="L12" i="10"/>
  <c r="R12" i="10" s="1"/>
  <c r="R24" i="2"/>
  <c r="I24" i="2"/>
  <c r="I8" i="2"/>
  <c r="J8" i="2" s="1"/>
  <c r="L6" i="10"/>
  <c r="R6" i="10" s="1"/>
  <c r="I31" i="2"/>
  <c r="J31" i="2" s="1"/>
  <c r="R31" i="2"/>
  <c r="M19" i="10" l="1"/>
  <c r="J21" i="2"/>
  <c r="J35" i="2"/>
  <c r="N28" i="10" s="1"/>
  <c r="M6" i="10"/>
  <c r="J34" i="2"/>
  <c r="S34" i="2" s="1"/>
  <c r="E25" i="6"/>
  <c r="E9" i="6"/>
  <c r="P49" i="6"/>
  <c r="P62" i="6"/>
  <c r="P289" i="6"/>
  <c r="P225" i="6"/>
  <c r="P68" i="6"/>
  <c r="P75" i="6"/>
  <c r="P81" i="6"/>
  <c r="P87" i="6"/>
  <c r="P78" i="6"/>
  <c r="P85" i="6"/>
  <c r="P83" i="6"/>
  <c r="BB12" i="4" s="1"/>
  <c r="P86" i="6"/>
  <c r="P70" i="6"/>
  <c r="P69" i="6"/>
  <c r="P73" i="6"/>
  <c r="P77" i="6"/>
  <c r="P82" i="6"/>
  <c r="P71" i="6"/>
  <c r="P226" i="6"/>
  <c r="P238" i="6"/>
  <c r="P288" i="6"/>
  <c r="P229" i="6"/>
  <c r="P230" i="6"/>
  <c r="P72" i="6"/>
  <c r="P76" i="6"/>
  <c r="P79" i="6"/>
  <c r="P80" i="6"/>
  <c r="P84" i="6"/>
  <c r="P219" i="6"/>
  <c r="P245" i="6"/>
  <c r="P220" i="6"/>
  <c r="P60" i="6"/>
  <c r="P61" i="6"/>
  <c r="P59" i="6"/>
  <c r="P232" i="6"/>
  <c r="P192" i="6"/>
  <c r="P51" i="6"/>
  <c r="P233" i="6"/>
  <c r="P56" i="6"/>
  <c r="P290" i="6"/>
  <c r="P95" i="6"/>
  <c r="P244" i="6"/>
  <c r="P291" i="6"/>
  <c r="P48" i="6"/>
  <c r="P198" i="6"/>
  <c r="P96" i="6"/>
  <c r="P97" i="6"/>
  <c r="P221" i="6"/>
  <c r="P222" i="6"/>
  <c r="P223" i="6"/>
  <c r="P52" i="6"/>
  <c r="P53" i="6"/>
  <c r="P63" i="6"/>
  <c r="P65" i="6"/>
  <c r="P195" i="6"/>
  <c r="P246" i="6"/>
  <c r="P54" i="6"/>
  <c r="P197" i="6"/>
  <c r="P55" i="6"/>
  <c r="P294" i="6"/>
  <c r="P295" i="6"/>
  <c r="P188" i="6"/>
  <c r="P104" i="6"/>
  <c r="P201" i="6"/>
  <c r="BB69" i="4" s="1"/>
  <c r="P66" i="6"/>
  <c r="P64" i="6"/>
  <c r="P106" i="6"/>
  <c r="P243" i="6"/>
  <c r="P94" i="6"/>
  <c r="P93" i="6"/>
  <c r="P248" i="6"/>
  <c r="P253" i="6" s="1"/>
  <c r="P258" i="6" s="1"/>
  <c r="P102" i="6"/>
  <c r="P227" i="6"/>
  <c r="P234" i="6"/>
  <c r="P103" i="6"/>
  <c r="P228" i="6"/>
  <c r="P235" i="6"/>
  <c r="P237" i="6"/>
  <c r="P224" i="6"/>
  <c r="P184" i="6"/>
  <c r="P90" i="6"/>
  <c r="P231" i="6"/>
  <c r="P298" i="6"/>
  <c r="P105" i="6"/>
  <c r="P202" i="6"/>
  <c r="P89" i="6"/>
  <c r="P299" i="6"/>
  <c r="P91" i="6"/>
  <c r="P306" i="6"/>
  <c r="BB70" i="4" s="1"/>
  <c r="P92" i="6"/>
  <c r="P196" i="6"/>
  <c r="P50" i="6"/>
  <c r="P57" i="6"/>
  <c r="P100" i="6"/>
  <c r="P199" i="6"/>
  <c r="BB61" i="4" s="1"/>
  <c r="P98" i="6"/>
  <c r="P190" i="6"/>
  <c r="P101" i="6"/>
  <c r="P353" i="6"/>
  <c r="P351" i="6"/>
  <c r="BB42" i="4" s="1"/>
  <c r="P352" i="6"/>
  <c r="P186" i="6"/>
  <c r="P191" i="6"/>
  <c r="P185" i="6"/>
  <c r="P193" i="6"/>
  <c r="P187" i="6"/>
  <c r="P292" i="6"/>
  <c r="P46" i="6"/>
  <c r="P293" i="6"/>
  <c r="P194" i="6"/>
  <c r="P200" i="6"/>
  <c r="BB30" i="4" s="1"/>
  <c r="P183" i="6"/>
  <c r="P41" i="6"/>
  <c r="P166" i="6"/>
  <c r="P174" i="6"/>
  <c r="P175" i="6"/>
  <c r="P167" i="6"/>
  <c r="P311" i="6"/>
  <c r="P17" i="6"/>
  <c r="P317" i="6"/>
  <c r="P301" i="6"/>
  <c r="BB33" i="4" s="1"/>
  <c r="P30" i="6"/>
  <c r="P318" i="6"/>
  <c r="P7" i="6"/>
  <c r="P163" i="6"/>
  <c r="P307" i="6"/>
  <c r="P21" i="6"/>
  <c r="BB26" i="4" s="1"/>
  <c r="P350" i="6"/>
  <c r="BB41" i="4" s="1"/>
  <c r="P176" i="6"/>
  <c r="P154" i="6"/>
  <c r="P178" i="6"/>
  <c r="P42" i="6"/>
  <c r="P310" i="6"/>
  <c r="P22" i="6"/>
  <c r="P322" i="6"/>
  <c r="P300" i="6"/>
  <c r="P312" i="6"/>
  <c r="P9" i="6"/>
  <c r="P168" i="6"/>
  <c r="P24" i="6"/>
  <c r="P31" i="6"/>
  <c r="P169" i="6"/>
  <c r="P315" i="6"/>
  <c r="P170" i="6"/>
  <c r="P304" i="6"/>
  <c r="P354" i="6"/>
  <c r="P173" i="6"/>
  <c r="P171" i="6"/>
  <c r="P316" i="6"/>
  <c r="BB49" i="4" s="1"/>
  <c r="P162" i="6"/>
  <c r="P172" i="6"/>
  <c r="P305" i="6"/>
  <c r="P23" i="6"/>
  <c r="BB27" i="4" s="1"/>
  <c r="P139" i="6"/>
  <c r="P43" i="6"/>
  <c r="P152" i="6"/>
  <c r="P15" i="6"/>
  <c r="P4" i="6"/>
  <c r="P5" i="6"/>
  <c r="P140" i="6"/>
  <c r="P26" i="6"/>
  <c r="BB9" i="4" s="1"/>
  <c r="P144" i="6"/>
  <c r="BB56" i="4" s="1"/>
  <c r="P32" i="6"/>
  <c r="P177" i="6"/>
  <c r="P308" i="6"/>
  <c r="BB39" i="4" s="1"/>
  <c r="P313" i="6"/>
  <c r="BB48" i="4" s="1"/>
  <c r="P319" i="6"/>
  <c r="P157" i="6"/>
  <c r="P6" i="6"/>
  <c r="P164" i="6"/>
  <c r="P320" i="6"/>
  <c r="P302" i="6"/>
  <c r="P141" i="6"/>
  <c r="P16" i="6"/>
  <c r="P309" i="6"/>
  <c r="P314" i="6"/>
  <c r="P146" i="6"/>
  <c r="P8" i="6"/>
  <c r="BB24" i="4" s="1"/>
  <c r="P161" i="6"/>
  <c r="P321" i="6"/>
  <c r="BB51" i="4" s="1"/>
  <c r="P151" i="6"/>
  <c r="P20" i="6"/>
  <c r="BB25" i="4" s="1"/>
  <c r="P142" i="6"/>
  <c r="BB55" i="4" s="1"/>
  <c r="P153" i="6"/>
  <c r="P147" i="6"/>
  <c r="P10" i="6"/>
  <c r="P155" i="6"/>
  <c r="P148" i="6"/>
  <c r="P11" i="6"/>
  <c r="P33" i="6"/>
  <c r="P34" i="6"/>
  <c r="P143" i="6"/>
  <c r="P137" i="6"/>
  <c r="P156" i="6"/>
  <c r="P149" i="6"/>
  <c r="BB62" i="4" s="1"/>
  <c r="P19" i="6"/>
  <c r="P12" i="6"/>
  <c r="P36" i="6"/>
  <c r="P38" i="6"/>
  <c r="P145" i="6"/>
  <c r="BB53" i="4" s="1"/>
  <c r="P138" i="6"/>
  <c r="P158" i="6"/>
  <c r="P18" i="6"/>
  <c r="P13" i="6"/>
  <c r="P37" i="6"/>
  <c r="P165" i="6"/>
  <c r="P14" i="6"/>
  <c r="P45" i="6"/>
  <c r="P35" i="6"/>
  <c r="P39" i="6"/>
  <c r="P28" i="6"/>
  <c r="P29" i="6"/>
  <c r="P108" i="6"/>
  <c r="P112" i="6" s="1"/>
  <c r="P109" i="6"/>
  <c r="P128" i="6" s="1"/>
  <c r="P110" i="6"/>
  <c r="P44" i="6"/>
  <c r="L8" i="6"/>
  <c r="AX24" i="4" s="1"/>
  <c r="L25" i="6"/>
  <c r="I22" i="6"/>
  <c r="I25" i="6"/>
  <c r="J37" i="2"/>
  <c r="S37" i="2" s="1"/>
  <c r="D30" i="10" s="1"/>
  <c r="BB11" i="4"/>
  <c r="AX68" i="4"/>
  <c r="L128" i="6"/>
  <c r="J11" i="2"/>
  <c r="I336" i="6"/>
  <c r="AU65" i="4"/>
  <c r="S65" i="4" s="1"/>
  <c r="L331" i="6"/>
  <c r="AX65" i="4"/>
  <c r="L221" i="6"/>
  <c r="L220" i="6"/>
  <c r="L233" i="6"/>
  <c r="L228" i="6"/>
  <c r="L226" i="6"/>
  <c r="L64" i="6"/>
  <c r="L227" i="6"/>
  <c r="L50" i="6"/>
  <c r="L53" i="6"/>
  <c r="L48" i="6"/>
  <c r="L66" i="6"/>
  <c r="L51" i="6"/>
  <c r="L52" i="6"/>
  <c r="L59" i="6"/>
  <c r="L219" i="6"/>
  <c r="L143" i="6"/>
  <c r="L157" i="6"/>
  <c r="O31" i="2"/>
  <c r="S31" i="2"/>
  <c r="L166" i="6"/>
  <c r="L309" i="6"/>
  <c r="L55" i="6"/>
  <c r="L58" i="6"/>
  <c r="L232" i="6"/>
  <c r="L238" i="6"/>
  <c r="L57" i="6"/>
  <c r="L222" i="6"/>
  <c r="L76" i="6"/>
  <c r="L35" i="6"/>
  <c r="L223" i="6"/>
  <c r="L85" i="6"/>
  <c r="L61" i="6"/>
  <c r="L32" i="6"/>
  <c r="L235" i="6"/>
  <c r="L65" i="6"/>
  <c r="L247" i="6"/>
  <c r="L49" i="6"/>
  <c r="L229" i="6"/>
  <c r="L224" i="6"/>
  <c r="L63" i="6"/>
  <c r="L234" i="6"/>
  <c r="L60" i="6"/>
  <c r="L54" i="6"/>
  <c r="L230" i="6"/>
  <c r="L236" i="6"/>
  <c r="L225" i="6"/>
  <c r="L62" i="6"/>
  <c r="L231" i="6"/>
  <c r="L163" i="6"/>
  <c r="L14" i="6"/>
  <c r="L86" i="6"/>
  <c r="L81" i="6"/>
  <c r="L312" i="6"/>
  <c r="L5" i="6"/>
  <c r="L77" i="6"/>
  <c r="L42" i="6"/>
  <c r="L68" i="6"/>
  <c r="L170" i="6"/>
  <c r="L33" i="6"/>
  <c r="L169" i="6"/>
  <c r="L175" i="6"/>
  <c r="L73" i="6"/>
  <c r="L37" i="6"/>
  <c r="L80" i="6"/>
  <c r="L176" i="6"/>
  <c r="L40" i="6"/>
  <c r="L319" i="6"/>
  <c r="L82" i="6"/>
  <c r="L178" i="6"/>
  <c r="L28" i="6"/>
  <c r="L174" i="6"/>
  <c r="L38" i="6"/>
  <c r="L147" i="6"/>
  <c r="I78" i="6"/>
  <c r="L96" i="6"/>
  <c r="I163" i="6"/>
  <c r="L335" i="6"/>
  <c r="I168" i="6"/>
  <c r="I176" i="6"/>
  <c r="L87" i="6"/>
  <c r="L308" i="6"/>
  <c r="L18" i="6"/>
  <c r="L151" i="6"/>
  <c r="I312" i="6"/>
  <c r="I82" i="6"/>
  <c r="L99" i="6"/>
  <c r="I246" i="6"/>
  <c r="L188" i="6"/>
  <c r="I28" i="6"/>
  <c r="L189" i="6"/>
  <c r="L244" i="6"/>
  <c r="L165" i="6"/>
  <c r="L29" i="6"/>
  <c r="L13" i="6"/>
  <c r="L137" i="6"/>
  <c r="L98" i="6"/>
  <c r="L84" i="6"/>
  <c r="L171" i="6"/>
  <c r="L46" i="6"/>
  <c r="L149" i="6"/>
  <c r="AX62" i="4" s="1"/>
  <c r="L102" i="6"/>
  <c r="I319" i="6"/>
  <c r="L245" i="6"/>
  <c r="I318" i="6"/>
  <c r="L296" i="6"/>
  <c r="L340" i="6"/>
  <c r="I35" i="6"/>
  <c r="I15" i="6"/>
  <c r="L190" i="6"/>
  <c r="I32" i="6"/>
  <c r="I157" i="6"/>
  <c r="L193" i="6"/>
  <c r="L78" i="6"/>
  <c r="L167" i="6"/>
  <c r="L301" i="6"/>
  <c r="AX33" i="4" s="1"/>
  <c r="L41" i="6"/>
  <c r="L145" i="6"/>
  <c r="AX53" i="4" s="1"/>
  <c r="I36" i="6"/>
  <c r="L194" i="6"/>
  <c r="L70" i="6"/>
  <c r="L111" i="6"/>
  <c r="L168" i="6"/>
  <c r="L306" i="6"/>
  <c r="AX70" i="4" s="1"/>
  <c r="L30" i="6"/>
  <c r="L153" i="6"/>
  <c r="I73" i="6"/>
  <c r="L103" i="6"/>
  <c r="L330" i="6"/>
  <c r="AX57" i="4" s="1"/>
  <c r="I248" i="6"/>
  <c r="AU8" i="4" s="1"/>
  <c r="I309" i="6"/>
  <c r="L184" i="6"/>
  <c r="L94" i="6"/>
  <c r="L23" i="6"/>
  <c r="AX27" i="4" s="1"/>
  <c r="L342" i="6"/>
  <c r="I19" i="6"/>
  <c r="I41" i="6"/>
  <c r="I301" i="6"/>
  <c r="L200" i="6"/>
  <c r="I320" i="6"/>
  <c r="I315" i="6"/>
  <c r="I31" i="6"/>
  <c r="I34" i="6"/>
  <c r="I305" i="6"/>
  <c r="I296" i="6"/>
  <c r="I38" i="6"/>
  <c r="I108" i="6"/>
  <c r="I310" i="6"/>
  <c r="I288" i="6"/>
  <c r="L185" i="6"/>
  <c r="L95" i="6"/>
  <c r="L337" i="6"/>
  <c r="I188" i="6"/>
  <c r="I37" i="6"/>
  <c r="I103" i="6"/>
  <c r="I302" i="6"/>
  <c r="L197" i="6"/>
  <c r="L89" i="6"/>
  <c r="L345" i="6"/>
  <c r="I185" i="6"/>
  <c r="I29" i="6"/>
  <c r="I161" i="6"/>
  <c r="I311" i="6"/>
  <c r="L187" i="6"/>
  <c r="L83" i="6"/>
  <c r="AX12" i="4" s="1"/>
  <c r="L71" i="6"/>
  <c r="L104" i="6"/>
  <c r="L172" i="6"/>
  <c r="L289" i="6"/>
  <c r="L44" i="6"/>
  <c r="L326" i="6"/>
  <c r="L154" i="6"/>
  <c r="I85" i="6"/>
  <c r="I45" i="6"/>
  <c r="I178" i="6"/>
  <c r="I317" i="6"/>
  <c r="I326" i="6"/>
  <c r="L199" i="6"/>
  <c r="AX61" i="4" s="1"/>
  <c r="L75" i="6"/>
  <c r="L79" i="6"/>
  <c r="L110" i="6"/>
  <c r="L93" i="6"/>
  <c r="L161" i="6"/>
  <c r="L34" i="6"/>
  <c r="L45" i="6"/>
  <c r="L328" i="6"/>
  <c r="AX50" i="4" s="1"/>
  <c r="L142" i="6"/>
  <c r="AX55" i="4" s="1"/>
  <c r="I243" i="6"/>
  <c r="I33" i="6"/>
  <c r="I307" i="6"/>
  <c r="I321" i="6"/>
  <c r="L195" i="6"/>
  <c r="L92" i="6"/>
  <c r="L332" i="6"/>
  <c r="I244" i="6"/>
  <c r="I42" i="6"/>
  <c r="I308" i="6"/>
  <c r="I303" i="6"/>
  <c r="L191" i="6"/>
  <c r="L91" i="6"/>
  <c r="L7" i="6"/>
  <c r="L348" i="6"/>
  <c r="L148" i="6"/>
  <c r="L325" i="6"/>
  <c r="I77" i="6"/>
  <c r="I30" i="6"/>
  <c r="I49" i="6"/>
  <c r="I104" i="6"/>
  <c r="I299" i="6"/>
  <c r="I314" i="6"/>
  <c r="I23" i="6"/>
  <c r="AU27" i="4" s="1"/>
  <c r="I148" i="6"/>
  <c r="L186" i="6"/>
  <c r="L183" i="6"/>
  <c r="L72" i="6"/>
  <c r="L108" i="6"/>
  <c r="L97" i="6"/>
  <c r="L177" i="6"/>
  <c r="L173" i="6"/>
  <c r="L295" i="6"/>
  <c r="L43" i="6"/>
  <c r="L16" i="6"/>
  <c r="L324" i="6"/>
  <c r="L329" i="6"/>
  <c r="I74" i="6"/>
  <c r="I43" i="6"/>
  <c r="I61" i="6"/>
  <c r="I160" i="6"/>
  <c r="I316" i="6"/>
  <c r="AU49" i="4" s="1"/>
  <c r="I298" i="6"/>
  <c r="I18" i="6"/>
  <c r="I154" i="6"/>
  <c r="L198" i="6"/>
  <c r="L192" i="6"/>
  <c r="L74" i="6"/>
  <c r="L243" i="6"/>
  <c r="L90" i="6"/>
  <c r="L164" i="6"/>
  <c r="L162" i="6"/>
  <c r="L288" i="6"/>
  <c r="L31" i="6"/>
  <c r="L6" i="6"/>
  <c r="L336" i="6"/>
  <c r="L341" i="6"/>
  <c r="AX60" i="4" s="1"/>
  <c r="L155" i="6"/>
  <c r="I54" i="6"/>
  <c r="I12" i="6"/>
  <c r="L352" i="6"/>
  <c r="L292" i="6"/>
  <c r="I51" i="6"/>
  <c r="I62" i="6"/>
  <c r="I4" i="6"/>
  <c r="I48" i="6"/>
  <c r="I11" i="6"/>
  <c r="I13" i="6"/>
  <c r="J20" i="2"/>
  <c r="I190" i="6"/>
  <c r="I52" i="6"/>
  <c r="I5" i="6"/>
  <c r="I16" i="6"/>
  <c r="L22" i="6"/>
  <c r="L346" i="6"/>
  <c r="L338" i="6"/>
  <c r="I196" i="6"/>
  <c r="I58" i="6"/>
  <c r="I9" i="6"/>
  <c r="I348" i="6"/>
  <c r="L201" i="6"/>
  <c r="AX69" i="4" s="1"/>
  <c r="L100" i="6"/>
  <c r="L105" i="6"/>
  <c r="L11" i="6"/>
  <c r="L333" i="6"/>
  <c r="L327" i="6"/>
  <c r="BB8" i="4"/>
  <c r="I10" i="6"/>
  <c r="L347" i="6"/>
  <c r="AX73" i="4" s="1"/>
  <c r="L339" i="6"/>
  <c r="I55" i="6"/>
  <c r="I66" i="6"/>
  <c r="I6" i="6"/>
  <c r="I346" i="6"/>
  <c r="I87" i="6"/>
  <c r="I50" i="6"/>
  <c r="I7" i="6"/>
  <c r="I327" i="6"/>
  <c r="L196" i="6"/>
  <c r="L101" i="6"/>
  <c r="L39" i="6"/>
  <c r="L334" i="6"/>
  <c r="M355" i="6"/>
  <c r="M354" i="6"/>
  <c r="M353" i="6"/>
  <c r="M352" i="6"/>
  <c r="M351" i="6"/>
  <c r="AY42" i="4" s="1"/>
  <c r="M350" i="6"/>
  <c r="AY41" i="4" s="1"/>
  <c r="I289" i="6"/>
  <c r="L320" i="6"/>
  <c r="L313" i="6"/>
  <c r="AX48" i="4" s="1"/>
  <c r="M63" i="6"/>
  <c r="M51" i="6"/>
  <c r="M62" i="6"/>
  <c r="M50" i="6"/>
  <c r="M61" i="6"/>
  <c r="M49" i="6"/>
  <c r="M52" i="6"/>
  <c r="M60" i="6"/>
  <c r="M48" i="6"/>
  <c r="M59" i="6"/>
  <c r="M66" i="6"/>
  <c r="M58" i="6"/>
  <c r="M57" i="6"/>
  <c r="M56" i="6"/>
  <c r="M64" i="6"/>
  <c r="M55" i="6"/>
  <c r="M54" i="6"/>
  <c r="M65" i="6"/>
  <c r="M53" i="6"/>
  <c r="M228" i="6"/>
  <c r="M227" i="6"/>
  <c r="M238" i="6"/>
  <c r="M226" i="6"/>
  <c r="M237" i="6"/>
  <c r="M225" i="6"/>
  <c r="M236" i="6"/>
  <c r="M224" i="6"/>
  <c r="M235" i="6"/>
  <c r="M223" i="6"/>
  <c r="M234" i="6"/>
  <c r="M222" i="6"/>
  <c r="M233" i="6"/>
  <c r="M221" i="6"/>
  <c r="M232" i="6"/>
  <c r="M220" i="6"/>
  <c r="M231" i="6"/>
  <c r="M219" i="6"/>
  <c r="M230" i="6"/>
  <c r="M229" i="6"/>
  <c r="L246" i="6"/>
  <c r="L350" i="6"/>
  <c r="AX41" i="4" s="1"/>
  <c r="L321" i="6"/>
  <c r="L302" i="6"/>
  <c r="L290" i="6"/>
  <c r="L24" i="6"/>
  <c r="L19" i="6"/>
  <c r="L138" i="6"/>
  <c r="L156" i="6"/>
  <c r="I109" i="6"/>
  <c r="M288" i="6"/>
  <c r="M296" i="6"/>
  <c r="M295" i="6"/>
  <c r="M294" i="6"/>
  <c r="M293" i="6"/>
  <c r="M292" i="6"/>
  <c r="M291" i="6"/>
  <c r="M290" i="6"/>
  <c r="M289" i="6"/>
  <c r="I202" i="6"/>
  <c r="I97" i="6"/>
  <c r="I331" i="6"/>
  <c r="L351" i="6"/>
  <c r="AX42" i="4" s="1"/>
  <c r="L298" i="6"/>
  <c r="L314" i="6"/>
  <c r="L291" i="6"/>
  <c r="L26" i="6"/>
  <c r="AX9" i="4" s="1"/>
  <c r="L20" i="6"/>
  <c r="AX25" i="4" s="1"/>
  <c r="L150" i="6"/>
  <c r="AX54" i="4" s="1"/>
  <c r="L144" i="6"/>
  <c r="AX56" i="4" s="1"/>
  <c r="M111" i="6"/>
  <c r="M110" i="6"/>
  <c r="M109" i="6"/>
  <c r="M108" i="6"/>
  <c r="M24" i="6"/>
  <c r="M12" i="6"/>
  <c r="M19" i="6"/>
  <c r="M23" i="6"/>
  <c r="AY27" i="4" s="1"/>
  <c r="M11" i="6"/>
  <c r="M7" i="6"/>
  <c r="M22" i="6"/>
  <c r="M10" i="6"/>
  <c r="M21" i="6"/>
  <c r="AY26" i="4" s="1"/>
  <c r="M9" i="6"/>
  <c r="M15" i="6"/>
  <c r="M20" i="6"/>
  <c r="AY25" i="4" s="1"/>
  <c r="M8" i="6"/>
  <c r="AY24" i="4" s="1"/>
  <c r="M18" i="6"/>
  <c r="M6" i="6"/>
  <c r="M17" i="6"/>
  <c r="M5" i="6"/>
  <c r="M26" i="6"/>
  <c r="AY9" i="4" s="1"/>
  <c r="M16" i="6"/>
  <c r="M4" i="6"/>
  <c r="M13" i="6"/>
  <c r="M14" i="6"/>
  <c r="L310" i="6"/>
  <c r="L303" i="6"/>
  <c r="I194" i="6"/>
  <c r="I99" i="6"/>
  <c r="I341" i="6"/>
  <c r="AU60" i="4" s="1"/>
  <c r="I187" i="6"/>
  <c r="I79" i="6"/>
  <c r="I90" i="6"/>
  <c r="I174" i="6"/>
  <c r="I328" i="6"/>
  <c r="AU50" i="4" s="1"/>
  <c r="I186" i="6"/>
  <c r="I72" i="6"/>
  <c r="I98" i="6"/>
  <c r="I164" i="6"/>
  <c r="I151" i="6"/>
  <c r="I195" i="6"/>
  <c r="I68" i="6"/>
  <c r="I39" i="6"/>
  <c r="I44" i="6"/>
  <c r="I57" i="6"/>
  <c r="I106" i="6"/>
  <c r="I170" i="6"/>
  <c r="I306" i="6"/>
  <c r="AU70" i="4" s="1"/>
  <c r="I295" i="6"/>
  <c r="I21" i="6"/>
  <c r="AU26" i="4" s="1"/>
  <c r="I227" i="6"/>
  <c r="I156" i="6"/>
  <c r="L353" i="6"/>
  <c r="L322" i="6"/>
  <c r="L315" i="6"/>
  <c r="L293" i="6"/>
  <c r="L15" i="6"/>
  <c r="L9" i="6"/>
  <c r="L139" i="6"/>
  <c r="M193" i="6"/>
  <c r="M192" i="6"/>
  <c r="M191" i="6"/>
  <c r="M184" i="6"/>
  <c r="M202" i="6"/>
  <c r="M190" i="6"/>
  <c r="M200" i="6"/>
  <c r="M201" i="6"/>
  <c r="AY69" i="4" s="1"/>
  <c r="M189" i="6"/>
  <c r="M188" i="6"/>
  <c r="M199" i="6"/>
  <c r="AY61" i="4" s="1"/>
  <c r="M187" i="6"/>
  <c r="M198" i="6"/>
  <c r="M186" i="6"/>
  <c r="M197" i="6"/>
  <c r="M185" i="6"/>
  <c r="M196" i="6"/>
  <c r="M195" i="6"/>
  <c r="M183" i="6"/>
  <c r="M194" i="6"/>
  <c r="M96" i="6"/>
  <c r="M95" i="6"/>
  <c r="M89" i="6"/>
  <c r="M92" i="6"/>
  <c r="M103" i="6"/>
  <c r="M105" i="6"/>
  <c r="M101" i="6"/>
  <c r="M98" i="6"/>
  <c r="M102" i="6"/>
  <c r="M94" i="6"/>
  <c r="M104" i="6"/>
  <c r="M91" i="6"/>
  <c r="M99" i="6"/>
  <c r="M100" i="6"/>
  <c r="M97" i="6"/>
  <c r="M93" i="6"/>
  <c r="M106" i="6"/>
  <c r="M90" i="6"/>
  <c r="M342" i="6"/>
  <c r="M330" i="6"/>
  <c r="AY57" i="4" s="1"/>
  <c r="M341" i="6"/>
  <c r="AY60" i="4" s="1"/>
  <c r="M329" i="6"/>
  <c r="M345" i="6"/>
  <c r="M340" i="6"/>
  <c r="M328" i="6"/>
  <c r="AY50" i="4" s="1"/>
  <c r="M339" i="6"/>
  <c r="M327" i="6"/>
  <c r="M338" i="6"/>
  <c r="M326" i="6"/>
  <c r="M337" i="6"/>
  <c r="M325" i="6"/>
  <c r="M336" i="6"/>
  <c r="M324" i="6"/>
  <c r="M335" i="6"/>
  <c r="M348" i="6"/>
  <c r="M334" i="6"/>
  <c r="M331" i="6"/>
  <c r="M347" i="6"/>
  <c r="AY73" i="4" s="1"/>
  <c r="M333" i="6"/>
  <c r="M346" i="6"/>
  <c r="M332" i="6"/>
  <c r="L354" i="6"/>
  <c r="L318" i="6"/>
  <c r="L304" i="6"/>
  <c r="L12" i="6"/>
  <c r="L21" i="6"/>
  <c r="AX26" i="4" s="1"/>
  <c r="L152" i="6"/>
  <c r="I198" i="6"/>
  <c r="I291" i="6"/>
  <c r="I333" i="6"/>
  <c r="L299" i="6"/>
  <c r="L316" i="6"/>
  <c r="AX49" i="4" s="1"/>
  <c r="L4" i="6"/>
  <c r="L10" i="6"/>
  <c r="L146" i="6"/>
  <c r="L140" i="6"/>
  <c r="M71" i="6"/>
  <c r="M76" i="6"/>
  <c r="M69" i="6"/>
  <c r="M82" i="6"/>
  <c r="M70" i="6"/>
  <c r="M83" i="6"/>
  <c r="AY12" i="4" s="1"/>
  <c r="M85" i="6"/>
  <c r="M75" i="6"/>
  <c r="M73" i="6"/>
  <c r="M87" i="6"/>
  <c r="M72" i="6"/>
  <c r="M78" i="6"/>
  <c r="M77" i="6"/>
  <c r="M68" i="6"/>
  <c r="M74" i="6"/>
  <c r="M79" i="6"/>
  <c r="M84" i="6"/>
  <c r="M81" i="6"/>
  <c r="M80" i="6"/>
  <c r="M86" i="6"/>
  <c r="M162" i="6"/>
  <c r="M171" i="6"/>
  <c r="M163" i="6"/>
  <c r="M164" i="6"/>
  <c r="M170" i="6"/>
  <c r="M178" i="6"/>
  <c r="M176" i="6"/>
  <c r="M160" i="6"/>
  <c r="M173" i="6"/>
  <c r="M174" i="6"/>
  <c r="M177" i="6"/>
  <c r="M172" i="6"/>
  <c r="M169" i="6"/>
  <c r="M167" i="6"/>
  <c r="M168" i="6"/>
  <c r="M175" i="6"/>
  <c r="M165" i="6"/>
  <c r="M166" i="6"/>
  <c r="M161" i="6"/>
  <c r="M40" i="6"/>
  <c r="M35" i="6"/>
  <c r="M39" i="6"/>
  <c r="M33" i="6"/>
  <c r="M38" i="6"/>
  <c r="M31" i="6"/>
  <c r="M37" i="6"/>
  <c r="M29" i="6"/>
  <c r="M36" i="6"/>
  <c r="M28" i="6"/>
  <c r="M34" i="6"/>
  <c r="M46" i="6"/>
  <c r="M32" i="6"/>
  <c r="M45" i="6"/>
  <c r="M30" i="6"/>
  <c r="M44" i="6"/>
  <c r="M43" i="6"/>
  <c r="M41" i="6"/>
  <c r="M42" i="6"/>
  <c r="I290" i="6"/>
  <c r="I93" i="6"/>
  <c r="I191" i="6"/>
  <c r="I111" i="6"/>
  <c r="I294" i="6"/>
  <c r="I345" i="6"/>
  <c r="I142" i="6"/>
  <c r="AU55" i="4" s="1"/>
  <c r="L311" i="6"/>
  <c r="L305" i="6"/>
  <c r="I76" i="6"/>
  <c r="I247" i="6"/>
  <c r="I46" i="6"/>
  <c r="I64" i="6"/>
  <c r="I166" i="6"/>
  <c r="I304" i="6"/>
  <c r="I313" i="6"/>
  <c r="AU48" i="4" s="1"/>
  <c r="I293" i="6"/>
  <c r="I8" i="6"/>
  <c r="AU24" i="4" s="1"/>
  <c r="I340" i="6"/>
  <c r="I138" i="6"/>
  <c r="L307" i="6"/>
  <c r="L300" i="6"/>
  <c r="AX20" i="4" s="1"/>
  <c r="L17" i="6"/>
  <c r="L158" i="6"/>
  <c r="M246" i="6"/>
  <c r="M245" i="6"/>
  <c r="M244" i="6"/>
  <c r="M243" i="6"/>
  <c r="M247" i="6"/>
  <c r="M248" i="6"/>
  <c r="M317" i="6"/>
  <c r="M305" i="6"/>
  <c r="M316" i="6"/>
  <c r="AY49" i="4" s="1"/>
  <c r="M304" i="6"/>
  <c r="M315" i="6"/>
  <c r="M303" i="6"/>
  <c r="M314" i="6"/>
  <c r="M302" i="6"/>
  <c r="M306" i="6"/>
  <c r="AY70" i="4" s="1"/>
  <c r="M313" i="6"/>
  <c r="AY48" i="4" s="1"/>
  <c r="M301" i="6"/>
  <c r="M312" i="6"/>
  <c r="M300" i="6"/>
  <c r="M311" i="6"/>
  <c r="M299" i="6"/>
  <c r="M318" i="6"/>
  <c r="M322" i="6"/>
  <c r="M310" i="6"/>
  <c r="M298" i="6"/>
  <c r="M321" i="6"/>
  <c r="M309" i="6"/>
  <c r="M320" i="6"/>
  <c r="M308" i="6"/>
  <c r="M319" i="6"/>
  <c r="M307" i="6"/>
  <c r="M157" i="6"/>
  <c r="M145" i="6"/>
  <c r="AY53" i="4" s="1"/>
  <c r="M149" i="6"/>
  <c r="AY62" i="4" s="1"/>
  <c r="M150" i="6"/>
  <c r="AY54" i="4" s="1"/>
  <c r="M143" i="6"/>
  <c r="M144" i="6"/>
  <c r="AY56" i="4" s="1"/>
  <c r="M138" i="6"/>
  <c r="M139" i="6"/>
  <c r="M140" i="6"/>
  <c r="M148" i="6"/>
  <c r="M142" i="6"/>
  <c r="AY55" i="4" s="1"/>
  <c r="M156" i="6"/>
  <c r="M137" i="6"/>
  <c r="M141" i="6"/>
  <c r="M152" i="6"/>
  <c r="M153" i="6"/>
  <c r="M154" i="6"/>
  <c r="M151" i="6"/>
  <c r="M147" i="6"/>
  <c r="M158" i="6"/>
  <c r="M155" i="6"/>
  <c r="M146" i="6"/>
  <c r="I193" i="6"/>
  <c r="I197" i="6"/>
  <c r="I84" i="6"/>
  <c r="I56" i="6"/>
  <c r="I63" i="6"/>
  <c r="I101" i="6"/>
  <c r="I91" i="6"/>
  <c r="I169" i="6"/>
  <c r="I14" i="6"/>
  <c r="I24" i="6"/>
  <c r="I335" i="6"/>
  <c r="I325" i="6"/>
  <c r="I153" i="6"/>
  <c r="I150" i="6"/>
  <c r="AU54" i="4" s="1"/>
  <c r="I201" i="6"/>
  <c r="AU69" i="4" s="1"/>
  <c r="I199" i="6"/>
  <c r="AU61" i="4" s="1"/>
  <c r="I69" i="6"/>
  <c r="AU20" i="4" s="1"/>
  <c r="I60" i="6"/>
  <c r="I53" i="6"/>
  <c r="I100" i="6"/>
  <c r="I96" i="6"/>
  <c r="I172" i="6"/>
  <c r="I322" i="6"/>
  <c r="I17" i="6"/>
  <c r="I20" i="6"/>
  <c r="AU25" i="4" s="1"/>
  <c r="I342" i="6"/>
  <c r="I332" i="6"/>
  <c r="I145" i="6"/>
  <c r="AU53" i="4" s="1"/>
  <c r="I144" i="6"/>
  <c r="AU56" i="4" s="1"/>
  <c r="I92" i="6"/>
  <c r="I89" i="6"/>
  <c r="I347" i="6"/>
  <c r="AU73" i="4" s="1"/>
  <c r="I337" i="6"/>
  <c r="I149" i="6"/>
  <c r="AU62" i="4" s="1"/>
  <c r="I140" i="6"/>
  <c r="I192" i="6"/>
  <c r="I71" i="6"/>
  <c r="I86" i="6"/>
  <c r="I167" i="6"/>
  <c r="I184" i="6"/>
  <c r="I75" i="6"/>
  <c r="I81" i="6"/>
  <c r="I102" i="6"/>
  <c r="I173" i="6"/>
  <c r="I175" i="6"/>
  <c r="I329" i="6"/>
  <c r="I339" i="6"/>
  <c r="I146" i="6"/>
  <c r="I155" i="6"/>
  <c r="AX8" i="4"/>
  <c r="L253" i="6"/>
  <c r="L258" i="6" s="1"/>
  <c r="I183" i="6"/>
  <c r="I80" i="6"/>
  <c r="I70" i="6"/>
  <c r="I65" i="6"/>
  <c r="I94" i="6"/>
  <c r="I177" i="6"/>
  <c r="I162" i="6"/>
  <c r="I26" i="6"/>
  <c r="AU9" i="4" s="1"/>
  <c r="I334" i="6"/>
  <c r="I338" i="6"/>
  <c r="I139" i="6"/>
  <c r="I152" i="6"/>
  <c r="I141" i="6"/>
  <c r="I220" i="6"/>
  <c r="I324" i="6"/>
  <c r="I158" i="6"/>
  <c r="I137" i="6"/>
  <c r="I200" i="6"/>
  <c r="I105" i="6"/>
  <c r="I171" i="6"/>
  <c r="I330" i="6"/>
  <c r="AU57" i="4" s="1"/>
  <c r="I147" i="6"/>
  <c r="I222" i="6"/>
  <c r="K351" i="6"/>
  <c r="AW42" i="4" s="1"/>
  <c r="K350" i="6"/>
  <c r="AW41" i="4" s="1"/>
  <c r="K355" i="6"/>
  <c r="K354" i="6"/>
  <c r="K353" i="6"/>
  <c r="K352" i="6"/>
  <c r="K227" i="6"/>
  <c r="K238" i="6"/>
  <c r="K226" i="6"/>
  <c r="K237" i="6"/>
  <c r="K225" i="6"/>
  <c r="K236" i="6"/>
  <c r="K224" i="6"/>
  <c r="K235" i="6"/>
  <c r="K223" i="6"/>
  <c r="K229" i="6"/>
  <c r="K234" i="6"/>
  <c r="K222" i="6"/>
  <c r="K230" i="6"/>
  <c r="K233" i="6"/>
  <c r="K221" i="6"/>
  <c r="K232" i="6"/>
  <c r="K220" i="6"/>
  <c r="K231" i="6"/>
  <c r="K219" i="6"/>
  <c r="K228" i="6"/>
  <c r="K55" i="6"/>
  <c r="K53" i="6"/>
  <c r="K52" i="6"/>
  <c r="K49" i="6"/>
  <c r="K63" i="6"/>
  <c r="K64" i="6"/>
  <c r="K62" i="6"/>
  <c r="K60" i="6"/>
  <c r="K48" i="6"/>
  <c r="K65" i="6"/>
  <c r="K66" i="6"/>
  <c r="K57" i="6"/>
  <c r="K50" i="6"/>
  <c r="K54" i="6"/>
  <c r="K59" i="6"/>
  <c r="K56" i="6"/>
  <c r="K61" i="6"/>
  <c r="K58" i="6"/>
  <c r="K51" i="6"/>
  <c r="K24" i="6"/>
  <c r="K12" i="6"/>
  <c r="K22" i="6"/>
  <c r="K10" i="6"/>
  <c r="K21" i="6"/>
  <c r="AW26" i="4" s="1"/>
  <c r="K9" i="6"/>
  <c r="K20" i="6"/>
  <c r="AW25" i="4" s="1"/>
  <c r="K8" i="6"/>
  <c r="AW24" i="4" s="1"/>
  <c r="K15" i="6"/>
  <c r="K19" i="6"/>
  <c r="K7" i="6"/>
  <c r="K4" i="6"/>
  <c r="K18" i="6"/>
  <c r="K6" i="6"/>
  <c r="K17" i="6"/>
  <c r="K5" i="6"/>
  <c r="K16" i="6"/>
  <c r="K13" i="6"/>
  <c r="K23" i="6"/>
  <c r="AW27" i="4" s="1"/>
  <c r="K11" i="6"/>
  <c r="K26" i="6"/>
  <c r="AW9" i="4" s="1"/>
  <c r="K14" i="6"/>
  <c r="I237" i="6"/>
  <c r="I231" i="6"/>
  <c r="I351" i="6"/>
  <c r="AU42" i="4" s="1"/>
  <c r="I230" i="6"/>
  <c r="I224" i="6"/>
  <c r="K110" i="6"/>
  <c r="K111" i="6"/>
  <c r="K108" i="6"/>
  <c r="K109" i="6"/>
  <c r="K295" i="6"/>
  <c r="K294" i="6"/>
  <c r="K293" i="6"/>
  <c r="K292" i="6"/>
  <c r="K291" i="6"/>
  <c r="K290" i="6"/>
  <c r="K289" i="6"/>
  <c r="K288" i="6"/>
  <c r="K296" i="6"/>
  <c r="I228" i="6"/>
  <c r="I219" i="6"/>
  <c r="J19" i="2"/>
  <c r="I352" i="6"/>
  <c r="I221" i="6"/>
  <c r="I236" i="6"/>
  <c r="I223" i="6"/>
  <c r="I238" i="6"/>
  <c r="K193" i="6"/>
  <c r="K191" i="6"/>
  <c r="K202" i="6"/>
  <c r="K190" i="6"/>
  <c r="K201" i="6"/>
  <c r="AW69" i="4" s="1"/>
  <c r="K189" i="6"/>
  <c r="K196" i="6"/>
  <c r="K184" i="6"/>
  <c r="K200" i="6"/>
  <c r="K188" i="6"/>
  <c r="K185" i="6"/>
  <c r="K199" i="6"/>
  <c r="AW61" i="4" s="1"/>
  <c r="K187" i="6"/>
  <c r="K198" i="6"/>
  <c r="K186" i="6"/>
  <c r="K197" i="6"/>
  <c r="K192" i="6"/>
  <c r="K183" i="6"/>
  <c r="K195" i="6"/>
  <c r="K194" i="6"/>
  <c r="K103" i="6"/>
  <c r="K91" i="6"/>
  <c r="K101" i="6"/>
  <c r="K92" i="6"/>
  <c r="K100" i="6"/>
  <c r="K99" i="6"/>
  <c r="K106" i="6"/>
  <c r="K94" i="6"/>
  <c r="K98" i="6"/>
  <c r="K96" i="6"/>
  <c r="K97" i="6"/>
  <c r="K93" i="6"/>
  <c r="K105" i="6"/>
  <c r="K104" i="6"/>
  <c r="K102" i="6"/>
  <c r="K90" i="6"/>
  <c r="K95" i="6"/>
  <c r="K89" i="6"/>
  <c r="K345" i="6"/>
  <c r="K331" i="6"/>
  <c r="K342" i="6"/>
  <c r="K330" i="6"/>
  <c r="AW57" i="4" s="1"/>
  <c r="K341" i="6"/>
  <c r="AW60" i="4" s="1"/>
  <c r="K329" i="6"/>
  <c r="K340" i="6"/>
  <c r="K328" i="6"/>
  <c r="AW50" i="4" s="1"/>
  <c r="K339" i="6"/>
  <c r="K327" i="6"/>
  <c r="K348" i="6"/>
  <c r="K334" i="6"/>
  <c r="K338" i="6"/>
  <c r="K326" i="6"/>
  <c r="K337" i="6"/>
  <c r="K325" i="6"/>
  <c r="K336" i="6"/>
  <c r="K324" i="6"/>
  <c r="K335" i="6"/>
  <c r="K346" i="6"/>
  <c r="K332" i="6"/>
  <c r="K347" i="6"/>
  <c r="AW73" i="4" s="1"/>
  <c r="K333" i="6"/>
  <c r="I350" i="6"/>
  <c r="AU41" i="4" s="1"/>
  <c r="I353" i="6"/>
  <c r="I229" i="6"/>
  <c r="I225" i="6"/>
  <c r="I354" i="6"/>
  <c r="I234" i="6"/>
  <c r="I226" i="6"/>
  <c r="K69" i="6"/>
  <c r="K73" i="6"/>
  <c r="K71" i="6"/>
  <c r="K86" i="6"/>
  <c r="K82" i="6"/>
  <c r="K75" i="6"/>
  <c r="K72" i="6"/>
  <c r="K80" i="6"/>
  <c r="K87" i="6"/>
  <c r="K78" i="6"/>
  <c r="K74" i="6"/>
  <c r="K76" i="6"/>
  <c r="K70" i="6"/>
  <c r="K77" i="6"/>
  <c r="K84" i="6"/>
  <c r="K79" i="6"/>
  <c r="K85" i="6"/>
  <c r="K68" i="6"/>
  <c r="K83" i="6"/>
  <c r="AW12" i="4" s="1"/>
  <c r="K81" i="6"/>
  <c r="K177" i="6"/>
  <c r="K169" i="6"/>
  <c r="K167" i="6"/>
  <c r="K173" i="6"/>
  <c r="K165" i="6"/>
  <c r="K162" i="6"/>
  <c r="K178" i="6"/>
  <c r="K175" i="6"/>
  <c r="K163" i="6"/>
  <c r="K164" i="6"/>
  <c r="K168" i="6"/>
  <c r="K161" i="6"/>
  <c r="K166" i="6"/>
  <c r="K176" i="6"/>
  <c r="K171" i="6"/>
  <c r="K172" i="6"/>
  <c r="K170" i="6"/>
  <c r="K160" i="6"/>
  <c r="K174" i="6"/>
  <c r="K153" i="6"/>
  <c r="K141" i="6"/>
  <c r="K154" i="6"/>
  <c r="K158" i="6"/>
  <c r="K150" i="6"/>
  <c r="AW54" i="4" s="1"/>
  <c r="K155" i="6"/>
  <c r="K149" i="6"/>
  <c r="AW62" i="4" s="1"/>
  <c r="K152" i="6"/>
  <c r="K144" i="6"/>
  <c r="AW56" i="4" s="1"/>
  <c r="K148" i="6"/>
  <c r="K138" i="6"/>
  <c r="K145" i="6"/>
  <c r="AW53" i="4" s="1"/>
  <c r="K147" i="6"/>
  <c r="K137" i="6"/>
  <c r="K146" i="6"/>
  <c r="K140" i="6"/>
  <c r="K139" i="6"/>
  <c r="K157" i="6"/>
  <c r="K143" i="6"/>
  <c r="K151" i="6"/>
  <c r="K142" i="6"/>
  <c r="AW55" i="4" s="1"/>
  <c r="K156" i="6"/>
  <c r="I233" i="6"/>
  <c r="I235" i="6"/>
  <c r="K247" i="6"/>
  <c r="K246" i="6"/>
  <c r="K245" i="6"/>
  <c r="K244" i="6"/>
  <c r="K243" i="6"/>
  <c r="K248" i="6"/>
  <c r="K318" i="6"/>
  <c r="K306" i="6"/>
  <c r="AW70" i="4" s="1"/>
  <c r="K317" i="6"/>
  <c r="K305" i="6"/>
  <c r="K316" i="6"/>
  <c r="AW49" i="4" s="1"/>
  <c r="K304" i="6"/>
  <c r="K315" i="6"/>
  <c r="K303" i="6"/>
  <c r="K314" i="6"/>
  <c r="K302" i="6"/>
  <c r="K321" i="6"/>
  <c r="K309" i="6"/>
  <c r="K320" i="6"/>
  <c r="K313" i="6"/>
  <c r="AW48" i="4" s="1"/>
  <c r="K301" i="6"/>
  <c r="K322" i="6"/>
  <c r="K312" i="6"/>
  <c r="K300" i="6"/>
  <c r="K311" i="6"/>
  <c r="K299" i="6"/>
  <c r="K310" i="6"/>
  <c r="K298" i="6"/>
  <c r="K319" i="6"/>
  <c r="K308" i="6"/>
  <c r="K307" i="6"/>
  <c r="K43" i="6"/>
  <c r="K46" i="6"/>
  <c r="K39" i="6"/>
  <c r="K40" i="6"/>
  <c r="K37" i="6"/>
  <c r="K34" i="6"/>
  <c r="K35" i="6"/>
  <c r="K42" i="6"/>
  <c r="K30" i="6"/>
  <c r="K33" i="6"/>
  <c r="K32" i="6"/>
  <c r="K31" i="6"/>
  <c r="K29" i="6"/>
  <c r="K44" i="6"/>
  <c r="K45" i="6"/>
  <c r="K41" i="6"/>
  <c r="K36" i="6"/>
  <c r="K38" i="6"/>
  <c r="K28" i="6"/>
  <c r="E315" i="6"/>
  <c r="E322" i="6"/>
  <c r="E319" i="6"/>
  <c r="E313" i="6"/>
  <c r="AQ48" i="4" s="1"/>
  <c r="E307" i="6"/>
  <c r="E300" i="6"/>
  <c r="E321" i="6"/>
  <c r="E303" i="6"/>
  <c r="E310" i="6"/>
  <c r="E314" i="6"/>
  <c r="E298" i="6"/>
  <c r="E308" i="6"/>
  <c r="E302" i="6"/>
  <c r="E320" i="6"/>
  <c r="E301" i="6"/>
  <c r="E305" i="6"/>
  <c r="E318" i="6"/>
  <c r="E306" i="6"/>
  <c r="AQ70" i="4" s="1"/>
  <c r="S70" i="4" s="1"/>
  <c r="E309" i="6"/>
  <c r="E316" i="6"/>
  <c r="AQ49" i="4" s="1"/>
  <c r="E317" i="6"/>
  <c r="E312" i="6"/>
  <c r="E304" i="6"/>
  <c r="E299" i="6"/>
  <c r="E311" i="6"/>
  <c r="E98" i="6"/>
  <c r="E104" i="6"/>
  <c r="E89" i="6"/>
  <c r="E97" i="6"/>
  <c r="E99" i="6"/>
  <c r="E105" i="6"/>
  <c r="E100" i="6"/>
  <c r="E102" i="6"/>
  <c r="E95" i="6"/>
  <c r="E101" i="6"/>
  <c r="E90" i="6"/>
  <c r="E91" i="6"/>
  <c r="E106" i="6"/>
  <c r="E103" i="6"/>
  <c r="E92" i="6"/>
  <c r="E93" i="6"/>
  <c r="E94" i="6"/>
  <c r="E96" i="6"/>
  <c r="E289" i="6"/>
  <c r="E296" i="6"/>
  <c r="E288" i="6"/>
  <c r="E291" i="6"/>
  <c r="E295" i="6"/>
  <c r="E292" i="6"/>
  <c r="E293" i="6"/>
  <c r="E294" i="6"/>
  <c r="E290" i="6"/>
  <c r="E111" i="6"/>
  <c r="E110" i="6"/>
  <c r="E108" i="6"/>
  <c r="E109" i="6"/>
  <c r="E196" i="6"/>
  <c r="E188" i="6"/>
  <c r="E186" i="6"/>
  <c r="E183" i="6"/>
  <c r="E198" i="6"/>
  <c r="E185" i="6"/>
  <c r="E191" i="6"/>
  <c r="E187" i="6"/>
  <c r="E201" i="6"/>
  <c r="AQ69" i="4" s="1"/>
  <c r="E189" i="6"/>
  <c r="E199" i="6"/>
  <c r="AQ61" i="4" s="1"/>
  <c r="E197" i="6"/>
  <c r="E192" i="6"/>
  <c r="E202" i="6"/>
  <c r="E200" i="6"/>
  <c r="E190" i="6"/>
  <c r="E193" i="6"/>
  <c r="E195" i="6"/>
  <c r="E184" i="6"/>
  <c r="E194" i="6"/>
  <c r="E38" i="6"/>
  <c r="E30" i="6"/>
  <c r="E33" i="6"/>
  <c r="E36" i="6"/>
  <c r="E34" i="6"/>
  <c r="E43" i="6"/>
  <c r="E44" i="6"/>
  <c r="E28" i="6"/>
  <c r="E46" i="6"/>
  <c r="E42" i="6"/>
  <c r="E31" i="6"/>
  <c r="E39" i="6"/>
  <c r="E41" i="6"/>
  <c r="E35" i="6"/>
  <c r="E40" i="6"/>
  <c r="E29" i="6"/>
  <c r="E32" i="6"/>
  <c r="E45" i="6"/>
  <c r="E37" i="6"/>
  <c r="E224" i="6"/>
  <c r="E226" i="6"/>
  <c r="E234" i="6"/>
  <c r="E220" i="6"/>
  <c r="E235" i="6"/>
  <c r="E237" i="6"/>
  <c r="E223" i="6"/>
  <c r="E225" i="6"/>
  <c r="E233" i="6"/>
  <c r="E219" i="6"/>
  <c r="E222" i="6"/>
  <c r="E232" i="6"/>
  <c r="E236" i="6"/>
  <c r="E238" i="6"/>
  <c r="E227" i="6"/>
  <c r="E221" i="6"/>
  <c r="E229" i="6"/>
  <c r="E231" i="6"/>
  <c r="E228" i="6"/>
  <c r="E230" i="6"/>
  <c r="E12" i="6"/>
  <c r="E21" i="6"/>
  <c r="AQ26" i="4" s="1"/>
  <c r="E24" i="6"/>
  <c r="E6" i="6"/>
  <c r="E13" i="6"/>
  <c r="E5" i="6"/>
  <c r="E26" i="6"/>
  <c r="AQ9" i="4" s="1"/>
  <c r="E17" i="6"/>
  <c r="E14" i="6"/>
  <c r="E7" i="6"/>
  <c r="E15" i="6"/>
  <c r="E19" i="6"/>
  <c r="E8" i="6"/>
  <c r="AQ24" i="4" s="1"/>
  <c r="E11" i="6"/>
  <c r="E4" i="6"/>
  <c r="E10" i="6"/>
  <c r="E16" i="6"/>
  <c r="E22" i="6"/>
  <c r="E20" i="6"/>
  <c r="AQ25" i="4" s="1"/>
  <c r="S25" i="4" s="1"/>
  <c r="E23" i="6"/>
  <c r="AQ27" i="4" s="1"/>
  <c r="S27" i="4" s="1"/>
  <c r="E18" i="6"/>
  <c r="E65" i="6"/>
  <c r="E58" i="6"/>
  <c r="E61" i="6"/>
  <c r="E50" i="6"/>
  <c r="E60" i="6"/>
  <c r="E59" i="6"/>
  <c r="E57" i="6"/>
  <c r="E55" i="6"/>
  <c r="E62" i="6"/>
  <c r="E48" i="6"/>
  <c r="E52" i="6"/>
  <c r="E66" i="6"/>
  <c r="E53" i="6"/>
  <c r="E63" i="6"/>
  <c r="E64" i="6"/>
  <c r="E54" i="6"/>
  <c r="E56" i="6"/>
  <c r="E49" i="6"/>
  <c r="E51" i="6"/>
  <c r="E72" i="6"/>
  <c r="E83" i="6"/>
  <c r="AQ12" i="4" s="1"/>
  <c r="S12" i="4" s="1"/>
  <c r="T12" i="4" s="1"/>
  <c r="E75" i="6"/>
  <c r="E76" i="6"/>
  <c r="E82" i="6"/>
  <c r="E79" i="6"/>
  <c r="E73" i="6"/>
  <c r="E74" i="6"/>
  <c r="E70" i="6"/>
  <c r="E80" i="6"/>
  <c r="E68" i="6"/>
  <c r="E85" i="6"/>
  <c r="E81" i="6"/>
  <c r="E69" i="6"/>
  <c r="E87" i="6"/>
  <c r="E77" i="6"/>
  <c r="E84" i="6"/>
  <c r="E71" i="6"/>
  <c r="E78" i="6"/>
  <c r="E86" i="6"/>
  <c r="E164" i="6"/>
  <c r="E167" i="6"/>
  <c r="E171" i="6"/>
  <c r="E174" i="6"/>
  <c r="E175" i="6"/>
  <c r="E163" i="6"/>
  <c r="E178" i="6"/>
  <c r="E173" i="6"/>
  <c r="E172" i="6"/>
  <c r="E160" i="6"/>
  <c r="E165" i="6"/>
  <c r="E166" i="6"/>
  <c r="E161" i="6"/>
  <c r="E170" i="6"/>
  <c r="E177" i="6"/>
  <c r="E169" i="6"/>
  <c r="E176" i="6"/>
  <c r="E168" i="6"/>
  <c r="E162" i="6"/>
  <c r="E332" i="6"/>
  <c r="E326" i="6"/>
  <c r="E331" i="6"/>
  <c r="E341" i="6"/>
  <c r="AQ60" i="4" s="1"/>
  <c r="E336" i="6"/>
  <c r="E335" i="6"/>
  <c r="E328" i="6"/>
  <c r="AQ50" i="4" s="1"/>
  <c r="E342" i="6"/>
  <c r="E337" i="6"/>
  <c r="E330" i="6"/>
  <c r="AQ57" i="4" s="1"/>
  <c r="S57" i="4" s="1"/>
  <c r="E325" i="6"/>
  <c r="E345" i="6"/>
  <c r="E348" i="6"/>
  <c r="E327" i="6"/>
  <c r="E340" i="6"/>
  <c r="E339" i="6"/>
  <c r="E333" i="6"/>
  <c r="E334" i="6"/>
  <c r="E347" i="6"/>
  <c r="AQ73" i="4" s="1"/>
  <c r="E329" i="6"/>
  <c r="E324" i="6"/>
  <c r="E346" i="6"/>
  <c r="E338" i="6"/>
  <c r="E245" i="6"/>
  <c r="E248" i="6"/>
  <c r="E244" i="6"/>
  <c r="E247" i="6"/>
  <c r="E243" i="6"/>
  <c r="E246" i="6"/>
  <c r="E354" i="6"/>
  <c r="E355" i="6"/>
  <c r="E353" i="6"/>
  <c r="E352" i="6"/>
  <c r="E351" i="6"/>
  <c r="AQ42" i="4" s="1"/>
  <c r="S42" i="4" s="1"/>
  <c r="E350" i="6"/>
  <c r="AQ41" i="4" s="1"/>
  <c r="S41" i="4" s="1"/>
  <c r="E137" i="6"/>
  <c r="E157" i="6"/>
  <c r="E147" i="6"/>
  <c r="E158" i="6"/>
  <c r="E145" i="6"/>
  <c r="AQ53" i="4" s="1"/>
  <c r="S53" i="4" s="1"/>
  <c r="E144" i="6"/>
  <c r="AQ56" i="4" s="1"/>
  <c r="E153" i="6"/>
  <c r="E150" i="6"/>
  <c r="AQ54" i="4" s="1"/>
  <c r="E138" i="6"/>
  <c r="E154" i="6"/>
  <c r="E148" i="6"/>
  <c r="E155" i="6"/>
  <c r="E151" i="6"/>
  <c r="E146" i="6"/>
  <c r="E142" i="6"/>
  <c r="AQ55" i="4" s="1"/>
  <c r="E152" i="6"/>
  <c r="E139" i="6"/>
  <c r="E140" i="6"/>
  <c r="E156" i="6"/>
  <c r="E149" i="6"/>
  <c r="AQ62" i="4" s="1"/>
  <c r="E143" i="6"/>
  <c r="E141" i="6"/>
  <c r="J30" i="2"/>
  <c r="J15" i="2"/>
  <c r="J17" i="2"/>
  <c r="J26" i="2"/>
  <c r="J13" i="2"/>
  <c r="J28" i="2"/>
  <c r="J23" i="2"/>
  <c r="N20" i="10" s="1"/>
  <c r="J25" i="2"/>
  <c r="J9" i="2"/>
  <c r="J12" i="2"/>
  <c r="J24" i="2"/>
  <c r="T22" i="2"/>
  <c r="T10" i="2"/>
  <c r="E8" i="10" s="1"/>
  <c r="G8" i="10" s="1"/>
  <c r="M8" i="10"/>
  <c r="J16" i="2"/>
  <c r="T31" i="2"/>
  <c r="T33" i="2"/>
  <c r="E26" i="10" s="1"/>
  <c r="G26" i="10" s="1"/>
  <c r="M26" i="10"/>
  <c r="J18" i="2"/>
  <c r="J14" i="2"/>
  <c r="S48" i="4" l="1"/>
  <c r="S54" i="4"/>
  <c r="U54" i="4" s="1"/>
  <c r="R54" i="4" s="1"/>
  <c r="S49" i="4"/>
  <c r="T49" i="4" s="1"/>
  <c r="S60" i="4"/>
  <c r="T60" i="4" s="1"/>
  <c r="S55" i="4"/>
  <c r="Y55" i="4" s="1"/>
  <c r="Z55" i="4" s="1"/>
  <c r="S24" i="4"/>
  <c r="Y24" i="4" s="1"/>
  <c r="Z24" i="4" s="1"/>
  <c r="S50" i="4"/>
  <c r="Y50" i="4" s="1"/>
  <c r="Z50" i="4" s="1"/>
  <c r="S73" i="4"/>
  <c r="Y73" i="4" s="1"/>
  <c r="S26" i="4"/>
  <c r="T26" i="4" s="1"/>
  <c r="U26" i="4" s="1"/>
  <c r="S69" i="4"/>
  <c r="T69" i="4" s="1"/>
  <c r="S62" i="4"/>
  <c r="T62" i="4" s="1"/>
  <c r="S9" i="4"/>
  <c r="T9" i="4" s="1"/>
  <c r="U9" i="4" s="1"/>
  <c r="R9" i="4" s="1"/>
  <c r="S56" i="4"/>
  <c r="U56" i="4" s="1"/>
  <c r="S61" i="4"/>
  <c r="U61" i="4" s="1"/>
  <c r="T53" i="4"/>
  <c r="N27" i="10"/>
  <c r="T25" i="4"/>
  <c r="U25" i="4" s="1"/>
  <c r="R25" i="4" s="1"/>
  <c r="T24" i="4"/>
  <c r="U24" i="4" s="1"/>
  <c r="R24" i="4" s="1"/>
  <c r="T27" i="4"/>
  <c r="U27" i="4" s="1"/>
  <c r="R27" i="4" s="1"/>
  <c r="R41" i="4"/>
  <c r="T41" i="4"/>
  <c r="AB41" i="4" s="1"/>
  <c r="AD41" i="4" s="1"/>
  <c r="R42" i="4"/>
  <c r="T42" i="4"/>
  <c r="AB42" i="4" s="1"/>
  <c r="AD42" i="4" s="1"/>
  <c r="T57" i="4"/>
  <c r="U57" i="4"/>
  <c r="T54" i="4"/>
  <c r="U48" i="4"/>
  <c r="T48" i="4"/>
  <c r="U55" i="4"/>
  <c r="R55" i="4" s="1"/>
  <c r="U70" i="4"/>
  <c r="R70" i="4" s="1"/>
  <c r="T70" i="4"/>
  <c r="U60" i="4"/>
  <c r="R65" i="4"/>
  <c r="Q65" i="4" s="1"/>
  <c r="T65" i="4"/>
  <c r="AB65" i="4" s="1"/>
  <c r="T34" i="2"/>
  <c r="V34" i="2" s="1"/>
  <c r="Y57" i="4"/>
  <c r="Z57" i="4" s="1"/>
  <c r="Y65" i="4"/>
  <c r="Z65" i="4" s="1"/>
  <c r="T35" i="2"/>
  <c r="S35" i="2"/>
  <c r="O35" i="2"/>
  <c r="O34" i="2"/>
  <c r="AY63" i="4"/>
  <c r="AQ63" i="4"/>
  <c r="AU64" i="4"/>
  <c r="BB63" i="4"/>
  <c r="AX64" i="4"/>
  <c r="AY64" i="4"/>
  <c r="AU63" i="4"/>
  <c r="AX63" i="4"/>
  <c r="BB64" i="4"/>
  <c r="AQ64" i="4"/>
  <c r="AW64" i="4"/>
  <c r="AW63" i="4"/>
  <c r="D27" i="10"/>
  <c r="BB10" i="4"/>
  <c r="BB22" i="4"/>
  <c r="BB20" i="4"/>
  <c r="BB37" i="4"/>
  <c r="BB28" i="4"/>
  <c r="O37" i="2"/>
  <c r="BB16" i="4"/>
  <c r="BB17" i="4"/>
  <c r="BB14" i="4"/>
  <c r="BB15" i="4"/>
  <c r="BB46" i="4"/>
  <c r="BB45" i="4"/>
  <c r="BB21" i="4"/>
  <c r="BB52" i="4"/>
  <c r="T37" i="2"/>
  <c r="N30" i="10"/>
  <c r="BB18" i="4"/>
  <c r="BB68" i="4"/>
  <c r="BB67" i="4"/>
  <c r="AX30" i="4"/>
  <c r="N9" i="10"/>
  <c r="O11" i="2"/>
  <c r="T11" i="2"/>
  <c r="S11" i="2"/>
  <c r="AX11" i="4"/>
  <c r="AU14" i="4"/>
  <c r="AY67" i="4"/>
  <c r="M112" i="6"/>
  <c r="AU68" i="4"/>
  <c r="I128" i="6"/>
  <c r="AW67" i="4"/>
  <c r="K112" i="6"/>
  <c r="AQ68" i="4"/>
  <c r="E128" i="6"/>
  <c r="AY68" i="4"/>
  <c r="M128" i="6"/>
  <c r="AQ67" i="4"/>
  <c r="E112" i="6"/>
  <c r="AW68" i="4"/>
  <c r="K128" i="6"/>
  <c r="L133" i="6"/>
  <c r="L131" i="6"/>
  <c r="L135" i="6"/>
  <c r="L134" i="6"/>
  <c r="L129" i="6"/>
  <c r="AX13" i="4" s="1"/>
  <c r="L132" i="6"/>
  <c r="L130" i="6"/>
  <c r="AX19" i="4" s="1"/>
  <c r="P132" i="6"/>
  <c r="P129" i="6"/>
  <c r="BB13" i="4" s="1"/>
  <c r="P131" i="6"/>
  <c r="P133" i="6"/>
  <c r="P130" i="6"/>
  <c r="BB19" i="4" s="1"/>
  <c r="P134" i="6"/>
  <c r="P135" i="6"/>
  <c r="P119" i="6"/>
  <c r="BB34" i="4" s="1"/>
  <c r="P116" i="6"/>
  <c r="P125" i="6"/>
  <c r="P113" i="6"/>
  <c r="P123" i="6"/>
  <c r="P127" i="6"/>
  <c r="P115" i="6"/>
  <c r="BB43" i="4" s="1"/>
  <c r="P126" i="6"/>
  <c r="P114" i="6"/>
  <c r="BB23" i="4" s="1"/>
  <c r="P120" i="6"/>
  <c r="BB35" i="4" s="1"/>
  <c r="P118" i="6"/>
  <c r="P117" i="6"/>
  <c r="BB29" i="4" s="1"/>
  <c r="P121" i="6"/>
  <c r="BB59" i="4" s="1"/>
  <c r="P124" i="6"/>
  <c r="P122" i="6"/>
  <c r="BB36" i="4" s="1"/>
  <c r="AU67" i="4"/>
  <c r="I112" i="6"/>
  <c r="AX67" i="4"/>
  <c r="L112" i="6"/>
  <c r="Y53" i="4"/>
  <c r="Z53" i="4" s="1"/>
  <c r="R53" i="4"/>
  <c r="AA65" i="4"/>
  <c r="Y54" i="4"/>
  <c r="Z54" i="4" s="1"/>
  <c r="Y70" i="4"/>
  <c r="Z70" i="4" s="1"/>
  <c r="O15" i="2"/>
  <c r="O21" i="2"/>
  <c r="N25" i="10"/>
  <c r="N7" i="10"/>
  <c r="T25" i="2"/>
  <c r="S20" i="2"/>
  <c r="N23" i="10"/>
  <c r="N6" i="10"/>
  <c r="T13" i="2"/>
  <c r="T19" i="2"/>
  <c r="N21" i="10"/>
  <c r="O17" i="2"/>
  <c r="N18" i="10"/>
  <c r="AX15" i="4"/>
  <c r="AX39" i="4"/>
  <c r="I253" i="6"/>
  <c r="I258" i="6" s="1"/>
  <c r="AU45" i="4" s="1"/>
  <c r="AU37" i="4"/>
  <c r="O20" i="2"/>
  <c r="T20" i="2"/>
  <c r="AX28" i="4"/>
  <c r="AX51" i="4"/>
  <c r="AX16" i="4"/>
  <c r="AX10" i="4"/>
  <c r="AX18" i="4"/>
  <c r="AU22" i="4"/>
  <c r="AX14" i="4"/>
  <c r="AU11" i="4"/>
  <c r="AU15" i="4"/>
  <c r="AW39" i="4"/>
  <c r="AU33" i="4"/>
  <c r="AU10" i="4"/>
  <c r="AX21" i="4"/>
  <c r="AU39" i="4"/>
  <c r="AX17" i="4"/>
  <c r="AX45" i="4"/>
  <c r="AU51" i="4"/>
  <c r="AX22" i="4"/>
  <c r="AX46" i="4"/>
  <c r="AU46" i="4"/>
  <c r="AU21" i="4"/>
  <c r="AQ33" i="4"/>
  <c r="AX37" i="4"/>
  <c r="AQ37" i="4"/>
  <c r="AQ51" i="4"/>
  <c r="AY11" i="4"/>
  <c r="AY39" i="4"/>
  <c r="AY16" i="4"/>
  <c r="T17" i="2"/>
  <c r="AY37" i="4"/>
  <c r="AY18" i="4"/>
  <c r="AX52" i="4"/>
  <c r="AU28" i="4"/>
  <c r="N13" i="10"/>
  <c r="AU30" i="4"/>
  <c r="AU52" i="4"/>
  <c r="N11" i="10"/>
  <c r="AY20" i="4"/>
  <c r="AY30" i="4"/>
  <c r="AQ20" i="4"/>
  <c r="S20" i="4" s="1"/>
  <c r="U20" i="4" s="1"/>
  <c r="N17" i="10"/>
  <c r="AW33" i="4"/>
  <c r="AU17" i="4"/>
  <c r="S19" i="2"/>
  <c r="O19" i="2"/>
  <c r="AW37" i="4"/>
  <c r="AY14" i="4"/>
  <c r="AY52" i="4"/>
  <c r="AY28" i="4"/>
  <c r="AW30" i="4"/>
  <c r="AY51" i="4"/>
  <c r="T30" i="2"/>
  <c r="AY33" i="4"/>
  <c r="AU16" i="4"/>
  <c r="AY22" i="4"/>
  <c r="AY10" i="4"/>
  <c r="AY17" i="4"/>
  <c r="AQ14" i="4"/>
  <c r="AY8" i="4"/>
  <c r="M253" i="6"/>
  <c r="M258" i="6" s="1"/>
  <c r="AY45" i="4" s="1"/>
  <c r="AY46" i="4"/>
  <c r="AY15" i="4"/>
  <c r="AW52" i="4"/>
  <c r="AU18" i="4"/>
  <c r="AW10" i="4"/>
  <c r="AY21" i="4"/>
  <c r="S17" i="2"/>
  <c r="AW51" i="4"/>
  <c r="AQ30" i="4"/>
  <c r="AW16" i="4"/>
  <c r="AW46" i="4"/>
  <c r="AQ17" i="4"/>
  <c r="AW18" i="4"/>
  <c r="AW20" i="4"/>
  <c r="AW22" i="4"/>
  <c r="AW8" i="4"/>
  <c r="K253" i="6"/>
  <c r="K258" i="6" s="1"/>
  <c r="AW45" i="4" s="1"/>
  <c r="AQ39" i="4"/>
  <c r="AW14" i="4"/>
  <c r="AW21" i="4"/>
  <c r="AW11" i="4"/>
  <c r="N19" i="10"/>
  <c r="O13" i="2"/>
  <c r="AQ21" i="4"/>
  <c r="S15" i="2"/>
  <c r="AW28" i="4"/>
  <c r="AW15" i="4"/>
  <c r="AW17" i="4"/>
  <c r="N15" i="10"/>
  <c r="T15" i="2"/>
  <c r="O28" i="2"/>
  <c r="AQ52" i="4"/>
  <c r="AQ15" i="4"/>
  <c r="S15" i="4" s="1"/>
  <c r="T21" i="2"/>
  <c r="AQ10" i="4"/>
  <c r="S13" i="2"/>
  <c r="AQ46" i="4"/>
  <c r="AQ22" i="4"/>
  <c r="T28" i="2"/>
  <c r="AQ18" i="4"/>
  <c r="Y49" i="4"/>
  <c r="R49" i="4"/>
  <c r="S30" i="2"/>
  <c r="AQ28" i="4"/>
  <c r="O30" i="2"/>
  <c r="Y27" i="4"/>
  <c r="Z27" i="4" s="1"/>
  <c r="AQ16" i="4"/>
  <c r="Y48" i="4"/>
  <c r="Z48" i="4" s="1"/>
  <c r="E253" i="6"/>
  <c r="E258" i="6" s="1"/>
  <c r="AQ45" i="4" s="1"/>
  <c r="AQ8" i="4"/>
  <c r="S8" i="4" s="1"/>
  <c r="R8" i="4" s="1"/>
  <c r="S21" i="2"/>
  <c r="Y25" i="4"/>
  <c r="Z25" i="4" s="1"/>
  <c r="AQ11" i="4"/>
  <c r="Y41" i="4"/>
  <c r="Y12" i="4"/>
  <c r="R12" i="4"/>
  <c r="Y42" i="4"/>
  <c r="T26" i="2"/>
  <c r="O26" i="2"/>
  <c r="S9" i="2"/>
  <c r="S28" i="2"/>
  <c r="O25" i="2"/>
  <c r="T23" i="2"/>
  <c r="E20" i="10" s="1"/>
  <c r="S23" i="2"/>
  <c r="D20" i="10" s="1"/>
  <c r="S26" i="2"/>
  <c r="T8" i="2"/>
  <c r="O23" i="2"/>
  <c r="S8" i="2"/>
  <c r="O8" i="2"/>
  <c r="S25" i="2"/>
  <c r="T9" i="2"/>
  <c r="O9" i="2"/>
  <c r="N16" i="10"/>
  <c r="O18" i="2"/>
  <c r="T18" i="2"/>
  <c r="S18" i="2"/>
  <c r="V33" i="2"/>
  <c r="V10" i="2"/>
  <c r="N10" i="10"/>
  <c r="O12" i="2"/>
  <c r="S12" i="2"/>
  <c r="T12" i="2"/>
  <c r="V22" i="2"/>
  <c r="O24" i="2"/>
  <c r="T24" i="2"/>
  <c r="S24" i="2"/>
  <c r="N12" i="10"/>
  <c r="O14" i="2"/>
  <c r="S14" i="2"/>
  <c r="T14" i="2"/>
  <c r="V31" i="2"/>
  <c r="N14" i="10"/>
  <c r="O16" i="2"/>
  <c r="T16" i="2"/>
  <c r="S16" i="2"/>
  <c r="T50" i="4" l="1"/>
  <c r="U50" i="4"/>
  <c r="R50" i="4" s="1"/>
  <c r="S39" i="4"/>
  <c r="Y60" i="4"/>
  <c r="Z60" i="4" s="1"/>
  <c r="T55" i="4"/>
  <c r="S14" i="4"/>
  <c r="R48" i="4"/>
  <c r="Q48" i="4" s="1"/>
  <c r="S11" i="4"/>
  <c r="T11" i="4" s="1"/>
  <c r="U11" i="4" s="1"/>
  <c r="R11" i="4" s="1"/>
  <c r="R62" i="4"/>
  <c r="Q62" i="4" s="1"/>
  <c r="Y26" i="4"/>
  <c r="Z26" i="4" s="1"/>
  <c r="Y62" i="4"/>
  <c r="Y9" i="4"/>
  <c r="Z9" i="4" s="1"/>
  <c r="S22" i="4"/>
  <c r="Y22" i="4" s="1"/>
  <c r="Z22" i="4" s="1"/>
  <c r="R69" i="4"/>
  <c r="Q69" i="4" s="1"/>
  <c r="Y69" i="4"/>
  <c r="Z69" i="4" s="1"/>
  <c r="S30" i="4"/>
  <c r="T30" i="4" s="1"/>
  <c r="U30" i="4" s="1"/>
  <c r="S46" i="4"/>
  <c r="Y46" i="4" s="1"/>
  <c r="Z46" i="4" s="1"/>
  <c r="S37" i="4"/>
  <c r="T37" i="4" s="1"/>
  <c r="S45" i="4"/>
  <c r="T45" i="4" s="1"/>
  <c r="U45" i="4" s="1"/>
  <c r="R45" i="4" s="1"/>
  <c r="U73" i="4"/>
  <c r="AA73" i="4" s="1"/>
  <c r="S28" i="4"/>
  <c r="T28" i="4" s="1"/>
  <c r="U28" i="4" s="1"/>
  <c r="S18" i="4"/>
  <c r="Y18" i="4" s="1"/>
  <c r="Z18" i="4" s="1"/>
  <c r="T73" i="4"/>
  <c r="S21" i="4"/>
  <c r="T21" i="4" s="1"/>
  <c r="U21" i="4" s="1"/>
  <c r="R21" i="4" s="1"/>
  <c r="S17" i="4"/>
  <c r="T17" i="4" s="1"/>
  <c r="U17" i="4" s="1"/>
  <c r="R17" i="4" s="1"/>
  <c r="S64" i="4"/>
  <c r="T64" i="4" s="1"/>
  <c r="U64" i="4" s="1"/>
  <c r="Y61" i="4"/>
  <c r="Z61" i="4" s="1"/>
  <c r="T61" i="4"/>
  <c r="S16" i="4"/>
  <c r="T16" i="4" s="1"/>
  <c r="U16" i="4" s="1"/>
  <c r="R16" i="4" s="1"/>
  <c r="S67" i="4"/>
  <c r="T67" i="4" s="1"/>
  <c r="AB67" i="4" s="1"/>
  <c r="AD67" i="4" s="1"/>
  <c r="S63" i="4"/>
  <c r="T63" i="4" s="1"/>
  <c r="U63" i="4" s="1"/>
  <c r="Y56" i="4"/>
  <c r="Z56" i="4" s="1"/>
  <c r="S10" i="4"/>
  <c r="T10" i="4" s="1"/>
  <c r="U10" i="4" s="1"/>
  <c r="S33" i="4"/>
  <c r="T33" i="4" s="1"/>
  <c r="S52" i="4"/>
  <c r="U52" i="4" s="1"/>
  <c r="T8" i="4"/>
  <c r="AB8" i="4" s="1"/>
  <c r="AD8" i="4" s="1"/>
  <c r="S68" i="4"/>
  <c r="T68" i="4" s="1"/>
  <c r="U68" i="4" s="1"/>
  <c r="R68" i="4" s="1"/>
  <c r="T20" i="4"/>
  <c r="T56" i="4"/>
  <c r="S51" i="4"/>
  <c r="T51" i="4" s="1"/>
  <c r="AB56" i="4"/>
  <c r="AA56" i="4"/>
  <c r="R56" i="4"/>
  <c r="Q56" i="4" s="1"/>
  <c r="G20" i="10"/>
  <c r="T14" i="4"/>
  <c r="U14" i="4" s="1"/>
  <c r="T15" i="4"/>
  <c r="U15" i="4" s="1"/>
  <c r="R15" i="4" s="1"/>
  <c r="R39" i="4"/>
  <c r="T39" i="4"/>
  <c r="AA61" i="4"/>
  <c r="R61" i="4"/>
  <c r="Q61" i="4" s="1"/>
  <c r="AB61" i="4"/>
  <c r="AA60" i="4"/>
  <c r="R60" i="4"/>
  <c r="Q60" i="4" s="1"/>
  <c r="AB60" i="4"/>
  <c r="AA57" i="4"/>
  <c r="AB57" i="4"/>
  <c r="R57" i="4"/>
  <c r="Q57" i="4" s="1"/>
  <c r="V35" i="2"/>
  <c r="G28" i="10"/>
  <c r="V13" i="2"/>
  <c r="G27" i="10"/>
  <c r="G30" i="10"/>
  <c r="V37" i="2"/>
  <c r="E9" i="10"/>
  <c r="D17" i="10"/>
  <c r="E23" i="10"/>
  <c r="D15" i="10"/>
  <c r="D18" i="10"/>
  <c r="E13" i="10"/>
  <c r="D14" i="10"/>
  <c r="E15" i="10"/>
  <c r="E14" i="10"/>
  <c r="E25" i="10"/>
  <c r="E6" i="10"/>
  <c r="E17" i="10"/>
  <c r="E19" i="10"/>
  <c r="E16" i="10"/>
  <c r="E11" i="10"/>
  <c r="E10" i="10"/>
  <c r="E7" i="10"/>
  <c r="D7" i="10"/>
  <c r="D19" i="10"/>
  <c r="D25" i="10"/>
  <c r="D13" i="10"/>
  <c r="D21" i="10"/>
  <c r="E12" i="10"/>
  <c r="D11" i="10"/>
  <c r="E18" i="10"/>
  <c r="D9" i="10"/>
  <c r="D16" i="10"/>
  <c r="D23" i="10"/>
  <c r="D10" i="10"/>
  <c r="D12" i="10"/>
  <c r="E21" i="10"/>
  <c r="D6" i="10"/>
  <c r="AA9" i="4"/>
  <c r="AB9" i="4"/>
  <c r="Q9" i="4"/>
  <c r="Q42" i="4"/>
  <c r="Q41" i="4"/>
  <c r="Q55" i="4"/>
  <c r="Q54" i="4"/>
  <c r="Q70" i="4"/>
  <c r="BB72" i="4"/>
  <c r="V11" i="2"/>
  <c r="E126" i="6"/>
  <c r="E125" i="6"/>
  <c r="E122" i="6"/>
  <c r="AQ36" i="4" s="1"/>
  <c r="E121" i="6"/>
  <c r="AQ59" i="4" s="1"/>
  <c r="E119" i="6"/>
  <c r="AQ34" i="4" s="1"/>
  <c r="E115" i="6"/>
  <c r="AQ43" i="4" s="1"/>
  <c r="E113" i="6"/>
  <c r="E116" i="6"/>
  <c r="E118" i="6"/>
  <c r="E117" i="6"/>
  <c r="AQ29" i="4" s="1"/>
  <c r="E124" i="6"/>
  <c r="E114" i="6"/>
  <c r="AQ23" i="4" s="1"/>
  <c r="E127" i="6"/>
  <c r="E123" i="6"/>
  <c r="E120" i="6"/>
  <c r="AQ35" i="4" s="1"/>
  <c r="L124" i="6"/>
  <c r="L117" i="6"/>
  <c r="AX29" i="4" s="1"/>
  <c r="L123" i="6"/>
  <c r="L126" i="6"/>
  <c r="L118" i="6"/>
  <c r="L113" i="6"/>
  <c r="L127" i="6"/>
  <c r="AX72" i="4" s="1"/>
  <c r="L119" i="6"/>
  <c r="AX34" i="4" s="1"/>
  <c r="L115" i="6"/>
  <c r="AX43" i="4" s="1"/>
  <c r="L116" i="6"/>
  <c r="L121" i="6"/>
  <c r="AX59" i="4" s="1"/>
  <c r="L120" i="6"/>
  <c r="AX35" i="4" s="1"/>
  <c r="L125" i="6"/>
  <c r="L122" i="6"/>
  <c r="AX36" i="4" s="1"/>
  <c r="L114" i="6"/>
  <c r="AX23" i="4" s="1"/>
  <c r="M129" i="6"/>
  <c r="AY13" i="4" s="1"/>
  <c r="M131" i="6"/>
  <c r="M132" i="6"/>
  <c r="M135" i="6"/>
  <c r="M134" i="6"/>
  <c r="M133" i="6"/>
  <c r="M130" i="6"/>
  <c r="AY19" i="4" s="1"/>
  <c r="I118" i="6"/>
  <c r="I127" i="6"/>
  <c r="I115" i="6"/>
  <c r="AU43" i="4" s="1"/>
  <c r="I124" i="6"/>
  <c r="I122" i="6"/>
  <c r="AU36" i="4" s="1"/>
  <c r="I116" i="6"/>
  <c r="I126" i="6"/>
  <c r="I114" i="6"/>
  <c r="AU23" i="4" s="1"/>
  <c r="I125" i="6"/>
  <c r="I113" i="6"/>
  <c r="I119" i="6"/>
  <c r="AU34" i="4" s="1"/>
  <c r="I117" i="6"/>
  <c r="AU29" i="4" s="1"/>
  <c r="I120" i="6"/>
  <c r="AU35" i="4" s="1"/>
  <c r="I123" i="6"/>
  <c r="I121" i="6"/>
  <c r="AU59" i="4" s="1"/>
  <c r="E131" i="6"/>
  <c r="E129" i="6"/>
  <c r="AQ13" i="4" s="1"/>
  <c r="E134" i="6"/>
  <c r="E130" i="6"/>
  <c r="AQ19" i="4" s="1"/>
  <c r="E133" i="6"/>
  <c r="E132" i="6"/>
  <c r="E135" i="6"/>
  <c r="K116" i="6"/>
  <c r="K125" i="6"/>
  <c r="K113" i="6"/>
  <c r="K122" i="6"/>
  <c r="AW36" i="4" s="1"/>
  <c r="K120" i="6"/>
  <c r="AW35" i="4" s="1"/>
  <c r="K115" i="6"/>
  <c r="AW43" i="4" s="1"/>
  <c r="K124" i="6"/>
  <c r="K123" i="6"/>
  <c r="K117" i="6"/>
  <c r="AW29" i="4" s="1"/>
  <c r="K127" i="6"/>
  <c r="K126" i="6"/>
  <c r="K114" i="6"/>
  <c r="AW23" i="4" s="1"/>
  <c r="K118" i="6"/>
  <c r="K121" i="6"/>
  <c r="AW59" i="4" s="1"/>
  <c r="K119" i="6"/>
  <c r="AW34" i="4" s="1"/>
  <c r="I132" i="6"/>
  <c r="I129" i="6"/>
  <c r="AU13" i="4" s="1"/>
  <c r="I130" i="6"/>
  <c r="AU19" i="4" s="1"/>
  <c r="I133" i="6"/>
  <c r="I131" i="6"/>
  <c r="I134" i="6"/>
  <c r="I135" i="6"/>
  <c r="K129" i="6"/>
  <c r="AW13" i="4" s="1"/>
  <c r="K131" i="6"/>
  <c r="K133" i="6"/>
  <c r="K132" i="6"/>
  <c r="K135" i="6"/>
  <c r="K130" i="6"/>
  <c r="AW19" i="4" s="1"/>
  <c r="K134" i="6"/>
  <c r="M119" i="6"/>
  <c r="AY34" i="4" s="1"/>
  <c r="M116" i="6"/>
  <c r="M125" i="6"/>
  <c r="M113" i="6"/>
  <c r="M123" i="6"/>
  <c r="M118" i="6"/>
  <c r="M127" i="6"/>
  <c r="M115" i="6"/>
  <c r="AY43" i="4" s="1"/>
  <c r="M126" i="6"/>
  <c r="M114" i="6"/>
  <c r="AY23" i="4" s="1"/>
  <c r="M120" i="6"/>
  <c r="AY35" i="4" s="1"/>
  <c r="M117" i="6"/>
  <c r="AY29" i="4" s="1"/>
  <c r="M121" i="6"/>
  <c r="AY59" i="4" s="1"/>
  <c r="M124" i="6"/>
  <c r="M122" i="6"/>
  <c r="AY36" i="4" s="1"/>
  <c r="AD65" i="4"/>
  <c r="AA54" i="4"/>
  <c r="AA53" i="4"/>
  <c r="AB53" i="4"/>
  <c r="Q53" i="4"/>
  <c r="AB62" i="4"/>
  <c r="AA62" i="4"/>
  <c r="AB55" i="4"/>
  <c r="AA55" i="4"/>
  <c r="AB54" i="4"/>
  <c r="Y14" i="4"/>
  <c r="Z14" i="4" s="1"/>
  <c r="R20" i="4"/>
  <c r="AB70" i="4"/>
  <c r="AA70" i="4"/>
  <c r="R26" i="4"/>
  <c r="V19" i="2"/>
  <c r="V20" i="2"/>
  <c r="Y20" i="4"/>
  <c r="Z20" i="4" s="1"/>
  <c r="V15" i="2"/>
  <c r="V17" i="2"/>
  <c r="V28" i="2"/>
  <c r="V21" i="2"/>
  <c r="Y11" i="4"/>
  <c r="Z11" i="4" s="1"/>
  <c r="AA69" i="4"/>
  <c r="AB69" i="4"/>
  <c r="AB27" i="4"/>
  <c r="Q27" i="4"/>
  <c r="AA27" i="4"/>
  <c r="Y28" i="4"/>
  <c r="Z28" i="4" s="1"/>
  <c r="Q24" i="4"/>
  <c r="AB24" i="4"/>
  <c r="AA24" i="4"/>
  <c r="Q25" i="4"/>
  <c r="AB25" i="4"/>
  <c r="AA25" i="4"/>
  <c r="V30" i="2"/>
  <c r="Q12" i="4"/>
  <c r="AA12" i="4"/>
  <c r="AB12" i="4"/>
  <c r="Y8" i="4"/>
  <c r="AB48" i="4"/>
  <c r="AA48" i="4"/>
  <c r="Q50" i="4"/>
  <c r="AA50" i="4"/>
  <c r="AB50" i="4"/>
  <c r="AA49" i="4"/>
  <c r="AB49" i="4"/>
  <c r="Q49" i="4"/>
  <c r="V25" i="2"/>
  <c r="V26" i="2"/>
  <c r="V8" i="2"/>
  <c r="V23" i="2"/>
  <c r="V9" i="2"/>
  <c r="V24" i="2"/>
  <c r="V12" i="2"/>
  <c r="V16" i="2"/>
  <c r="V18" i="2"/>
  <c r="V14" i="2"/>
  <c r="Y10" i="4" l="1"/>
  <c r="Z10" i="4" s="1"/>
  <c r="U37" i="4"/>
  <c r="T22" i="4"/>
  <c r="U22" i="4" s="1"/>
  <c r="Y37" i="4"/>
  <c r="Z37" i="4" s="1"/>
  <c r="Y64" i="4"/>
  <c r="Z64" i="4" s="1"/>
  <c r="T46" i="4"/>
  <c r="U46" i="4" s="1"/>
  <c r="R46" i="4" s="1"/>
  <c r="Q46" i="4" s="1"/>
  <c r="Y45" i="4"/>
  <c r="Z45" i="4" s="1"/>
  <c r="Y30" i="4"/>
  <c r="Z30" i="4" s="1"/>
  <c r="T18" i="4"/>
  <c r="U18" i="4" s="1"/>
  <c r="R18" i="4" s="1"/>
  <c r="Q18" i="4" s="1"/>
  <c r="AB73" i="4"/>
  <c r="AD73" i="4" s="1"/>
  <c r="Y16" i="4"/>
  <c r="Z16" i="4" s="1"/>
  <c r="R67" i="4"/>
  <c r="Q67" i="4" s="1"/>
  <c r="Y51" i="4"/>
  <c r="Z51" i="4" s="1"/>
  <c r="Y67" i="4"/>
  <c r="Y63" i="4"/>
  <c r="Z63" i="4" s="1"/>
  <c r="Y33" i="4"/>
  <c r="U51" i="4"/>
  <c r="R51" i="4" s="1"/>
  <c r="AA64" i="4"/>
  <c r="R64" i="4"/>
  <c r="Q64" i="4" s="1"/>
  <c r="AB64" i="4"/>
  <c r="T52" i="4"/>
  <c r="S35" i="4"/>
  <c r="T35" i="4" s="1"/>
  <c r="U35" i="4" s="1"/>
  <c r="R35" i="4" s="1"/>
  <c r="Y68" i="4"/>
  <c r="Z68" i="4" s="1"/>
  <c r="AA10" i="4"/>
  <c r="R10" i="4"/>
  <c r="Q10" i="4" s="1"/>
  <c r="S23" i="4"/>
  <c r="T23" i="4" s="1"/>
  <c r="U23" i="4" s="1"/>
  <c r="R23" i="4" s="1"/>
  <c r="S36" i="4"/>
  <c r="T36" i="4" s="1"/>
  <c r="U36" i="4" s="1"/>
  <c r="R36" i="4" s="1"/>
  <c r="S29" i="4"/>
  <c r="Y29" i="4" s="1"/>
  <c r="Z29" i="4" s="1"/>
  <c r="S19" i="4"/>
  <c r="T19" i="4" s="1"/>
  <c r="U19" i="4" s="1"/>
  <c r="R19" i="4" s="1"/>
  <c r="S13" i="4"/>
  <c r="T13" i="4" s="1"/>
  <c r="U13" i="4" s="1"/>
  <c r="R13" i="4" s="1"/>
  <c r="S43" i="4"/>
  <c r="T43" i="4" s="1"/>
  <c r="U43" i="4" s="1"/>
  <c r="R43" i="4" s="1"/>
  <c r="S34" i="4"/>
  <c r="T34" i="4" s="1"/>
  <c r="S59" i="4"/>
  <c r="T59" i="4" s="1"/>
  <c r="U59" i="4" s="1"/>
  <c r="AD56" i="4"/>
  <c r="AD61" i="4"/>
  <c r="AD60" i="4"/>
  <c r="AD57" i="4"/>
  <c r="AB63" i="4"/>
  <c r="R63" i="4"/>
  <c r="Q63" i="4" s="1"/>
  <c r="AA63" i="4"/>
  <c r="G12" i="10"/>
  <c r="G6" i="10"/>
  <c r="G15" i="10"/>
  <c r="G16" i="10"/>
  <c r="G19" i="10"/>
  <c r="G13" i="10"/>
  <c r="G23" i="10"/>
  <c r="G11" i="10"/>
  <c r="G21" i="10"/>
  <c r="G14" i="10"/>
  <c r="G25" i="10"/>
  <c r="G18" i="10"/>
  <c r="G17" i="10"/>
  <c r="G10" i="10"/>
  <c r="G7" i="10"/>
  <c r="AD9" i="4"/>
  <c r="AB39" i="4"/>
  <c r="AD39" i="4" s="1"/>
  <c r="AA68" i="4"/>
  <c r="Q68" i="4"/>
  <c r="Q8" i="4"/>
  <c r="AA20" i="4"/>
  <c r="Q20" i="4"/>
  <c r="AB17" i="4"/>
  <c r="Q17" i="4"/>
  <c r="AB68" i="4"/>
  <c r="G9" i="10"/>
  <c r="AQ72" i="4"/>
  <c r="AU72" i="4"/>
  <c r="AY72" i="4"/>
  <c r="AW72" i="4"/>
  <c r="R37" i="4"/>
  <c r="Y39" i="4"/>
  <c r="AD53" i="4"/>
  <c r="Y15" i="4"/>
  <c r="Z15" i="4" s="1"/>
  <c r="AD62" i="4"/>
  <c r="AD55" i="4"/>
  <c r="Y17" i="4"/>
  <c r="Z17" i="4" s="1"/>
  <c r="AD54" i="4"/>
  <c r="Y52" i="4"/>
  <c r="Z52" i="4" s="1"/>
  <c r="R52" i="4"/>
  <c r="R14" i="4"/>
  <c r="Y21" i="4"/>
  <c r="Z21" i="4" s="1"/>
  <c r="R33" i="4"/>
  <c r="Q21" i="4"/>
  <c r="AA21" i="4"/>
  <c r="AB21" i="4"/>
  <c r="AB15" i="4"/>
  <c r="AA15" i="4"/>
  <c r="Q15" i="4"/>
  <c r="R30" i="4"/>
  <c r="AA17" i="4"/>
  <c r="AB20" i="4"/>
  <c r="AD70" i="4"/>
  <c r="R28" i="4"/>
  <c r="R22" i="4"/>
  <c r="Q26" i="4"/>
  <c r="AA26" i="4"/>
  <c r="AB26" i="4"/>
  <c r="AD48" i="4"/>
  <c r="AD24" i="4"/>
  <c r="AD49" i="4"/>
  <c r="AD69" i="4"/>
  <c r="AD50" i="4"/>
  <c r="AD27" i="4"/>
  <c r="AB16" i="4"/>
  <c r="Q16" i="4"/>
  <c r="AA16" i="4"/>
  <c r="AD25" i="4"/>
  <c r="AD12" i="4"/>
  <c r="Q45" i="4"/>
  <c r="AA45" i="4"/>
  <c r="AB45" i="4"/>
  <c r="AB10" i="4"/>
  <c r="AB46" i="4"/>
  <c r="AB11" i="4"/>
  <c r="Q11" i="4"/>
  <c r="AA11" i="4"/>
  <c r="AA46" i="4" l="1"/>
  <c r="Y36" i="4"/>
  <c r="Z36" i="4" s="1"/>
  <c r="AA18" i="4"/>
  <c r="AB18" i="4"/>
  <c r="Y23" i="4"/>
  <c r="Z23" i="4" s="1"/>
  <c r="Y13" i="4"/>
  <c r="Z13" i="4" s="1"/>
  <c r="Y34" i="4"/>
  <c r="AD64" i="4"/>
  <c r="Y35" i="4"/>
  <c r="Z35" i="4" s="1"/>
  <c r="Y43" i="4"/>
  <c r="T29" i="4"/>
  <c r="U29" i="4" s="1"/>
  <c r="R29" i="4" s="1"/>
  <c r="Y59" i="4"/>
  <c r="Z59" i="4" s="1"/>
  <c r="S72" i="4"/>
  <c r="Y19" i="4"/>
  <c r="Z19" i="4" s="1"/>
  <c r="AD63" i="4"/>
  <c r="AA59" i="4"/>
  <c r="R59" i="4"/>
  <c r="Q59" i="4" s="1"/>
  <c r="AB59" i="4"/>
  <c r="AB34" i="4"/>
  <c r="Q13" i="4"/>
  <c r="AA13" i="4"/>
  <c r="AB13" i="4"/>
  <c r="Q23" i="4"/>
  <c r="AA23" i="4"/>
  <c r="AB23" i="4"/>
  <c r="Q36" i="4"/>
  <c r="AB36" i="4"/>
  <c r="AA36" i="4"/>
  <c r="Q43" i="4"/>
  <c r="AB43" i="4"/>
  <c r="AA43" i="4"/>
  <c r="AB35" i="4"/>
  <c r="AA35" i="4"/>
  <c r="Q35" i="4"/>
  <c r="AD20" i="4"/>
  <c r="AD68" i="4"/>
  <c r="Q33" i="4"/>
  <c r="Q39" i="4"/>
  <c r="AA51" i="4"/>
  <c r="Q51" i="4"/>
  <c r="AA37" i="4"/>
  <c r="Q37" i="4"/>
  <c r="AD17" i="4"/>
  <c r="Q52" i="4"/>
  <c r="AB19" i="4"/>
  <c r="AA30" i="4"/>
  <c r="AB14" i="4"/>
  <c r="AA19" i="4"/>
  <c r="Q19" i="4"/>
  <c r="AB37" i="4"/>
  <c r="AB52" i="4"/>
  <c r="AA14" i="4"/>
  <c r="AA52" i="4"/>
  <c r="Q14" i="4"/>
  <c r="AB33" i="4"/>
  <c r="AA33" i="4"/>
  <c r="AB51" i="4"/>
  <c r="AD15" i="4"/>
  <c r="Q30" i="4"/>
  <c r="AB30" i="4"/>
  <c r="AD21" i="4"/>
  <c r="AD26" i="4"/>
  <c r="AA22" i="4"/>
  <c r="Q22" i="4"/>
  <c r="AB22" i="4"/>
  <c r="Q28" i="4"/>
  <c r="AA28" i="4"/>
  <c r="AB28" i="4"/>
  <c r="AD10" i="4"/>
  <c r="AD46" i="4"/>
  <c r="AD45" i="4"/>
  <c r="AD16" i="4"/>
  <c r="AD11" i="4"/>
  <c r="AD18" i="4" l="1"/>
  <c r="U72" i="4"/>
  <c r="R72" i="4" s="1"/>
  <c r="Q72" i="4" s="1"/>
  <c r="T72" i="4"/>
  <c r="Y72" i="4"/>
  <c r="AD59" i="4"/>
  <c r="AA34" i="4"/>
  <c r="AD34" i="4" s="1"/>
  <c r="R34" i="4"/>
  <c r="Q34" i="4" s="1"/>
  <c r="Q29" i="4"/>
  <c r="AA29" i="4"/>
  <c r="AB29" i="4"/>
  <c r="AD13" i="4"/>
  <c r="AD35" i="4"/>
  <c r="AD23" i="4"/>
  <c r="AD36" i="4"/>
  <c r="AD43" i="4"/>
  <c r="AD37" i="4"/>
  <c r="AD51" i="4"/>
  <c r="AD19" i="4"/>
  <c r="AD30" i="4"/>
  <c r="AD14" i="4"/>
  <c r="AD33" i="4"/>
  <c r="AD52" i="4"/>
  <c r="AD28" i="4"/>
  <c r="AD22" i="4"/>
  <c r="AB72" i="4" l="1"/>
  <c r="AA72" i="4"/>
  <c r="AD29" i="4"/>
  <c r="G376" i="6"/>
  <c r="G388" i="6" s="1"/>
  <c r="AD72" i="4" l="1"/>
  <c r="G387" i="6"/>
  <c r="G390" i="6"/>
  <c r="G377" i="6"/>
  <c r="G378" i="6"/>
  <c r="G385" i="6"/>
  <c r="G391" i="6"/>
  <c r="G384" i="6"/>
  <c r="G381" i="6"/>
  <c r="G386" i="6"/>
  <c r="G382" i="6"/>
  <c r="G380" i="6"/>
  <c r="G389" i="6"/>
  <c r="G379" i="6"/>
  <c r="G383" i="6"/>
</calcChain>
</file>

<file path=xl/comments1.xml><?xml version="1.0" encoding="utf-8"?>
<comments xmlns="http://schemas.openxmlformats.org/spreadsheetml/2006/main">
  <authors>
    <author>FS</author>
  </authors>
  <commentList>
    <comment ref="BQ9" authorId="0" shapeId="0">
      <text>
        <r>
          <rPr>
            <b/>
            <sz val="9"/>
            <color indexed="81"/>
            <rFont val="Tahoma"/>
            <family val="2"/>
          </rPr>
          <t xml:space="preserve">FS : </t>
        </r>
        <r>
          <rPr>
            <b/>
            <sz val="9"/>
            <color indexed="81"/>
            <rFont val="돋움"/>
            <family val="3"/>
            <charset val="129"/>
          </rPr>
          <t>윙잇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프로모션으로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진주햄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</commentList>
</comments>
</file>

<file path=xl/sharedStrings.xml><?xml version="1.0" encoding="utf-8"?>
<sst xmlns="http://schemas.openxmlformats.org/spreadsheetml/2006/main" count="4944" uniqueCount="1120">
  <si>
    <t>품목</t>
  </si>
  <si>
    <t>품목명</t>
    <phoneticPr fontId="4" type="noConversion"/>
  </si>
  <si>
    <t>현재고</t>
    <phoneticPr fontId="4" type="noConversion"/>
  </si>
  <si>
    <t>구분</t>
    <phoneticPr fontId="4" type="noConversion"/>
  </si>
  <si>
    <t>완제품</t>
  </si>
  <si>
    <t>완제품</t>
    <phoneticPr fontId="2" type="noConversion"/>
  </si>
  <si>
    <t>YWE 식물성 콜드컷 볼로냐 (국내)</t>
  </si>
  <si>
    <t>베러미트 식물성 프랑크 소시지</t>
  </si>
  <si>
    <t>베러미트 그릴드 프랑크 소시지</t>
  </si>
  <si>
    <t>리얼 민스</t>
  </si>
  <si>
    <t>유아왓유잇 식물성 너겟</t>
  </si>
  <si>
    <t>베러미트 식물성 베러패티</t>
  </si>
  <si>
    <t>유아왓유잇 식물성 허브 치킨스테이크 슈레드</t>
  </si>
  <si>
    <t>베러미트 식물성 프리미엄 런천 슬라이스</t>
  </si>
  <si>
    <t>[리뉴얼] 식물성 런천 200G (SPC)</t>
  </si>
  <si>
    <t>[리뉴얼] 식물성 런천 600G SPC 3입</t>
  </si>
  <si>
    <t>베러미트 식물성 불고기 민스</t>
  </si>
  <si>
    <t>베러미트 유아왓유잇 식물성 숯불직화 갈비구이</t>
  </si>
  <si>
    <t>유아왓유잇 식물성 순대</t>
  </si>
  <si>
    <t>YWE 식물성 체다향 치즈 슬라이스</t>
  </si>
  <si>
    <t>YWE 식물성 오트 휘핑크림 서강유업 1L</t>
  </si>
  <si>
    <t>식물성 라이스 베이스드</t>
  </si>
  <si>
    <t>식물성 라이스 베이스드 BIB 10L</t>
  </si>
  <si>
    <t>식물성 라이스 베이스드 200mL</t>
  </si>
  <si>
    <t>베러미트 콜드컷 식물성 볼로냐 슬라이스 수출</t>
  </si>
  <si>
    <t>유아왓유잇 식물성 미트볼 수출용</t>
  </si>
  <si>
    <t>유아왓유잇 식물성 민스 수출용</t>
  </si>
  <si>
    <t>유아왓유잇 식물성 베러패티 수출용</t>
  </si>
  <si>
    <t>유아왓유잇 식물성 소시지패티 수출용</t>
  </si>
  <si>
    <t>규격</t>
    <phoneticPr fontId="2" type="noConversion"/>
  </si>
  <si>
    <t>원가</t>
    <phoneticPr fontId="4" type="noConversion"/>
  </si>
  <si>
    <t>예상 소진일</t>
    <phoneticPr fontId="4" type="noConversion"/>
  </si>
  <si>
    <t>소비기한</t>
    <phoneticPr fontId="4" type="noConversion"/>
  </si>
  <si>
    <t>월 출고량</t>
    <phoneticPr fontId="4" type="noConversion"/>
  </si>
  <si>
    <t>식물성 라이스 베이스드 200mL (낱개)</t>
  </si>
  <si>
    <t>소진가능여부</t>
    <phoneticPr fontId="4" type="noConversion"/>
  </si>
  <si>
    <t>재고분석</t>
    <phoneticPr fontId="4" type="noConversion"/>
  </si>
  <si>
    <t>재고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</si>
  <si>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</si>
  <si>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</si>
  <si>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</si>
  <si>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회전월</t>
    <phoneticPr fontId="4" type="noConversion"/>
  </si>
  <si>
    <r>
      <rPr>
        <sz val="9"/>
        <color indexed="8"/>
        <rFont val="돋움"/>
        <family val="3"/>
        <charset val="129"/>
      </rPr>
      <t>회전월</t>
    </r>
    <r>
      <rPr>
        <sz val="9"/>
        <color indexed="8"/>
        <rFont val="Arial"/>
        <family val="2"/>
      </rPr>
      <t xml:space="preserve"> =&lt; 1</t>
    </r>
    <phoneticPr fontId="2" type="noConversion"/>
  </si>
  <si>
    <t>회전등급</t>
    <phoneticPr fontId="2" type="noConversion"/>
  </si>
  <si>
    <t>회전등급</t>
    <phoneticPr fontId="2" type="noConversion"/>
  </si>
  <si>
    <t>재고평가</t>
    <phoneticPr fontId="2" type="noConversion"/>
  </si>
  <si>
    <r>
      <t xml:space="preserve"> 1 &lt; </t>
    </r>
    <r>
      <rPr>
        <sz val="9"/>
        <color indexed="8"/>
        <rFont val="돋움"/>
        <family val="3"/>
        <charset val="129"/>
      </rPr>
      <t>회전월</t>
    </r>
    <r>
      <rPr>
        <sz val="9"/>
        <color indexed="8"/>
        <rFont val="Arial"/>
        <family val="2"/>
      </rPr>
      <t xml:space="preserve"> =&lt; 4</t>
    </r>
    <phoneticPr fontId="2" type="noConversion"/>
  </si>
  <si>
    <r>
      <rPr>
        <sz val="9"/>
        <color indexed="8"/>
        <rFont val="돋움"/>
        <family val="3"/>
        <charset val="129"/>
      </rPr>
      <t>회전월</t>
    </r>
    <r>
      <rPr>
        <sz val="9"/>
        <color indexed="8"/>
        <rFont val="Arial"/>
        <family val="2"/>
      </rPr>
      <t xml:space="preserve"> &gt; 4</t>
    </r>
    <phoneticPr fontId="2" type="noConversion"/>
  </si>
  <si>
    <t>출고</t>
    <phoneticPr fontId="2" type="noConversion"/>
  </si>
  <si>
    <t>베러테이스트VF ver1</t>
  </si>
  <si>
    <t>베러테이스트VF ver2</t>
  </si>
  <si>
    <t>플레이버 BM S-01(25kg)</t>
  </si>
  <si>
    <t>티피믹스 HNI(10kg)</t>
  </si>
  <si>
    <t>가드더블유 (20kg)</t>
  </si>
  <si>
    <t>글루코만난 곤약분(25kg)</t>
  </si>
  <si>
    <t>메토셀 엠엑스 다인소재 (15kg)</t>
  </si>
  <si>
    <t>메틸셀룰로스(20kg/독일/KH)</t>
  </si>
  <si>
    <t>풍미베이스BFS 샘표식품(10kg)</t>
  </si>
  <si>
    <t>조직대두단백 response4380 듀폰 (11.34kg)</t>
  </si>
  <si>
    <t>조직대두단백 response4400 듀폰 (11.34kg)</t>
  </si>
  <si>
    <t>카라기난 카파(25kg)</t>
  </si>
  <si>
    <t>콘텍스18 조직농축대두단백 Solbar(15kg)</t>
  </si>
  <si>
    <t>파셀리 비씨(25kg)</t>
  </si>
  <si>
    <t>홍국쌀가루 대두식품(1kg)</t>
  </si>
  <si>
    <t>수프로620 분리대두단백 SOLAE(20kg)</t>
  </si>
  <si>
    <t>솔프로920 분리대두단백 Shangdong wonderful(20kg)</t>
  </si>
  <si>
    <t>린사이드 뉴트리 옴티멈 BA10-PW(25kg/ 프랑스)</t>
  </si>
  <si>
    <t>뉴트라바 시트러스 화이버 피크(15kg/브라질)</t>
  </si>
  <si>
    <t>BM-S02 플레이버(25kg/태국)</t>
  </si>
  <si>
    <t>발효추출물 CJ제일제당(20KG)</t>
  </si>
  <si>
    <t>퍼펙타겔 엠피티 에이앤에스 스타치</t>
  </si>
  <si>
    <t>캐러멜화설탕혼합분말 케이에스진</t>
  </si>
  <si>
    <t>썬믹스 NH 20KG</t>
  </si>
  <si>
    <t>썬에이스H 삼양사 20KG</t>
  </si>
  <si>
    <t>간장소스BM 동원홈푸드</t>
  </si>
  <si>
    <t>콜드컷 플레이버 블랜드 KERRY</t>
  </si>
  <si>
    <t>발효추출물 LF01 CJ제일제당</t>
  </si>
  <si>
    <t>쉐이드 베지레드 추출분말 에이원카프</t>
  </si>
  <si>
    <t>메틸셀룰로스 MCE-100TS</t>
  </si>
  <si>
    <t>스테이크향 KERRY INGREDIENTS 20KG</t>
  </si>
  <si>
    <t>물류)버데드에프35 WJ</t>
  </si>
  <si>
    <t>에스지5배터믹스 SJS-11761</t>
  </si>
  <si>
    <t>베러 CB-프로틴(뜨란)</t>
  </si>
  <si>
    <t>허브믹스(태원)</t>
  </si>
  <si>
    <t>월 사용량</t>
    <phoneticPr fontId="4" type="noConversion"/>
  </si>
  <si>
    <t>BM B베이스</t>
    <phoneticPr fontId="2" type="noConversion"/>
  </si>
  <si>
    <t>BM 마린 베이스</t>
    <phoneticPr fontId="2" type="noConversion"/>
  </si>
  <si>
    <t>현재고(계)</t>
    <phoneticPr fontId="4" type="noConversion"/>
  </si>
  <si>
    <t>현재고</t>
    <phoneticPr fontId="2" type="noConversion"/>
  </si>
  <si>
    <t>소비기한</t>
    <phoneticPr fontId="2" type="noConversion"/>
  </si>
  <si>
    <t>현재고 2</t>
    <phoneticPr fontId="2" type="noConversion"/>
  </si>
  <si>
    <t>소비기한 2</t>
    <phoneticPr fontId="2" type="noConversion"/>
  </si>
  <si>
    <t>현재고 3</t>
    <phoneticPr fontId="2" type="noConversion"/>
  </si>
  <si>
    <t>소비기한 3</t>
    <phoneticPr fontId="2" type="noConversion"/>
  </si>
  <si>
    <t>허바셀 메이큐플러스 씨에프-엔 한국카라겐/20KG</t>
  </si>
  <si>
    <t>(첨가제)비타믹스_신세계푸드</t>
  </si>
  <si>
    <t>(첨가제)카로틴_신세계푸드</t>
  </si>
  <si>
    <t>(첨가제)파프리카색소_신세계푸드</t>
  </si>
  <si>
    <t>(첨가제)혼합제제_PC베이스-SN_신세계푸드</t>
  </si>
  <si>
    <t>(추출물)감자단백질_신세계푸드</t>
  </si>
  <si>
    <t>(추출물)볶음캐슈넛페이스트_신세계푸드</t>
  </si>
  <si>
    <t>(추출물)오트페이스트_신세계푸드</t>
  </si>
  <si>
    <t>(추출물)효모추출분말_신세계푸드</t>
  </si>
  <si>
    <t>(향료)체다치즈향_신세계푸드</t>
  </si>
  <si>
    <t>(유지) 야자유</t>
  </si>
  <si>
    <t>(대박스)YWE 식물성체다향 치즈_신세계푸드(10매*24입)</t>
  </si>
  <si>
    <t>(외필름)YWE 식물성체다향 치즈_신세계푸드(10매)</t>
  </si>
  <si>
    <t>베러미트 프리믹스 대 삼방파우치 음성</t>
    <phoneticPr fontId="2" type="noConversion"/>
  </si>
  <si>
    <t>베러미트 프리믹스 소 삼방파우치 음성</t>
    <phoneticPr fontId="2" type="noConversion"/>
  </si>
  <si>
    <t>[YWE]식물성 민스(영문 버전) 스티커</t>
  </si>
  <si>
    <t>YWE 식물성 민스 4KG 외박스 음성</t>
  </si>
  <si>
    <t>YWE)식물성 너겟 스티커</t>
  </si>
  <si>
    <t>[YWE]버거패티 스티커</t>
  </si>
  <si>
    <t>프랑크 소시지 라벨</t>
    <phoneticPr fontId="2" type="noConversion"/>
  </si>
  <si>
    <t>프랑크 소시지 박스</t>
    <phoneticPr fontId="2" type="noConversion"/>
  </si>
  <si>
    <t>수출 콜드컷 볼로냐 필름</t>
    <phoneticPr fontId="2" type="noConversion"/>
  </si>
  <si>
    <t>수출 콜드컷 볼로냐 박스</t>
    <phoneticPr fontId="2" type="noConversion"/>
  </si>
  <si>
    <t>국내 콜드컷 볼로냐 필름</t>
    <phoneticPr fontId="2" type="noConversion"/>
  </si>
  <si>
    <t>국내 콜드컷 볼로냐 박스</t>
    <phoneticPr fontId="2" type="noConversion"/>
  </si>
  <si>
    <t>사용제품수</t>
    <phoneticPr fontId="2" type="noConversion"/>
  </si>
  <si>
    <t>YWE 버거패티 외박스</t>
    <phoneticPr fontId="2" type="noConversion"/>
  </si>
  <si>
    <t>재고금액 (계)</t>
    <phoneticPr fontId="4" type="noConversion"/>
  </si>
  <si>
    <t>원재료</t>
    <phoneticPr fontId="2" type="noConversion"/>
  </si>
  <si>
    <t>부자재</t>
    <phoneticPr fontId="2" type="noConversion"/>
  </si>
  <si>
    <t>BF 제품 회전율 현황 (완제품)</t>
    <phoneticPr fontId="4" type="noConversion"/>
  </si>
  <si>
    <t>재고금액</t>
    <phoneticPr fontId="2" type="noConversion"/>
  </si>
  <si>
    <t>재고금액2</t>
    <phoneticPr fontId="2" type="noConversion"/>
  </si>
  <si>
    <t>재고금액3</t>
    <phoneticPr fontId="2" type="noConversion"/>
  </si>
  <si>
    <t>원재료(OEM)</t>
    <phoneticPr fontId="2" type="noConversion"/>
  </si>
  <si>
    <t>부자재(OEM)</t>
    <phoneticPr fontId="2" type="noConversion"/>
  </si>
  <si>
    <t>저회전 발생</t>
    <phoneticPr fontId="2" type="noConversion"/>
  </si>
  <si>
    <r>
      <t xml:space="preserve">* </t>
    </r>
    <r>
      <rPr>
        <sz val="9"/>
        <color rgb="FF000000"/>
        <rFont val="Arial Unicode MS"/>
        <family val="2"/>
        <charset val="129"/>
      </rPr>
      <t>사용제품수 : 해당 원료  사용 완제품 품목수</t>
    </r>
    <phoneticPr fontId="2" type="noConversion"/>
  </si>
  <si>
    <t>YWE 식물성 미트볼 외박스</t>
    <phoneticPr fontId="2" type="noConversion"/>
  </si>
  <si>
    <t>YWE 소시지패티 외박스</t>
    <phoneticPr fontId="2" type="noConversion"/>
  </si>
  <si>
    <t>폐기시 금액</t>
    <phoneticPr fontId="2" type="noConversion"/>
  </si>
  <si>
    <t>폐기시 재고</t>
    <phoneticPr fontId="2" type="noConversion"/>
  </si>
  <si>
    <t>물류)코코아블랙파우더 500-DP-11 미립물산 25KG</t>
  </si>
  <si>
    <t>카카오바리 코코아파우더 제원 1KG, 카카오바리</t>
  </si>
  <si>
    <t>양파분말80 리치밀 10KG</t>
  </si>
  <si>
    <t>BF 식물성 불고기 M-베이스 5KG</t>
  </si>
  <si>
    <t>막사보 와이이 DSM 20KG</t>
  </si>
  <si>
    <t>발효추출물 테이스트엔리치 CJ제일제당 10KG</t>
  </si>
  <si>
    <t>그릴린GB 동방푸드마스타 15KG</t>
  </si>
  <si>
    <t>발효 엔아미노 LH 대상 10KG</t>
  </si>
  <si>
    <t>아미노베이스PS 샘표식품 20KG</t>
  </si>
  <si>
    <t>베러미트 식물성 소시지패티</t>
    <phoneticPr fontId="2" type="noConversion"/>
  </si>
  <si>
    <t>베러미트 식물성 민스</t>
    <phoneticPr fontId="2" type="noConversion"/>
  </si>
  <si>
    <t>베러미트 식물성 미트볼</t>
    <phoneticPr fontId="2" type="noConversion"/>
  </si>
  <si>
    <t>정제수</t>
  </si>
  <si>
    <t>보석얼음</t>
  </si>
  <si>
    <t>쉐프초이스 대두유내부(18L//미국,아르헨티나,벨기에 등)</t>
  </si>
  <si>
    <t>PP62(20kg)</t>
  </si>
  <si>
    <t>PP92(20kg)</t>
  </si>
  <si>
    <t>SMAL(1kg)</t>
  </si>
  <si>
    <t>BDMC(20kg)</t>
  </si>
  <si>
    <t>비타셀-커스텀파이버 W-200 (15kg)</t>
  </si>
  <si>
    <t>한주 본소금(25kg)</t>
  </si>
  <si>
    <t>BDCK(25kg)</t>
  </si>
  <si>
    <t>BDGK(25kg)</t>
  </si>
  <si>
    <t>L-글루탐산나트륨(25kg)</t>
  </si>
  <si>
    <t>STSN(25kg)</t>
  </si>
  <si>
    <t>SMFB(10kg)</t>
  </si>
  <si>
    <t>백설탕/태국/미트폴</t>
  </si>
  <si>
    <t>STPB(25kg)</t>
  </si>
  <si>
    <t>BDBA(25kg)</t>
  </si>
  <si>
    <t>FICP(15kg)</t>
  </si>
  <si>
    <t>5'-리보뉴클레오티드이나트륨</t>
    <phoneticPr fontId="2" type="noConversion"/>
  </si>
  <si>
    <t>FVBS2(25kg)</t>
  </si>
  <si>
    <t>CORR(1kg)</t>
  </si>
  <si>
    <t>BDTM(10kg)</t>
  </si>
  <si>
    <t>베러미트 식물성 미트볼 (SB)</t>
    <phoneticPr fontId="2" type="noConversion"/>
  </si>
  <si>
    <t xml:space="preserve">정제수 </t>
  </si>
  <si>
    <t>PP44 (11.34kg)</t>
  </si>
  <si>
    <t>보석얼음 참조아(3kg)</t>
  </si>
  <si>
    <t>비타셀 커스텀파이버 W-200 (15kg)</t>
  </si>
  <si>
    <t>BDMX (15kg)</t>
  </si>
  <si>
    <t>한주 본소금 한주소금(25kg)</t>
  </si>
  <si>
    <t>STPB (25kg)</t>
  </si>
  <si>
    <t>퍼펙타겔 엠피티 에이앤에스 스타치(25kg)</t>
  </si>
  <si>
    <t>마늘분말80 가보식품(10kg*2개)</t>
  </si>
  <si>
    <t>카카오바리 코코아파우더 제원(1kg)</t>
  </si>
  <si>
    <t>양파분말 80 리치밀 (10kg)</t>
  </si>
  <si>
    <t>발효추출물 CJ제일제당 (20kg)</t>
  </si>
  <si>
    <t>흑후추분말 20kg (20kg)</t>
  </si>
  <si>
    <t>포리믹스지에이 인산염 서도비앤아이(25kg)</t>
  </si>
  <si>
    <t>칠리시즈닝 신영에프에스(450g)</t>
  </si>
  <si>
    <t>로즈마리 분말 은진물산(250g)</t>
  </si>
  <si>
    <t>코리엔더파우더 은진물산(450g)</t>
  </si>
  <si>
    <t>쉐프초이스 대두유 내부(18L)</t>
  </si>
  <si>
    <t>PP18(15kg)</t>
  </si>
  <si>
    <t>백설탕(15kg)</t>
  </si>
  <si>
    <t>리보뉴클레오티드이나트륨 10kg 아지노모토(10kg*1ea)</t>
  </si>
  <si>
    <t>L-글루탐산나트륨 (20kg)</t>
  </si>
  <si>
    <t>썬텐더(24kg)</t>
  </si>
  <si>
    <t>신규</t>
  </si>
  <si>
    <t>발효추출물(TasteNrich® Solution B5)</t>
  </si>
  <si>
    <t>AQ-PLUS</t>
  </si>
  <si>
    <t>FIGW(20kg)</t>
  </si>
  <si>
    <t>쉐프초이스 대두유 내부(18L//미국,아르헨티나,벨기에 등)</t>
  </si>
  <si>
    <t>FVBS1(25kg)</t>
  </si>
  <si>
    <t>PP43 (11.34kg)</t>
  </si>
  <si>
    <t>카카오바리 코코아파우더 제원 (1kg)</t>
  </si>
  <si>
    <t>흑후추분말 태경물산 (2kg*10개)</t>
  </si>
  <si>
    <t>마늘분말80 가보식품 (10kg*2개, 마늘분 중국, 건마늘 중국, 옥수수 외국산)</t>
  </si>
  <si>
    <t>주소로고하단라벨(90*130/1도/저온접착)음성(90*130/롤당650장)</t>
  </si>
  <si>
    <t>주소로고라벨하단(박스라벨)/음성공장/90!*110/라벨</t>
  </si>
  <si>
    <t>(신)육가공무지파우치/음성공장/300*450/비닐</t>
  </si>
  <si>
    <t>BM B 베이스 N</t>
  </si>
  <si>
    <t>BM 마린베이스 N</t>
  </si>
  <si>
    <t>식용유</t>
  </si>
  <si>
    <t>정제수 (0~10ºC)</t>
  </si>
  <si>
    <t>비타셀 커스텀파이버 W-200</t>
  </si>
  <si>
    <t>허바셀 에이큐플러스 씨에프-엔 한국카라겐</t>
  </si>
  <si>
    <t>한주 본소금 한주소금</t>
  </si>
  <si>
    <t>하얀설탕 CJ제일제당</t>
  </si>
  <si>
    <t>발효추출물 LF01 CJ제일제당 20kg</t>
  </si>
  <si>
    <t>잔탄검 다인소재 25kg</t>
  </si>
  <si>
    <t>쉐이드 베지레드 추출분말 에이원카프 10kg</t>
  </si>
  <si>
    <t>유포지 냉동바코드페이퍼, 천안</t>
  </si>
  <si>
    <t>신규)식음생산프린터 먹지리본</t>
  </si>
  <si>
    <t>배송스티커(V,N,연두)</t>
  </si>
  <si>
    <t>(성수)베러미트프리믹스공용외박스</t>
  </si>
  <si>
    <t>베러미트 프리믹스 대 삼방파우치 음성</t>
  </si>
  <si>
    <t>베러미트 그릴드 프랑크 소시지</t>
    <phoneticPr fontId="2" type="noConversion"/>
  </si>
  <si>
    <t>보석얼음 참조아</t>
  </si>
  <si>
    <t>-</t>
  </si>
  <si>
    <t>쉐프초이스 대두유 내부</t>
  </si>
  <si>
    <t>BDGK 주피터인터네셔널</t>
  </si>
  <si>
    <t>BDCK (25kg)</t>
  </si>
  <si>
    <t>구아검 금영</t>
  </si>
  <si>
    <t>염화칼륨</t>
  </si>
  <si>
    <t>물류)함수결정포도당 직납 대상</t>
  </si>
  <si>
    <t>아미노베이스-PS</t>
  </si>
  <si>
    <t>생강가루 이슬나라</t>
  </si>
  <si>
    <t>그릴린지비 레드알로우</t>
  </si>
  <si>
    <t>백설탕 CJ제일제당</t>
  </si>
  <si>
    <t>마늘분말80 가보식품</t>
  </si>
  <si>
    <t>퍼펙타겔 엠피티 에이엔에스 스타치</t>
  </si>
  <si>
    <t>물류)활성밀글루텐 꼬미다</t>
  </si>
  <si>
    <t xml:space="preserve">비타셀 커스텀파이버 W-200 </t>
  </si>
  <si>
    <t xml:space="preserve">허바셀 에이큐플러스 씨에프-엔 한국카라겐 </t>
  </si>
  <si>
    <t>마늘분말80 20kg 가보식품(10kg*2개/마늘분 중국, 건마늘 중국, 옥수수 외국산)</t>
  </si>
  <si>
    <t>주소로고하단라벨(저온접착), 음성</t>
  </si>
  <si>
    <t>주소로고라벨하단(박스라벨), 음성</t>
  </si>
  <si>
    <t>버거킹무지비닐</t>
  </si>
  <si>
    <t>PP43</t>
  </si>
  <si>
    <t>발아흑맥아 추출분말 퓨어텍 (22.68kg)</t>
  </si>
  <si>
    <t>PP62</t>
  </si>
  <si>
    <t>알긴산나트륨</t>
  </si>
  <si>
    <t>물류)활성밀글루텐 꼬미다(25kg)</t>
  </si>
  <si>
    <t>BDCK</t>
  </si>
  <si>
    <t>백설탕 CJ제일제당(삼원상사)</t>
  </si>
  <si>
    <t>아미노베이스 PS</t>
  </si>
  <si>
    <t>잔탄검 다인소재(25kg)</t>
  </si>
  <si>
    <t>에일리앙겔100</t>
  </si>
  <si>
    <t>젖산칼슘</t>
  </si>
  <si>
    <t>캐러멜화설탕분말 케이에스진</t>
  </si>
  <si>
    <t>간장소스 BM</t>
  </si>
  <si>
    <t>야자유</t>
  </si>
  <si>
    <t>BM리버서블 (ver2)</t>
  </si>
  <si>
    <t>유화제 (제이단1274)</t>
  </si>
  <si>
    <t>에일리앙gel100</t>
  </si>
  <si>
    <t>한주소금(3kg)</t>
  </si>
  <si>
    <t>배송스티커(V/N,연두)</t>
  </si>
  <si>
    <t>유포지 냉동 바코드 페이퍼</t>
  </si>
  <si>
    <t>유포지 바코드 리본</t>
  </si>
  <si>
    <t xml:space="preserve">베러미트 프리믹스 대 삼방파우치 음성 </t>
  </si>
  <si>
    <t>PP44(11.34kg)</t>
  </si>
  <si>
    <t>쉐프초이스 대두유(전략비축)</t>
  </si>
  <si>
    <t>L-글루탐산나트륨 태경농산(25kg)</t>
  </si>
  <si>
    <t>썬텐더 삼양사</t>
  </si>
  <si>
    <t>백설탕 CJ제일제당 15kg</t>
  </si>
  <si>
    <t>캐러멜화설탕분말 케이에스진 1KG</t>
  </si>
  <si>
    <t>리보뉴클레오티드이나트륨 아지노모토</t>
  </si>
  <si>
    <t>주소로고하단라벨( 90*130/1도/저온접착)음성(90*130/롤당650장)</t>
  </si>
  <si>
    <t>주소로고라벨하단(박스라벨),음성</t>
  </si>
  <si>
    <t>(대)육가공계량비닐녹색</t>
  </si>
  <si>
    <t>오토 찰진고구마당면 영흥식품</t>
  </si>
  <si>
    <t>베러미트 식물성 민스</t>
  </si>
  <si>
    <t>잡채용 당근채 국내산 냉장</t>
  </si>
  <si>
    <t>양배추 무침용 국내산 냉장</t>
  </si>
  <si>
    <t>냉동다진마늘 중국 냉동</t>
  </si>
  <si>
    <t>냉동양파다이스 중국 냉동</t>
  </si>
  <si>
    <t>BDCK 에스엔씨인터내셔날</t>
  </si>
  <si>
    <t>발효추출물 CJ제일제당</t>
  </si>
  <si>
    <t>발아흑맥아 추출분말 퓨어텍</t>
  </si>
  <si>
    <t>물류)코코아블랙파우더 500-DP-11 미립물산</t>
  </si>
  <si>
    <t>순 흑후추분말 한국SB</t>
  </si>
  <si>
    <t>아미노베이스PS 샘표식품</t>
  </si>
  <si>
    <t>STMN</t>
  </si>
  <si>
    <t>STAH</t>
  </si>
  <si>
    <t>실링용바게트트레이</t>
  </si>
  <si>
    <t>바게트 용기 리드필름</t>
  </si>
  <si>
    <t>PP43(11.34kg)</t>
  </si>
  <si>
    <t>브라운시럽 제이스에프아이</t>
  </si>
  <si>
    <t>생강가루(베트남산) 400G 은진물산</t>
  </si>
  <si>
    <t>식물성 베러 테이스트 VF 서울향료 진천 2KG*4개</t>
  </si>
  <si>
    <t>활성밀글루텐 꼬미다</t>
  </si>
  <si>
    <t>아미노베이스PS</t>
  </si>
  <si>
    <t>막사보 와이이 DSM</t>
  </si>
  <si>
    <t>발효추출물 테이스트엔리치 CJ제일제당</t>
  </si>
  <si>
    <t>카카오바리 코코아파우더 제원</t>
  </si>
  <si>
    <t>흑후추분말 다음</t>
  </si>
  <si>
    <t>마늘분말 신영에프에스</t>
  </si>
  <si>
    <t>양파분말 미소찬</t>
  </si>
  <si>
    <t>낫맥분 은진물산</t>
  </si>
  <si>
    <t>그릴린GB 동방푸드마스타</t>
  </si>
  <si>
    <t>본소금플러스 한주</t>
  </si>
  <si>
    <t>마늘분말 이슬나라</t>
  </si>
  <si>
    <t>BDTM 에이치엔아이</t>
  </si>
  <si>
    <t>해바라기유 사조대림</t>
  </si>
  <si>
    <t>흑후추후레이크 은진물산</t>
  </si>
  <si>
    <t>UF02 CJ제일제당</t>
  </si>
  <si>
    <t>발효 엔아미노 LH 대상</t>
  </si>
  <si>
    <t>한주 본소금플러스</t>
  </si>
  <si>
    <t>발효추출물LF01(CJ제일제당)</t>
  </si>
  <si>
    <t>카놀라유 비앤비코리아</t>
  </si>
  <si>
    <t>본소금플러스 한주 (25kg)</t>
  </si>
  <si>
    <t>STPB 에이앤에스스타치코리아 (25kg)</t>
  </si>
  <si>
    <t>육가공/진공비닐</t>
  </si>
  <si>
    <t>음성 공용외박스1호 (손잡이) 450*305*250mm</t>
  </si>
  <si>
    <t>당월 가중치</t>
    <phoneticPr fontId="2" type="noConversion"/>
  </si>
  <si>
    <t>전월 가중치</t>
    <phoneticPr fontId="2" type="noConversion"/>
  </si>
  <si>
    <t>출고일수</t>
    <phoneticPr fontId="2" type="noConversion"/>
  </si>
  <si>
    <t>자재코드</t>
    <phoneticPr fontId="2" type="noConversion"/>
  </si>
  <si>
    <t>005208</t>
  </si>
  <si>
    <t>230481</t>
  </si>
  <si>
    <t>259263</t>
  </si>
  <si>
    <t>259262</t>
  </si>
  <si>
    <t>253595</t>
  </si>
  <si>
    <t>250495</t>
  </si>
  <si>
    <t>047840</t>
  </si>
  <si>
    <t>253596</t>
  </si>
  <si>
    <t>251371</t>
  </si>
  <si>
    <t>255158</t>
  </si>
  <si>
    <t>255731</t>
  </si>
  <si>
    <t>252863</t>
  </si>
  <si>
    <t>253594</t>
  </si>
  <si>
    <t>257816</t>
  </si>
  <si>
    <t>257817</t>
  </si>
  <si>
    <t>257819</t>
  </si>
  <si>
    <t>194034</t>
  </si>
  <si>
    <t>180592</t>
  </si>
  <si>
    <t>253582</t>
  </si>
  <si>
    <t>310871</t>
  </si>
  <si>
    <t>191967</t>
  </si>
  <si>
    <t>098579</t>
  </si>
  <si>
    <t>191969</t>
  </si>
  <si>
    <t>311779</t>
  </si>
  <si>
    <t>013114</t>
  </si>
  <si>
    <t>193163</t>
  </si>
  <si>
    <t>046029</t>
  </si>
  <si>
    <t>117254</t>
  </si>
  <si>
    <t>045044</t>
  </si>
  <si>
    <t>253471</t>
  </si>
  <si>
    <t>229268</t>
  </si>
  <si>
    <t>256699</t>
  </si>
  <si>
    <t>007702</t>
  </si>
  <si>
    <t>311181</t>
  </si>
  <si>
    <t>255161</t>
  </si>
  <si>
    <t>254933</t>
  </si>
  <si>
    <t>254833</t>
  </si>
  <si>
    <t>230838</t>
  </si>
  <si>
    <t>185548</t>
  </si>
  <si>
    <t>181047</t>
  </si>
  <si>
    <t>310197</t>
  </si>
  <si>
    <t>318063</t>
  </si>
  <si>
    <t>318728</t>
  </si>
  <si>
    <t>253650</t>
  </si>
  <si>
    <t>313906</t>
  </si>
  <si>
    <t>146472</t>
  </si>
  <si>
    <t>214801</t>
  </si>
  <si>
    <t>086651</t>
  </si>
  <si>
    <t>253609</t>
  </si>
  <si>
    <t>253603</t>
  </si>
  <si>
    <t>064585</t>
  </si>
  <si>
    <t>117697</t>
  </si>
  <si>
    <t>199175</t>
  </si>
  <si>
    <t>048527</t>
  </si>
  <si>
    <t>181391</t>
  </si>
  <si>
    <t>262518</t>
  </si>
  <si>
    <t>161425</t>
  </si>
  <si>
    <t>154290</t>
  </si>
  <si>
    <t>224451</t>
  </si>
  <si>
    <t>230453</t>
  </si>
  <si>
    <t>241738</t>
  </si>
  <si>
    <t>321472</t>
  </si>
  <si>
    <t>310920</t>
  </si>
  <si>
    <t>315599</t>
  </si>
  <si>
    <t>315151</t>
  </si>
  <si>
    <t>320617</t>
  </si>
  <si>
    <t>320193</t>
  </si>
  <si>
    <t>155274</t>
  </si>
  <si>
    <t>320550</t>
  </si>
  <si>
    <t>210783</t>
  </si>
  <si>
    <t>185322</t>
  </si>
  <si>
    <t>253473</t>
  </si>
  <si>
    <t>173927</t>
  </si>
  <si>
    <t>252843</t>
  </si>
  <si>
    <t>317361</t>
  </si>
  <si>
    <t>000097</t>
  </si>
  <si>
    <t>000003</t>
  </si>
  <si>
    <t>027656</t>
  </si>
  <si>
    <t>169403</t>
  </si>
  <si>
    <t>094955</t>
  </si>
  <si>
    <t>163189</t>
  </si>
  <si>
    <t>244508</t>
  </si>
  <si>
    <t>241531</t>
  </si>
  <si>
    <t>233636</t>
  </si>
  <si>
    <t>311508</t>
  </si>
  <si>
    <t>325062</t>
  </si>
  <si>
    <t>206080</t>
  </si>
  <si>
    <t>326809</t>
  </si>
  <si>
    <t>326810</t>
  </si>
  <si>
    <t>013145</t>
  </si>
  <si>
    <t>012450</t>
  </si>
  <si>
    <t>226030</t>
  </si>
  <si>
    <t>331935</t>
  </si>
  <si>
    <t>009508</t>
  </si>
  <si>
    <t>326173</t>
  </si>
  <si>
    <t>241556</t>
  </si>
  <si>
    <t>257311</t>
  </si>
  <si>
    <t>311519</t>
  </si>
  <si>
    <t>198530</t>
  </si>
  <si>
    <t>262714</t>
  </si>
  <si>
    <t>327149</t>
  </si>
  <si>
    <t>334592</t>
  </si>
  <si>
    <t>240475</t>
  </si>
  <si>
    <t>020444</t>
  </si>
  <si>
    <t>241656</t>
  </si>
  <si>
    <t>1ea</t>
  </si>
  <si>
    <t>0.5ea</t>
  </si>
  <si>
    <t>제품코드</t>
    <phoneticPr fontId="2" type="noConversion"/>
  </si>
  <si>
    <t>제품명</t>
    <phoneticPr fontId="2" type="noConversion"/>
  </si>
  <si>
    <t>베러미트 식물성 프랑크 소시지(1.05kg) 기존</t>
    <phoneticPr fontId="2" type="noConversion"/>
  </si>
  <si>
    <t>베러미트 식물성 소시지패티 (SB)</t>
    <phoneticPr fontId="2" type="noConversion"/>
  </si>
  <si>
    <t>[리뉴얼] 식물성 런천 200G SPC</t>
    <phoneticPr fontId="2" type="noConversion"/>
  </si>
  <si>
    <t>베러미트 식물성 민스 (4kg)</t>
    <phoneticPr fontId="2" type="noConversion"/>
  </si>
  <si>
    <t>베러미트 콜드컷 볼로냐 슬라이스 (N)</t>
    <phoneticPr fontId="2" type="noConversion"/>
  </si>
  <si>
    <t>베러미트 BM B베이스-N</t>
    <phoneticPr fontId="2" type="noConversion"/>
  </si>
  <si>
    <t>베러미트 BM 마린 베이스-N</t>
    <phoneticPr fontId="2" type="noConversion"/>
  </si>
  <si>
    <t>베러미트 식물성 베러패티</t>
    <phoneticPr fontId="2" type="noConversion"/>
  </si>
  <si>
    <t>식물성 불고기 M-베이스 (5kg/냉동)</t>
    <phoneticPr fontId="2" type="noConversion"/>
  </si>
  <si>
    <t>베러테이스트VF ver1</t>
    <phoneticPr fontId="2" type="noConversion"/>
  </si>
  <si>
    <t>베러테이스트VF (냉동)</t>
    <phoneticPr fontId="2" type="noConversion"/>
  </si>
  <si>
    <t>BM 리버서블 (ver2) (3.4kg/실온)</t>
    <phoneticPr fontId="2" type="noConversion"/>
  </si>
  <si>
    <t>식물성 프리미엄 런천 슬라이스 (배합물 냉장)</t>
    <phoneticPr fontId="2" type="noConversion"/>
  </si>
  <si>
    <t>수출용 민스</t>
    <phoneticPr fontId="2" type="noConversion"/>
  </si>
  <si>
    <t>민스 프리믹스</t>
    <phoneticPr fontId="2" type="noConversion"/>
  </si>
  <si>
    <t>리뉴얼 식물성 순대</t>
    <phoneticPr fontId="2" type="noConversion"/>
  </si>
  <si>
    <t>YWE 식물성 숯불직화 갈비구이</t>
    <phoneticPr fontId="2" type="noConversion"/>
  </si>
  <si>
    <t>정제수</t>
    <phoneticPr fontId="2" type="noConversion"/>
  </si>
  <si>
    <t>TVP</t>
    <phoneticPr fontId="2" type="noConversion"/>
  </si>
  <si>
    <t>정제수</t>
    <phoneticPr fontId="2" type="noConversion"/>
  </si>
  <si>
    <t>아미노베이스 PS</t>
    <phoneticPr fontId="2" type="noConversion"/>
  </si>
  <si>
    <t>불고기소스-S</t>
    <phoneticPr fontId="2" type="noConversion"/>
  </si>
  <si>
    <t>카놀라유</t>
    <phoneticPr fontId="2" type="noConversion"/>
  </si>
  <si>
    <t>베러테이스트VF</t>
    <phoneticPr fontId="2" type="noConversion"/>
  </si>
  <si>
    <t>파우치</t>
    <phoneticPr fontId="2" type="noConversion"/>
  </si>
  <si>
    <t>박스</t>
    <phoneticPr fontId="2" type="noConversion"/>
  </si>
  <si>
    <t>유아왓유잇 식물성 리얼 민스</t>
    <phoneticPr fontId="2" type="noConversion"/>
  </si>
  <si>
    <t>유아왓유잇 식물성 너겟</t>
    <phoneticPr fontId="2" type="noConversion"/>
  </si>
  <si>
    <t>소요량</t>
    <phoneticPr fontId="2" type="noConversion"/>
  </si>
  <si>
    <t>출고가능일</t>
    <phoneticPr fontId="4" type="noConversion"/>
  </si>
  <si>
    <t>추가 소진일</t>
    <phoneticPr fontId="4" type="noConversion"/>
  </si>
  <si>
    <t>생산리드타임</t>
    <phoneticPr fontId="4" type="noConversion"/>
  </si>
  <si>
    <t>생산필요</t>
    <phoneticPr fontId="2" type="noConversion"/>
  </si>
  <si>
    <t>생산량(kg)</t>
    <phoneticPr fontId="4" type="noConversion"/>
  </si>
  <si>
    <t>생산량(ea)</t>
    <phoneticPr fontId="4" type="noConversion"/>
  </si>
  <si>
    <t>수율</t>
    <phoneticPr fontId="2" type="noConversion"/>
  </si>
  <si>
    <t>생산</t>
    <phoneticPr fontId="2" type="noConversion"/>
  </si>
  <si>
    <t>월별 사용량 (2024)</t>
    <phoneticPr fontId="4" type="noConversion"/>
  </si>
  <si>
    <t>월별 사용량 (2025)</t>
    <phoneticPr fontId="4" type="noConversion"/>
  </si>
  <si>
    <t>월별 출고량(2024)</t>
    <phoneticPr fontId="4" type="noConversion"/>
  </si>
  <si>
    <t>월말 재고량(2024)</t>
    <phoneticPr fontId="4" type="noConversion"/>
  </si>
  <si>
    <t>월 생산량(2025)</t>
    <phoneticPr fontId="4" type="noConversion"/>
  </si>
  <si>
    <t>단위 : kg</t>
    <phoneticPr fontId="2" type="noConversion"/>
  </si>
  <si>
    <t>발주</t>
    <phoneticPr fontId="2" type="noConversion"/>
  </si>
  <si>
    <t>리드타임</t>
    <phoneticPr fontId="2" type="noConversion"/>
  </si>
  <si>
    <t>MOQ</t>
    <phoneticPr fontId="2" type="noConversion"/>
  </si>
  <si>
    <t>사용량</t>
    <phoneticPr fontId="2" type="noConversion"/>
  </si>
  <si>
    <t>재고금액(원)</t>
    <phoneticPr fontId="4" type="noConversion"/>
  </si>
  <si>
    <t>원가(원)</t>
    <phoneticPr fontId="4" type="noConversion"/>
  </si>
  <si>
    <t>전월 출고량</t>
    <phoneticPr fontId="2" type="noConversion"/>
  </si>
  <si>
    <t>평균 출고량</t>
    <phoneticPr fontId="2" type="noConversion"/>
  </si>
  <si>
    <t>재고량</t>
    <phoneticPr fontId="4" type="noConversion"/>
  </si>
  <si>
    <t>소비기한</t>
    <phoneticPr fontId="4" type="noConversion"/>
  </si>
  <si>
    <r>
      <t xml:space="preserve">* </t>
    </r>
    <r>
      <rPr>
        <sz val="9"/>
        <color indexed="8"/>
        <rFont val="돋움"/>
        <family val="3"/>
        <charset val="129"/>
      </rPr>
      <t>저회전</t>
    </r>
    <r>
      <rPr>
        <sz val="9"/>
        <color indexed="8"/>
        <rFont val="Arial"/>
        <family val="2"/>
      </rPr>
      <t xml:space="preserve"> : </t>
    </r>
    <r>
      <rPr>
        <sz val="9"/>
        <color indexed="8"/>
        <rFont val="돋움"/>
        <family val="3"/>
        <charset val="129"/>
      </rPr>
      <t>회전율</t>
    </r>
    <r>
      <rPr>
        <sz val="9"/>
        <color indexed="8"/>
        <rFont val="Arial"/>
        <family val="2"/>
      </rPr>
      <t xml:space="preserve"> 0.1 </t>
    </r>
    <r>
      <rPr>
        <sz val="9"/>
        <color indexed="8"/>
        <rFont val="돋움"/>
        <family val="3"/>
        <charset val="129"/>
      </rPr>
      <t>미만</t>
    </r>
    <phoneticPr fontId="2" type="noConversion"/>
  </si>
  <si>
    <t>발주필요여부</t>
    <phoneticPr fontId="2" type="noConversion"/>
  </si>
  <si>
    <t>R/T 사용량</t>
    <phoneticPr fontId="2" type="noConversion"/>
  </si>
  <si>
    <t>254629,</t>
  </si>
  <si>
    <t>325230,</t>
  </si>
  <si>
    <t>254631,</t>
  </si>
  <si>
    <t>313184,</t>
  </si>
  <si>
    <t>259276,</t>
  </si>
  <si>
    <t>311054,</t>
  </si>
  <si>
    <t>261942,</t>
  </si>
  <si>
    <t>314433,</t>
  </si>
  <si>
    <t>261407,</t>
  </si>
  <si>
    <t>317361,</t>
  </si>
  <si>
    <t>262112,</t>
  </si>
  <si>
    <t>314432,</t>
  </si>
  <si>
    <t>261670,</t>
  </si>
  <si>
    <t>321617,</t>
  </si>
  <si>
    <t>313144,</t>
  </si>
  <si>
    <t>320471,</t>
  </si>
  <si>
    <t>314132,</t>
  </si>
  <si>
    <t>321310,</t>
  </si>
  <si>
    <t>256896,</t>
  </si>
  <si>
    <t>316950,</t>
  </si>
  <si>
    <t>316953,</t>
  </si>
  <si>
    <t>314035,</t>
  </si>
  <si>
    <t>256897,</t>
  </si>
  <si>
    <t>321731,</t>
  </si>
  <si>
    <t>318446,</t>
  </si>
  <si>
    <t>323073,</t>
  </si>
  <si>
    <t>321093,</t>
  </si>
  <si>
    <t>326323,</t>
  </si>
  <si>
    <t>326138,</t>
  </si>
  <si>
    <t>325643,</t>
  </si>
  <si>
    <t>326137,</t>
  </si>
  <si>
    <t>331934,</t>
  </si>
  <si>
    <t>323769,</t>
  </si>
  <si>
    <t>332006,</t>
  </si>
  <si>
    <t>326263,</t>
  </si>
  <si>
    <t>333524,</t>
  </si>
  <si>
    <t>334659,</t>
  </si>
  <si>
    <t>332805,</t>
  </si>
  <si>
    <t>335472,</t>
  </si>
  <si>
    <t>코드</t>
    <phoneticPr fontId="2" type="noConversion"/>
  </si>
  <si>
    <t>물류센터</t>
  </si>
  <si>
    <t>존코드</t>
  </si>
  <si>
    <t>로케이션코드</t>
  </si>
  <si>
    <t>셀</t>
  </si>
  <si>
    <t>셀명</t>
  </si>
  <si>
    <t>화주</t>
  </si>
  <si>
    <t>화주명</t>
  </si>
  <si>
    <t>품목명</t>
  </si>
  <si>
    <t>규격</t>
  </si>
  <si>
    <t>단위</t>
  </si>
  <si>
    <t>품목그룹</t>
  </si>
  <si>
    <t>품목그룹명</t>
  </si>
  <si>
    <t>온도구분코드</t>
  </si>
  <si>
    <t>품목단위코드</t>
  </si>
  <si>
    <t>재고상태</t>
  </si>
  <si>
    <t>입수</t>
  </si>
  <si>
    <t>Pallet입수</t>
  </si>
  <si>
    <t>조리환산량</t>
  </si>
  <si>
    <t>재고수량</t>
  </si>
  <si>
    <t>가용수량</t>
  </si>
  <si>
    <t>예약수량</t>
  </si>
  <si>
    <t>보류수량</t>
  </si>
  <si>
    <t>품질검사 보류수량</t>
  </si>
  <si>
    <t>단가</t>
  </si>
  <si>
    <t>단가(이평)</t>
  </si>
  <si>
    <t>재고금액</t>
  </si>
  <si>
    <t>로트번호</t>
  </si>
  <si>
    <t>로트 보류상태</t>
  </si>
  <si>
    <t>생산로트</t>
  </si>
  <si>
    <t>식별번호</t>
  </si>
  <si>
    <t>입고일자</t>
  </si>
  <si>
    <t>산란일/생산일</t>
  </si>
  <si>
    <t>유통기한</t>
  </si>
  <si>
    <t>입점유효일</t>
  </si>
  <si>
    <t>출고유효일</t>
  </si>
  <si>
    <t>잔여 유통기한일</t>
  </si>
  <si>
    <t>잔여유통기한율(%)</t>
  </si>
  <si>
    <t>협력업체</t>
  </si>
  <si>
    <t>협력회사명</t>
  </si>
  <si>
    <t>수입신고필증번호</t>
  </si>
  <si>
    <t>원산지</t>
  </si>
  <si>
    <t>부위명</t>
  </si>
  <si>
    <t>BL번호</t>
  </si>
  <si>
    <t>돈육등급</t>
  </si>
  <si>
    <t>셀 보류상태</t>
  </si>
  <si>
    <t>바이어ID</t>
  </si>
  <si>
    <t>바이어명</t>
  </si>
  <si>
    <t>단코드</t>
  </si>
  <si>
    <t>단명</t>
  </si>
  <si>
    <t>귀속부서</t>
  </si>
  <si>
    <t>박스</t>
  </si>
  <si>
    <t>평택HUB센터</t>
  </si>
  <si>
    <t>STOCK</t>
  </si>
  <si>
    <t>0000000</t>
  </si>
  <si>
    <t>(주)신세계푸드</t>
  </si>
  <si>
    <t>BF 식물성 런천(600G, 200G*3입)</t>
  </si>
  <si>
    <t>600G, 200G*3입</t>
  </si>
  <si>
    <t>팩</t>
  </si>
  <si>
    <t>A006</t>
  </si>
  <si>
    <t>일반비축식재(실온)</t>
  </si>
  <si>
    <t>상온</t>
  </si>
  <si>
    <t>Each</t>
  </si>
  <si>
    <t>양품</t>
  </si>
  <si>
    <t>0004402466</t>
  </si>
  <si>
    <t>정상</t>
  </si>
  <si>
    <t/>
  </si>
  <si>
    <t>20240229</t>
  </si>
  <si>
    <t>20240226</t>
  </si>
  <si>
    <t>20260225</t>
  </si>
  <si>
    <t>0003465</t>
  </si>
  <si>
    <t>주식회사 에스피씨삼립</t>
  </si>
  <si>
    <t>국내제조</t>
  </si>
  <si>
    <t>122</t>
  </si>
  <si>
    <t>가공바이어22 (가공3팀 최재완)</t>
  </si>
  <si>
    <t>1</t>
  </si>
  <si>
    <t>1단</t>
  </si>
  <si>
    <t>A03</t>
  </si>
  <si>
    <t>A03-1004</t>
  </si>
  <si>
    <t>4</t>
  </si>
  <si>
    <t>4단</t>
  </si>
  <si>
    <t>A03-1103</t>
  </si>
  <si>
    <t>3</t>
  </si>
  <si>
    <t>3단</t>
  </si>
  <si>
    <t>A03-2503</t>
  </si>
  <si>
    <t>A03-2902</t>
  </si>
  <si>
    <t>2</t>
  </si>
  <si>
    <t>2단</t>
  </si>
  <si>
    <t>A03-3003</t>
  </si>
  <si>
    <t>A05</t>
  </si>
  <si>
    <t>BF 식물성 런천 리뉴얼(200G, 24입/BOX)</t>
  </si>
  <si>
    <t>200G, 24입/BOX</t>
  </si>
  <si>
    <t>개</t>
  </si>
  <si>
    <t>0004614102</t>
  </si>
  <si>
    <t>20240809</t>
  </si>
  <si>
    <t>20240806</t>
  </si>
  <si>
    <t>20260805</t>
  </si>
  <si>
    <t>A05-1903</t>
  </si>
  <si>
    <t>A05-2203</t>
  </si>
  <si>
    <t>A05-2603</t>
  </si>
  <si>
    <t>A05-2903</t>
  </si>
  <si>
    <t>B05</t>
  </si>
  <si>
    <t>B05-1601</t>
  </si>
  <si>
    <t>C01</t>
  </si>
  <si>
    <t>YWE 식물성 라이스 베이스드 서강유업(1L)</t>
  </si>
  <si>
    <t>1L</t>
  </si>
  <si>
    <t>20241031</t>
  </si>
  <si>
    <t>0101558</t>
  </si>
  <si>
    <t>서강유업(주)</t>
  </si>
  <si>
    <t>115</t>
  </si>
  <si>
    <t>가공바이어15 (가공2팀 강민석)</t>
  </si>
  <si>
    <t>YWE 식물성 라이스 베이스드 서강유업(200ML*24개)</t>
  </si>
  <si>
    <t>200ML*24개</t>
  </si>
  <si>
    <t>20241212</t>
  </si>
  <si>
    <t>20241127</t>
  </si>
  <si>
    <t>20250826</t>
  </si>
  <si>
    <t>C01-4801</t>
  </si>
  <si>
    <t>YWE 식물성 라이스 베이스드 서강유업(200ML)</t>
  </si>
  <si>
    <t>200ML</t>
  </si>
  <si>
    <t>0004772338</t>
  </si>
  <si>
    <t>H04</t>
  </si>
  <si>
    <t>H04-0504</t>
  </si>
  <si>
    <t>BF 식물성 불고기민스(1KG)</t>
  </si>
  <si>
    <t>1KG</t>
  </si>
  <si>
    <t>A007</t>
  </si>
  <si>
    <t>일반비축식재(냉동)</t>
  </si>
  <si>
    <t>냉동</t>
  </si>
  <si>
    <t>0004430123</t>
  </si>
  <si>
    <t>20240328</t>
  </si>
  <si>
    <t>20240326</t>
  </si>
  <si>
    <t>20250925</t>
  </si>
  <si>
    <t>0039122</t>
  </si>
  <si>
    <t>태원식품산업(주)</t>
  </si>
  <si>
    <t>H04-2004</t>
  </si>
  <si>
    <t>H04-2604</t>
  </si>
  <si>
    <t>026</t>
  </si>
  <si>
    <t>H04-2704</t>
  </si>
  <si>
    <t>H04-4201</t>
  </si>
  <si>
    <t>0004416310</t>
  </si>
  <si>
    <t>20240314</t>
  </si>
  <si>
    <t>20240312</t>
  </si>
  <si>
    <t>20250911</t>
  </si>
  <si>
    <t>H05</t>
  </si>
  <si>
    <t>BF 유아왓유잇 식물성 허브 치킨스테이크 슈레드(300G)</t>
  </si>
  <si>
    <t>300G</t>
  </si>
  <si>
    <t>A012</t>
  </si>
  <si>
    <t>음성CK식재(냉동)</t>
  </si>
  <si>
    <t>0004709053</t>
  </si>
  <si>
    <t>20241015</t>
  </si>
  <si>
    <t>20241010</t>
  </si>
  <si>
    <t>20251004</t>
  </si>
  <si>
    <t>04384</t>
  </si>
  <si>
    <t>CK(음성)</t>
  </si>
  <si>
    <t>001</t>
  </si>
  <si>
    <t>A08</t>
  </si>
  <si>
    <t>H06</t>
  </si>
  <si>
    <t>국내산</t>
  </si>
  <si>
    <t>BF 프랑크소시지(1.05KG, 30G*35입)</t>
  </si>
  <si>
    <t>1.05KG, 30G*35입</t>
  </si>
  <si>
    <t>0013250</t>
  </si>
  <si>
    <t>진주햄</t>
  </si>
  <si>
    <t>H06-3601</t>
  </si>
  <si>
    <t>H07</t>
  </si>
  <si>
    <t>BF 유아왓유잇 식물성 콜드컷 볼로냐(500G, 박스 20입)</t>
  </si>
  <si>
    <t>500G, 박스 20입</t>
  </si>
  <si>
    <t>0004687394</t>
  </si>
  <si>
    <t>20240930</t>
  </si>
  <si>
    <t>20240925</t>
  </si>
  <si>
    <t>20250924</t>
  </si>
  <si>
    <t>H07-1702</t>
  </si>
  <si>
    <t>0004725310</t>
  </si>
  <si>
    <t>20241022</t>
  </si>
  <si>
    <t>20251021</t>
  </si>
  <si>
    <t>H07-1901</t>
  </si>
  <si>
    <t>J05</t>
  </si>
  <si>
    <t>A008</t>
  </si>
  <si>
    <t>일반비축식재(냉장)</t>
  </si>
  <si>
    <t>냉장</t>
  </si>
  <si>
    <t>J05-2101</t>
  </si>
  <si>
    <t>YWE 유아왓유잇 식물성 오트 휘핑크림(1L)</t>
  </si>
  <si>
    <t>0</t>
  </si>
  <si>
    <t>평치</t>
  </si>
  <si>
    <t>SHP</t>
  </si>
  <si>
    <t>Shipment Stage</t>
  </si>
  <si>
    <t>BF 식물성 미트볼(1KG)</t>
  </si>
  <si>
    <t>봉</t>
  </si>
  <si>
    <t>A033</t>
  </si>
  <si>
    <t>음성육가공(냉동)</t>
  </si>
  <si>
    <t>04383</t>
  </si>
  <si>
    <t>육가공(음성)</t>
  </si>
  <si>
    <t>A06</t>
  </si>
  <si>
    <t>음성(육가공) 바이어 (상품2(음성) 정준교)</t>
  </si>
  <si>
    <t>BF 식물성 민스(4KG)</t>
  </si>
  <si>
    <t>4KG</t>
  </si>
  <si>
    <t>04382</t>
  </si>
  <si>
    <t>RTC</t>
  </si>
  <si>
    <t>음성(RTC) 바이어 (상품1(음성) 김기수)</t>
  </si>
  <si>
    <t>BF 식물성 베러 패티(1.264KG, 79G*16±2EA)</t>
  </si>
  <si>
    <t>1.264KG, 79G*16±2EA</t>
  </si>
  <si>
    <t>BF 유아왓유잇 식물성 너겟(1000G)</t>
  </si>
  <si>
    <t>1000G</t>
  </si>
  <si>
    <t>20240814</t>
  </si>
  <si>
    <t>20250809</t>
  </si>
  <si>
    <t>Z02</t>
  </si>
  <si>
    <t>Z44</t>
  </si>
  <si>
    <t>할당불가</t>
  </si>
  <si>
    <t>음성센터</t>
  </si>
  <si>
    <t>9C</t>
  </si>
  <si>
    <t>0004621326</t>
  </si>
  <si>
    <t>20240815</t>
  </si>
  <si>
    <t>9C-05-102</t>
  </si>
  <si>
    <t>20241217</t>
  </si>
  <si>
    <t>0004771270</t>
  </si>
  <si>
    <t>20241211</t>
  </si>
  <si>
    <t>20251206</t>
  </si>
  <si>
    <t>9C-06-303</t>
  </si>
  <si>
    <t>0004621328</t>
  </si>
  <si>
    <t>9C-07-304</t>
  </si>
  <si>
    <t>0004621329</t>
  </si>
  <si>
    <t>9C-07-410</t>
  </si>
  <si>
    <t>0004621331</t>
  </si>
  <si>
    <t>9C-07-411</t>
  </si>
  <si>
    <t>0004621332</t>
  </si>
  <si>
    <t>9D</t>
  </si>
  <si>
    <t>BF 식물성 프리미엄 런천 슬라이스(1.08KG, 36G*30±2EA)</t>
  </si>
  <si>
    <t>1.08KG, 36G*30±2EA</t>
  </si>
  <si>
    <t>9D-06-304</t>
  </si>
  <si>
    <t>0004620072</t>
  </si>
  <si>
    <t>20250103</t>
  </si>
  <si>
    <t>코드</t>
    <phoneticPr fontId="2" type="noConversion"/>
  </si>
  <si>
    <t>월 출고량(ea)</t>
    <phoneticPr fontId="4" type="noConversion"/>
  </si>
  <si>
    <t>전월 출고량</t>
    <phoneticPr fontId="4" type="noConversion"/>
  </si>
  <si>
    <t>증감율</t>
    <phoneticPr fontId="4" type="noConversion"/>
  </si>
  <si>
    <t>비고</t>
    <phoneticPr fontId="4" type="noConversion"/>
  </si>
  <si>
    <t>품목</t>
    <phoneticPr fontId="2" type="noConversion"/>
  </si>
  <si>
    <t>0004784149</t>
  </si>
  <si>
    <t>20250102</t>
  </si>
  <si>
    <t>20251228</t>
  </si>
  <si>
    <t>너겟용 배터믹스NP 삼지에프에스</t>
  </si>
  <si>
    <t>식물성 라이스 베이스드 + CAP</t>
    <phoneticPr fontId="2" type="noConversion"/>
  </si>
  <si>
    <t>식물성 라이스 베이스드 BIB 10L + CAP</t>
    <phoneticPr fontId="2" type="noConversion"/>
  </si>
  <si>
    <t>대두유 탱크로리 비앤비코리아</t>
    <phoneticPr fontId="2" type="noConversion"/>
  </si>
  <si>
    <t>9D-07-112</t>
  </si>
  <si>
    <t>라이스베이스드 1L</t>
    <phoneticPr fontId="2" type="noConversion"/>
  </si>
  <si>
    <t>식물성 라이스 베이스드 + CAP</t>
  </si>
  <si>
    <t>라이스베이스드 BIB 10L</t>
    <phoneticPr fontId="2" type="noConversion"/>
  </si>
  <si>
    <t>식물성 라이스 베이스드 BIB 10L + CAP</t>
  </si>
  <si>
    <t>라이스베이스드 200mL</t>
    <phoneticPr fontId="2" type="noConversion"/>
  </si>
  <si>
    <t>당월일수</t>
    <phoneticPr fontId="2" type="noConversion"/>
  </si>
  <si>
    <t>식물성 런천 200G (SPC)</t>
    <phoneticPr fontId="2" type="noConversion"/>
  </si>
  <si>
    <t>식물성 런천 600G SPC 3입</t>
    <phoneticPr fontId="2" type="noConversion"/>
  </si>
  <si>
    <t>소진가능여부</t>
    <phoneticPr fontId="4" type="noConversion"/>
  </si>
  <si>
    <t>BF 제품 회전율 현황 (원부자재)</t>
    <phoneticPr fontId="4" type="noConversion"/>
  </si>
  <si>
    <t>프랑크 소시지 배합물</t>
    <phoneticPr fontId="2" type="noConversion"/>
  </si>
  <si>
    <t>J06</t>
  </si>
  <si>
    <t>매입물류운영전략41 (디지털서비스팀 차은주)</t>
  </si>
  <si>
    <t>1월 발주량</t>
    <phoneticPr fontId="2" type="noConversion"/>
  </si>
  <si>
    <t>발주자</t>
    <phoneticPr fontId="2" type="noConversion"/>
  </si>
  <si>
    <t>이종민p, 배영식p, 권미리p</t>
    <phoneticPr fontId="2" type="noConversion"/>
  </si>
  <si>
    <t>사용처</t>
    <phoneticPr fontId="2" type="noConversion"/>
  </si>
  <si>
    <t>1. 분체이송설비 시생산
2. 수출용 프리믹스 사용</t>
    <phoneticPr fontId="2" type="noConversion"/>
  </si>
  <si>
    <t>125kg</t>
    <phoneticPr fontId="2" type="noConversion"/>
  </si>
  <si>
    <t>코드</t>
    <phoneticPr fontId="2" type="noConversion"/>
  </si>
  <si>
    <t>품목명</t>
    <phoneticPr fontId="2" type="noConversion"/>
  </si>
  <si>
    <t>조남욱 CP</t>
    <phoneticPr fontId="2" type="noConversion"/>
  </si>
  <si>
    <t>1. 콘도그 등 다른 시생산</t>
    <phoneticPr fontId="2" type="noConversion"/>
  </si>
  <si>
    <t>25kg</t>
    <phoneticPr fontId="2" type="noConversion"/>
  </si>
  <si>
    <t>입고 일정</t>
    <phoneticPr fontId="2" type="noConversion"/>
  </si>
  <si>
    <t>25kg (2/24)</t>
    <phoneticPr fontId="2" type="noConversion"/>
  </si>
  <si>
    <t>C05</t>
  </si>
  <si>
    <t>C05-0801</t>
  </si>
  <si>
    <t>정제수</t>
    <phoneticPr fontId="2" type="noConversion"/>
  </si>
  <si>
    <t>정제소금</t>
    <phoneticPr fontId="2" type="noConversion"/>
  </si>
  <si>
    <t>유화제[글리세린지방산에스테르]</t>
    <phoneticPr fontId="2" type="noConversion"/>
  </si>
  <si>
    <t>TVP</t>
    <phoneticPr fontId="2" type="noConversion"/>
  </si>
  <si>
    <t>BF M POWDER</t>
    <phoneticPr fontId="2" type="noConversion"/>
  </si>
  <si>
    <t>CUSTOMS ENTRY FEE</t>
    <phoneticPr fontId="2" type="noConversion"/>
  </si>
  <si>
    <t>CUSTOMS DUTY</t>
    <phoneticPr fontId="2" type="noConversion"/>
  </si>
  <si>
    <t>MPF/HMF/OTHER CBP FEES</t>
    <phoneticPr fontId="2" type="noConversion"/>
  </si>
  <si>
    <t>FDA ENTRY</t>
    <phoneticPr fontId="2" type="noConversion"/>
  </si>
  <si>
    <t>단위 : USD</t>
    <phoneticPr fontId="2" type="noConversion"/>
  </si>
  <si>
    <t>구분</t>
    <phoneticPr fontId="2" type="noConversion"/>
  </si>
  <si>
    <t>합계</t>
    <phoneticPr fontId="2" type="noConversion"/>
  </si>
  <si>
    <t>②</t>
    <phoneticPr fontId="2" type="noConversion"/>
  </si>
  <si>
    <t>①</t>
    <phoneticPr fontId="2" type="noConversion"/>
  </si>
  <si>
    <t>월별 출고량(2025)</t>
    <phoneticPr fontId="4" type="noConversion"/>
  </si>
  <si>
    <t>BF M POWDER</t>
  </si>
  <si>
    <t>BF M POWDER</t>
    <phoneticPr fontId="2" type="noConversion"/>
  </si>
  <si>
    <t>프랑크 소시지 배합물</t>
  </si>
  <si>
    <t>라이스베이스드 사용량</t>
    <phoneticPr fontId="2" type="noConversion"/>
  </si>
  <si>
    <t>사용량(ea)</t>
    <phoneticPr fontId="2" type="noConversion"/>
  </si>
  <si>
    <t>크로와상</t>
    <phoneticPr fontId="2" type="noConversion"/>
  </si>
  <si>
    <t>바게트</t>
    <phoneticPr fontId="2" type="noConversion"/>
  </si>
  <si>
    <t>kg</t>
    <phoneticPr fontId="2" type="noConversion"/>
  </si>
  <si>
    <t>kg</t>
    <phoneticPr fontId="2" type="noConversion"/>
  </si>
  <si>
    <t>라이스베이스드 사용량 (kg)</t>
    <phoneticPr fontId="2" type="noConversion"/>
  </si>
  <si>
    <t>YWE 식물성 체다향 치즈 슬라이스 세트(3개)</t>
  </si>
  <si>
    <t>YWE 식물성 체다향 치즈 슬라이스 세트(5개)</t>
  </si>
  <si>
    <t>YWE 식물성 라이스 베이스드 1L 세트(2개)</t>
  </si>
  <si>
    <t>YWE 식물성 라이스 베이스드 1L 세트(3개)</t>
  </si>
  <si>
    <t>YWE 식물성 라이스 베이스드 1L (2개)+프로틴 딜라이트 2종 세트</t>
  </si>
  <si>
    <t>YWE 식물성 라이스 베이스드 1L (3개)+프로틴 딜라이트 2종 세트</t>
  </si>
  <si>
    <t>YWE 라이스베이스드3개+켈로그다크초코3봉+카라멜피칸3봉</t>
  </si>
  <si>
    <t>식물성 런천(캔) 200g*3</t>
  </si>
  <si>
    <t>식물성 런천(캔) 200g*4</t>
  </si>
  <si>
    <t>식물성 런천(캔) 200g*5</t>
  </si>
  <si>
    <t>식물성 런천(캔) 200g*6</t>
  </si>
  <si>
    <t>식물성 런천(캔) 리뉴얼 6개 세트</t>
  </si>
  <si>
    <t>316183,</t>
    <phoneticPr fontId="2" type="noConversion"/>
  </si>
  <si>
    <t>316184,</t>
    <phoneticPr fontId="2" type="noConversion"/>
  </si>
  <si>
    <t>323306,</t>
    <phoneticPr fontId="2" type="noConversion"/>
  </si>
  <si>
    <t>336755,</t>
    <phoneticPr fontId="2" type="noConversion"/>
  </si>
  <si>
    <t>316185,</t>
    <phoneticPr fontId="2" type="noConversion"/>
  </si>
  <si>
    <t>332199,</t>
    <phoneticPr fontId="2" type="noConversion"/>
  </si>
  <si>
    <t>325621,</t>
    <phoneticPr fontId="2" type="noConversion"/>
  </si>
  <si>
    <t>332583,</t>
    <phoneticPr fontId="2" type="noConversion"/>
  </si>
  <si>
    <t>333168,</t>
    <phoneticPr fontId="2" type="noConversion"/>
  </si>
  <si>
    <t>333194,</t>
    <phoneticPr fontId="2" type="noConversion"/>
  </si>
  <si>
    <t>333078,</t>
    <phoneticPr fontId="2" type="noConversion"/>
  </si>
  <si>
    <t>334127,</t>
    <phoneticPr fontId="2" type="noConversion"/>
  </si>
  <si>
    <t>334128,</t>
    <phoneticPr fontId="2" type="noConversion"/>
  </si>
  <si>
    <t>월말 재고량(2025)</t>
    <phoneticPr fontId="4" type="noConversion"/>
  </si>
  <si>
    <t>월 회전율 (2024)</t>
    <phoneticPr fontId="4" type="noConversion"/>
  </si>
  <si>
    <t>월 회전율 (2025)</t>
    <phoneticPr fontId="4" type="noConversion"/>
  </si>
  <si>
    <t>1월</t>
    <phoneticPr fontId="2" type="noConversion"/>
  </si>
  <si>
    <t>2월</t>
    <phoneticPr fontId="2" type="noConversion"/>
  </si>
  <si>
    <t>2월 발주량</t>
    <phoneticPr fontId="2" type="noConversion"/>
  </si>
  <si>
    <t>BF M POWDER</t>
    <phoneticPr fontId="2" type="noConversion"/>
  </si>
  <si>
    <t>반제품</t>
    <phoneticPr fontId="2" type="noConversion"/>
  </si>
  <si>
    <t>0004817321</t>
  </si>
  <si>
    <t>20250219</t>
  </si>
  <si>
    <t>20250207</t>
  </si>
  <si>
    <t>20250806</t>
  </si>
  <si>
    <t>J06-0802</t>
  </si>
  <si>
    <t>J06-1102</t>
  </si>
  <si>
    <t>J06-1103</t>
  </si>
  <si>
    <t>J06-1203</t>
  </si>
  <si>
    <t>J06-2502</t>
  </si>
  <si>
    <t>J06-2602</t>
  </si>
  <si>
    <t>J06-2802</t>
  </si>
  <si>
    <t>J06-3203</t>
  </si>
  <si>
    <t>J07</t>
  </si>
  <si>
    <t>J07-1402</t>
  </si>
  <si>
    <t>J07-1502</t>
  </si>
  <si>
    <t>J07-1803</t>
  </si>
  <si>
    <t>음성(CK) 바이어 (상품3(음성) 진주영)</t>
  </si>
  <si>
    <t>H05-1701</t>
  </si>
  <si>
    <t>320844</t>
  </si>
  <si>
    <t>염화칼륨 미화</t>
  </si>
  <si>
    <t>잔탄검 다인소재</t>
  </si>
  <si>
    <t>젖산칼슘 주피터인터내셔널</t>
  </si>
  <si>
    <t>콜드컷 볼로냐 전용케이싱</t>
    <phoneticPr fontId="2" type="noConversion"/>
  </si>
  <si>
    <t xml:space="preserve"> </t>
    <phoneticPr fontId="2" type="noConversion"/>
  </si>
  <si>
    <t>0.45kg</t>
  </si>
  <si>
    <t>20250320</t>
  </si>
  <si>
    <t>0004837656</t>
  </si>
  <si>
    <t>20250318</t>
  </si>
  <si>
    <t>20260317</t>
  </si>
  <si>
    <t>20250322</t>
  </si>
  <si>
    <t>9D-02-105</t>
  </si>
  <si>
    <t>0004838619</t>
  </si>
  <si>
    <t>20250321</t>
  </si>
  <si>
    <t>20260316</t>
  </si>
  <si>
    <t>20250916</t>
  </si>
  <si>
    <t>9D-02-106</t>
  </si>
  <si>
    <t>20260313</t>
  </si>
  <si>
    <t>9D-08-301</t>
  </si>
  <si>
    <t>0004839292</t>
  </si>
  <si>
    <t>H08</t>
  </si>
  <si>
    <t>H08-3602</t>
  </si>
  <si>
    <t>FVBS1(25kg)</t>
    <phoneticPr fontId="2" type="noConversion"/>
  </si>
  <si>
    <t>플레이버 BM S-01(25kg)</t>
    <phoneticPr fontId="2" type="noConversion"/>
  </si>
  <si>
    <t>YWE)식물성 프리미엄 런천 슬라이스 스티커</t>
    <phoneticPr fontId="2" type="noConversion"/>
  </si>
  <si>
    <t>YWE)식물성 너겟 스티커</t>
    <phoneticPr fontId="2" type="noConversion"/>
  </si>
  <si>
    <t>C01-0101</t>
  </si>
  <si>
    <t>0004842817</t>
  </si>
  <si>
    <t>112</t>
  </si>
  <si>
    <t>가공바이어12 (가공2팀 윤소은)</t>
  </si>
  <si>
    <t>베러미트 식물성 미트볼</t>
    <phoneticPr fontId="2" type="noConversion"/>
  </si>
  <si>
    <t>338002,</t>
    <phoneticPr fontId="2" type="noConversion"/>
  </si>
  <si>
    <t>없음</t>
    <phoneticPr fontId="2" type="noConversion"/>
  </si>
  <si>
    <t>식물성 라이스 베이스드 BIB 10L</t>
    <phoneticPr fontId="2" type="noConversion"/>
  </si>
  <si>
    <t>20250410</t>
  </si>
  <si>
    <t>유아왓유잇 식물성 순대 (단산)</t>
    <phoneticPr fontId="2" type="noConversion"/>
  </si>
  <si>
    <t>YWE 식물성 체다향 치즈 슬라이스 (단산)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</si>
  <si>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</si>
  <si>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</si>
  <si>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</si>
  <si>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식품유통</t>
    <phoneticPr fontId="2" type="noConversion"/>
  </si>
  <si>
    <t>키즈학교</t>
    <phoneticPr fontId="2" type="noConversion"/>
  </si>
  <si>
    <t>샌드위치</t>
    <phoneticPr fontId="2" type="noConversion"/>
  </si>
  <si>
    <t>F&amp;B</t>
    <phoneticPr fontId="2" type="noConversion"/>
  </si>
  <si>
    <t>부문</t>
    <phoneticPr fontId="2" type="noConversion"/>
  </si>
  <si>
    <t>사업장</t>
    <phoneticPr fontId="2" type="noConversion"/>
  </si>
  <si>
    <t>기타</t>
    <phoneticPr fontId="2" type="noConversion"/>
  </si>
  <si>
    <t>월평균</t>
    <phoneticPr fontId="2" type="noConversion"/>
  </si>
  <si>
    <t>합계</t>
    <phoneticPr fontId="2" type="noConversion"/>
  </si>
  <si>
    <t>생산량</t>
    <phoneticPr fontId="2" type="noConversion"/>
  </si>
  <si>
    <t>회전월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</si>
  <si>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</si>
  <si>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</si>
  <si>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</si>
  <si>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</si>
  <si>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</si>
  <si>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</si>
  <si>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■소시지패티 단산 검토</t>
    <phoneticPr fontId="2" type="noConversion"/>
  </si>
  <si>
    <t>월별 발주량 (24.7월~12월)</t>
    <phoneticPr fontId="2" type="noConversion"/>
  </si>
  <si>
    <t>월별 발주량 (25.1월~3월)</t>
    <phoneticPr fontId="2" type="noConversion"/>
  </si>
  <si>
    <t>MOQ 생산시 회전월</t>
    <phoneticPr fontId="2" type="noConversion"/>
  </si>
  <si>
    <t>9C-06-111</t>
  </si>
  <si>
    <t>0004852692</t>
  </si>
  <si>
    <t>20260405</t>
  </si>
  <si>
    <t>9C-07-112</t>
  </si>
  <si>
    <t>9C-07-114</t>
  </si>
  <si>
    <t>A01</t>
  </si>
  <si>
    <t>0004853139</t>
  </si>
  <si>
    <t>20250411</t>
  </si>
  <si>
    <t>20251220</t>
  </si>
  <si>
    <t>A01-2503</t>
  </si>
  <si>
    <t>A01-2603</t>
  </si>
  <si>
    <t>A01-2702</t>
  </si>
  <si>
    <t>A01-2703</t>
  </si>
  <si>
    <t>A01-2802</t>
  </si>
  <si>
    <t>A01-2803</t>
  </si>
  <si>
    <t>A01-2902</t>
  </si>
  <si>
    <t>A01-2903</t>
  </si>
  <si>
    <t>X</t>
  </si>
  <si>
    <t>C</t>
  </si>
  <si>
    <t>20250418</t>
  </si>
  <si>
    <t>유아왓유잇 식물성 순대 (리뉴얼?)</t>
    <phoneticPr fontId="2" type="noConversion"/>
  </si>
  <si>
    <t>베러미트 식물성 프리미엄 런천 슬라이스</t>
    <phoneticPr fontId="2" type="noConversion"/>
  </si>
  <si>
    <t>20250910</t>
  </si>
  <si>
    <t>20260302</t>
  </si>
  <si>
    <t>식물성 라이스 베이스드 200mL (낱개)</t>
    <phoneticPr fontId="2" type="noConversion"/>
  </si>
  <si>
    <t>식물성 라이스 베이스드 200mL</t>
    <phoneticPr fontId="2" type="noConversion"/>
  </si>
  <si>
    <t>0004858261</t>
  </si>
  <si>
    <t>20250414</t>
  </si>
  <si>
    <t>20260110</t>
  </si>
  <si>
    <t>9C-06-107</t>
  </si>
  <si>
    <t>웰스토리 대량 발주</t>
    <phoneticPr fontId="2" type="noConversion"/>
  </si>
  <si>
    <t>리치 휘핑크림 서강유업</t>
  </si>
  <si>
    <t>리치 휘핑크림 서강유업</t>
    <phoneticPr fontId="2" type="noConversion"/>
  </si>
  <si>
    <t>리치 휘핑크림 서강유업 1L</t>
    <phoneticPr fontId="2" type="noConversion"/>
  </si>
  <si>
    <t>310902,</t>
    <phoneticPr fontId="2" type="noConversion"/>
  </si>
  <si>
    <t>리치 휘핑크림 서강유업</t>
    <phoneticPr fontId="2" type="noConversion"/>
  </si>
  <si>
    <t>바게트 용기 리드필름 (순댇)</t>
    <phoneticPr fontId="2" type="noConversion"/>
  </si>
  <si>
    <t>J06-2601</t>
  </si>
  <si>
    <t>리치 휘핑크림 서강유업(1L)</t>
  </si>
  <si>
    <t>0004866938</t>
  </si>
  <si>
    <t>20250430</t>
  </si>
  <si>
    <t>20251022</t>
  </si>
  <si>
    <t>K04</t>
  </si>
  <si>
    <t>K04-2203</t>
  </si>
  <si>
    <t>K04-2503</t>
  </si>
  <si>
    <t>K04-2603</t>
  </si>
  <si>
    <t>K04-2704</t>
  </si>
  <si>
    <t>Z44-4444</t>
  </si>
  <si>
    <t>(DC냉동)유안귀책</t>
  </si>
  <si>
    <t>HME TVP OJAH 7.5kg</t>
    <phoneticPr fontId="2" type="noConversion"/>
  </si>
  <si>
    <t>20250805</t>
  </si>
  <si>
    <t>20250225</t>
  </si>
  <si>
    <t>20260211</t>
  </si>
  <si>
    <t>20260722</t>
  </si>
  <si>
    <t>20250812</t>
  </si>
  <si>
    <t>20241225</t>
  </si>
  <si>
    <t>20250828</t>
  </si>
  <si>
    <t>20250920</t>
  </si>
  <si>
    <t>20251227</t>
  </si>
  <si>
    <t>20250422</t>
  </si>
  <si>
    <t>20251007</t>
  </si>
  <si>
    <t>20250326</t>
  </si>
  <si>
    <t>20260303</t>
  </si>
  <si>
    <t>20250507</t>
  </si>
  <si>
    <t>20250723</t>
  </si>
  <si>
    <t>20250509</t>
  </si>
  <si>
    <t>20250505</t>
  </si>
  <si>
    <t>20260322</t>
  </si>
  <si>
    <t>20251122</t>
  </si>
  <si>
    <t>20250917</t>
  </si>
  <si>
    <t>20250629</t>
  </si>
  <si>
    <t>20251214</t>
  </si>
  <si>
    <t>20250726</t>
  </si>
  <si>
    <t>20260227</t>
  </si>
  <si>
    <t>베러미트 유아왓유잇 식물성 숯불직화 갈비구이</t>
    <phoneticPr fontId="2" type="noConversion"/>
  </si>
  <si>
    <t>유아왓유잇 식물성 민스 수출용 (단산)</t>
    <phoneticPr fontId="2" type="noConversion"/>
  </si>
  <si>
    <t>유아왓유잇 식물성 베러패티 수출용 (단산)</t>
    <phoneticPr fontId="2" type="noConversion"/>
  </si>
  <si>
    <t>베러미트 식물성 소시지패티 (단산)</t>
    <phoneticPr fontId="2" type="noConversion"/>
  </si>
  <si>
    <t>C03</t>
  </si>
  <si>
    <t>C03-0603</t>
  </si>
  <si>
    <t>0004872903</t>
  </si>
  <si>
    <t>20250428</t>
  </si>
  <si>
    <t>20260127</t>
  </si>
  <si>
    <t>20250912</t>
  </si>
  <si>
    <t>20260113</t>
  </si>
  <si>
    <t>C03-0802</t>
  </si>
  <si>
    <t>C03-1604</t>
  </si>
  <si>
    <t>C03-2304</t>
  </si>
  <si>
    <t>C03-2904</t>
  </si>
  <si>
    <t>C03-4202</t>
  </si>
  <si>
    <t>C03-4404</t>
  </si>
  <si>
    <t>C03-4802</t>
  </si>
  <si>
    <t>C04</t>
  </si>
  <si>
    <t>C04-0103</t>
  </si>
  <si>
    <t>C04-0504</t>
  </si>
  <si>
    <t>C04-3502</t>
  </si>
  <si>
    <t>C05-3202</t>
  </si>
  <si>
    <t>C05-3504</t>
  </si>
  <si>
    <t>C05-3603</t>
  </si>
  <si>
    <t>C05-4404</t>
  </si>
  <si>
    <t>C05-4502</t>
  </si>
  <si>
    <t>C05-4704</t>
  </si>
  <si>
    <t>22</t>
  </si>
  <si>
    <t>L06</t>
  </si>
  <si>
    <t>L06-1803</t>
  </si>
  <si>
    <t>0004872800</t>
  </si>
  <si>
    <t>20260131</t>
  </si>
  <si>
    <t>20260117</t>
  </si>
  <si>
    <t>분말</t>
  </si>
  <si>
    <t>BF M 파우더</t>
  </si>
  <si>
    <t>BM B베이스 N</t>
  </si>
  <si>
    <t>BF 프랑크소시지 배합물</t>
  </si>
  <si>
    <t>BF 프리미엄 런천 S-베이스</t>
  </si>
  <si>
    <t>BF 식물성 민스</t>
  </si>
  <si>
    <t>BF 식물성 그릴 소시지 배합물</t>
  </si>
  <si>
    <t>BF 유아왓유잇 식물성 민스</t>
  </si>
  <si>
    <t>BF 식물성 미트볼 S-믹스</t>
  </si>
  <si>
    <t>Kg</t>
  </si>
  <si>
    <t>BF 식물성 소시지패티 S-믹스</t>
  </si>
  <si>
    <t>BF 식물성 프리미엄 런천 슬라이스 S-믹스</t>
  </si>
  <si>
    <t>BF 식물성 베러 패티 S-믹스</t>
  </si>
  <si>
    <t>O</t>
    <phoneticPr fontId="2" type="noConversion"/>
  </si>
  <si>
    <t>61</t>
  </si>
  <si>
    <t>20250516</t>
  </si>
  <si>
    <t>93</t>
  </si>
  <si>
    <t>H06-3402</t>
  </si>
  <si>
    <t>0004877859</t>
  </si>
  <si>
    <t>20250512</t>
  </si>
  <si>
    <t>20260207</t>
  </si>
  <si>
    <t>20250923</t>
  </si>
  <si>
    <t>20260124</t>
  </si>
  <si>
    <t>H06-4302</t>
  </si>
  <si>
    <t>Y88-8888</t>
  </si>
  <si>
    <t>(일반DC)로스/유안귀책</t>
  </si>
  <si>
    <t>83</t>
  </si>
  <si>
    <t>B2B</t>
    <phoneticPr fontId="2" type="noConversion"/>
  </si>
  <si>
    <t>베이커리</t>
    <phoneticPr fontId="2" type="noConversion"/>
  </si>
  <si>
    <t>단산 예정</t>
    <phoneticPr fontId="2" type="noConversion"/>
  </si>
  <si>
    <t>신제품</t>
    <phoneticPr fontId="2" type="noConversion"/>
  </si>
  <si>
    <t>세부채널</t>
    <phoneticPr fontId="2" type="noConversion"/>
  </si>
  <si>
    <t>주 사용처</t>
    <phoneticPr fontId="4" type="noConversion"/>
  </si>
  <si>
    <t>F&amp;B, B2B</t>
    <phoneticPr fontId="2" type="noConversion"/>
  </si>
  <si>
    <t>B2B, F&amp;B</t>
    <phoneticPr fontId="2" type="noConversion"/>
  </si>
  <si>
    <t>현대그린푸드
학교급식</t>
    <phoneticPr fontId="2" type="noConversion"/>
  </si>
  <si>
    <t>수출</t>
    <phoneticPr fontId="2" type="noConversion"/>
  </si>
  <si>
    <t>온라인</t>
    <phoneticPr fontId="2" type="noConversion"/>
  </si>
  <si>
    <t>FC</t>
    <phoneticPr fontId="2" type="noConversion"/>
  </si>
  <si>
    <t>B2B</t>
    <phoneticPr fontId="2" type="noConversion"/>
  </si>
  <si>
    <t>F&amp;B</t>
    <phoneticPr fontId="2" type="noConversion"/>
  </si>
  <si>
    <t>베이커리</t>
    <phoneticPr fontId="2" type="noConversion"/>
  </si>
  <si>
    <t>FC</t>
    <phoneticPr fontId="2" type="noConversion"/>
  </si>
  <si>
    <t>운영여부 (O,X)</t>
    <phoneticPr fontId="2" type="noConversion"/>
  </si>
  <si>
    <t>X</t>
    <phoneticPr fontId="2" type="noConversion"/>
  </si>
  <si>
    <t>O</t>
    <phoneticPr fontId="2" type="noConversion"/>
  </si>
  <si>
    <t>△</t>
    <phoneticPr fontId="2" type="noConversion"/>
  </si>
  <si>
    <t>없음</t>
  </si>
  <si>
    <t>없음</t>
    <phoneticPr fontId="2" type="noConversion"/>
  </si>
  <si>
    <t>식물성 라이스 베이스드</t>
    <phoneticPr fontId="2" type="noConversion"/>
  </si>
  <si>
    <t>78</t>
  </si>
  <si>
    <t>38</t>
  </si>
  <si>
    <t>92</t>
  </si>
  <si>
    <t>23</t>
  </si>
  <si>
    <t>21</t>
  </si>
  <si>
    <t>96</t>
  </si>
  <si>
    <t>42</t>
  </si>
  <si>
    <t>35</t>
  </si>
  <si>
    <t>82</t>
  </si>
  <si>
    <t>86</t>
  </si>
  <si>
    <t>55</t>
  </si>
  <si>
    <t>추가생산</t>
    <phoneticPr fontId="4" type="noConversion"/>
  </si>
  <si>
    <t>현재고</t>
    <phoneticPr fontId="4" type="noConversion"/>
  </si>
  <si>
    <t>총재고</t>
    <phoneticPr fontId="4" type="noConversion"/>
  </si>
  <si>
    <t>X</t>
    <phoneticPr fontId="2" type="noConversion"/>
  </si>
  <si>
    <t>지속 운영</t>
    <phoneticPr fontId="2" type="noConversion"/>
  </si>
  <si>
    <t xml:space="preserve"> 재고 소진 후 단산</t>
    <phoneticPr fontId="2" type="noConversion"/>
  </si>
  <si>
    <t>60</t>
  </si>
  <si>
    <t>0004881304</t>
  </si>
  <si>
    <t>20250523</t>
  </si>
  <si>
    <t>88</t>
  </si>
  <si>
    <t>0004881306</t>
  </si>
  <si>
    <t>0004881305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</si>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</sst>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-* #,##0_-;\-* #,##0_-;_-* &quot;-&quot;_-;_-@_-"/>
    <numFmt numFmtId="43" formatCode="_-* #,##0.00_-;\-* #,##0.00_-;_-* &quot;-&quot;??_-;_-@_-"/>
    <numFmt numFmtId="176" formatCode="#,##0&quot;개월&quot;"/>
    <numFmt numFmtId="177" formatCode="_-* #,##0.00_-;\-* #,##0.00_-;_-* &quot;-&quot;_-;_-@_-"/>
    <numFmt numFmtId="178" formatCode="General&quot;kg&quot;"/>
    <numFmt numFmtId="179" formatCode="General&quot;월&quot;"/>
    <numFmt numFmtId="180" formatCode="0.0&quot;개월&quot;"/>
    <numFmt numFmtId="181" formatCode="_-* #,##0.0_-;\-* #,##0.0_-;_-* &quot;-&quot;_-;_-@_-"/>
    <numFmt numFmtId="182" formatCode="0_);\(0\)"/>
    <numFmt numFmtId="183" formatCode="#,##0\ ;[Red]&quot;△&quot;#,##0\ ;&quot;-&quot;\ "/>
    <numFmt numFmtId="184" formatCode="General&quot;일&quot;"/>
    <numFmt numFmtId="185" formatCode="0.000"/>
    <numFmt numFmtId="186" formatCode="0.000%"/>
    <numFmt numFmtId="187" formatCode="0.0000%"/>
    <numFmt numFmtId="188" formatCode="0.000000%"/>
    <numFmt numFmtId="189" formatCode="_-* #,##0.000_-;\-* #,##0.000_-;_-* &quot;-&quot;??_-;_-@_-"/>
    <numFmt numFmtId="190" formatCode="_-* #,##0.0_-;\-* #,##0.0_-;_-* &quot;-&quot;?_-;_-@_-"/>
    <numFmt numFmtId="191" formatCode="0.0"/>
    <numFmt numFmtId="192" formatCode="General&quot;개월&quot;"/>
    <numFmt numFmtId="193" formatCode="General&quot;ea&quot;"/>
    <numFmt numFmtId="194" formatCode="0.0%"/>
  </numFmts>
  <fonts count="6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b/>
      <sz val="9"/>
      <color indexed="8"/>
      <name val="맑은 고딕"/>
      <family val="2"/>
      <scheme val="minor"/>
    </font>
    <font>
      <sz val="9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indexed="8"/>
      <name val="맑은 고딕"/>
      <family val="2"/>
      <scheme val="major"/>
    </font>
    <font>
      <sz val="9"/>
      <color indexed="8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Arial Unicode MS"/>
      <family val="2"/>
      <charset val="129"/>
    </font>
    <font>
      <sz val="10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i/>
      <sz val="10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에브리데이고딕 R"/>
      <family val="1"/>
      <charset val="129"/>
    </font>
  </fonts>
  <fills count="4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2" tint="-0.249977111117893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 style="thin">
        <color theme="0" tint="-0.34998626667073579"/>
      </right>
      <top style="thin">
        <color theme="0" tint="-0.34998626667073579"/>
      </top>
      <bottom style="medium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2" tint="-0.249977111117893"/>
      </left>
      <right style="thin">
        <color theme="0" tint="-0.34998626667073579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6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7" borderId="13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8" borderId="1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" fillId="9" borderId="1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9" fillId="0" borderId="0"/>
    <xf numFmtId="9" fontId="1" fillId="0" borderId="0" applyFont="0" applyFill="0" applyBorder="0" applyAlignment="0" applyProtection="0">
      <alignment vertical="center"/>
    </xf>
    <xf numFmtId="0" fontId="44" fillId="0" borderId="0"/>
    <xf numFmtId="41" fontId="1" fillId="0" borderId="0" applyFont="0" applyFill="0" applyBorder="0" applyAlignment="0" applyProtection="0">
      <alignment vertical="center"/>
    </xf>
    <xf numFmtId="0" fontId="55" fillId="0" borderId="0"/>
    <xf numFmtId="41" fontId="55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39" fillId="0" borderId="0"/>
    <xf numFmtId="41" fontId="3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1" fontId="5" fillId="0" borderId="0" xfId="1" applyFont="1" applyFill="1" applyBorder="1">
      <alignment vertical="center"/>
    </xf>
    <xf numFmtId="41" fontId="6" fillId="0" borderId="0" xfId="1" applyFont="1" applyFill="1" applyBorder="1">
      <alignment vertical="center"/>
    </xf>
    <xf numFmtId="176" fontId="6" fillId="0" borderId="3" xfId="1" applyNumberFormat="1" applyFont="1" applyFill="1" applyBorder="1">
      <alignment vertical="center"/>
    </xf>
    <xf numFmtId="41" fontId="5" fillId="0" borderId="2" xfId="1" applyFont="1" applyFill="1" applyBorder="1">
      <alignment vertical="center"/>
    </xf>
    <xf numFmtId="41" fontId="5" fillId="0" borderId="3" xfId="1" applyFont="1" applyFill="1" applyBorder="1">
      <alignment vertical="center"/>
    </xf>
    <xf numFmtId="41" fontId="5" fillId="0" borderId="0" xfId="1" applyFont="1" applyFill="1" applyBorder="1" applyAlignment="1">
      <alignment horizontal="left" vertical="center"/>
    </xf>
    <xf numFmtId="41" fontId="5" fillId="0" borderId="2" xfId="1" applyFont="1" applyFill="1" applyBorder="1" applyAlignment="1">
      <alignment horizontal="left" vertical="center"/>
    </xf>
    <xf numFmtId="0" fontId="8" fillId="0" borderId="0" xfId="0" applyFont="1">
      <alignment vertical="center"/>
    </xf>
    <xf numFmtId="41" fontId="8" fillId="0" borderId="0" xfId="1" applyFont="1">
      <alignment vertical="center"/>
    </xf>
    <xf numFmtId="13" fontId="8" fillId="0" borderId="0" xfId="1" quotePrefix="1" applyNumberFormat="1" applyFont="1">
      <alignment vertical="center"/>
    </xf>
    <xf numFmtId="177" fontId="9" fillId="0" borderId="0" xfId="1" applyNumberFormat="1" applyFont="1" applyFill="1" applyBorder="1" applyAlignment="1">
      <alignment horizontal="centerContinuous" vertical="center"/>
    </xf>
    <xf numFmtId="176" fontId="9" fillId="0" borderId="3" xfId="1" applyNumberFormat="1" applyFont="1" applyFill="1" applyBorder="1" applyAlignment="1">
      <alignment horizontal="centerContinuous" vertical="center"/>
    </xf>
    <xf numFmtId="41" fontId="12" fillId="0" borderId="2" xfId="1" applyFont="1" applyFill="1" applyBorder="1" applyAlignment="1">
      <alignment vertical="center"/>
    </xf>
    <xf numFmtId="41" fontId="12" fillId="0" borderId="0" xfId="1" applyFont="1" applyFill="1" applyBorder="1" applyAlignment="1">
      <alignment vertical="center"/>
    </xf>
    <xf numFmtId="41" fontId="10" fillId="0" borderId="0" xfId="1" applyFont="1" applyFill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41" fontId="5" fillId="0" borderId="4" xfId="1" applyFont="1" applyFill="1" applyBorder="1" applyAlignment="1">
      <alignment horizontal="left" vertical="center"/>
    </xf>
    <xf numFmtId="41" fontId="5" fillId="0" borderId="4" xfId="1" applyFont="1" applyBorder="1" applyAlignment="1">
      <alignment horizontal="left" vertical="center"/>
    </xf>
    <xf numFmtId="0" fontId="14" fillId="0" borderId="0" xfId="0" applyFont="1">
      <alignment vertical="center"/>
    </xf>
    <xf numFmtId="41" fontId="14" fillId="0" borderId="0" xfId="1" applyFont="1">
      <alignment vertical="center"/>
    </xf>
    <xf numFmtId="41" fontId="14" fillId="0" borderId="0" xfId="1" applyFont="1" applyBorder="1">
      <alignment vertical="center"/>
    </xf>
    <xf numFmtId="176" fontId="14" fillId="0" borderId="3" xfId="1" applyNumberFormat="1" applyFont="1" applyBorder="1">
      <alignment vertical="center"/>
    </xf>
    <xf numFmtId="41" fontId="14" fillId="0" borderId="2" xfId="1" applyFont="1" applyBorder="1">
      <alignment vertical="center"/>
    </xf>
    <xf numFmtId="41" fontId="14" fillId="0" borderId="2" xfId="1" applyFont="1" applyFill="1" applyBorder="1">
      <alignment vertical="center"/>
    </xf>
    <xf numFmtId="41" fontId="14" fillId="0" borderId="0" xfId="1" applyFont="1" applyFill="1" applyBorder="1">
      <alignment vertical="center"/>
    </xf>
    <xf numFmtId="41" fontId="14" fillId="0" borderId="3" xfId="1" applyFont="1" applyFill="1" applyBorder="1">
      <alignment vertical="center"/>
    </xf>
    <xf numFmtId="178" fontId="14" fillId="0" borderId="0" xfId="0" applyNumberFormat="1" applyFont="1">
      <alignment vertical="center"/>
    </xf>
    <xf numFmtId="178" fontId="0" fillId="0" borderId="0" xfId="0" applyNumberFormat="1">
      <alignment vertical="center"/>
    </xf>
    <xf numFmtId="179" fontId="5" fillId="0" borderId="4" xfId="1" applyNumberFormat="1" applyFont="1" applyFill="1" applyBorder="1" applyAlignment="1">
      <alignment horizontal="center" vertical="center"/>
    </xf>
    <xf numFmtId="176" fontId="13" fillId="0" borderId="6" xfId="1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1" fontId="7" fillId="0" borderId="2" xfId="1" applyFont="1" applyFill="1" applyBorder="1">
      <alignment vertical="center"/>
    </xf>
    <xf numFmtId="41" fontId="15" fillId="0" borderId="2" xfId="1" applyFont="1" applyFill="1" applyBorder="1">
      <alignment vertical="center"/>
    </xf>
    <xf numFmtId="0" fontId="13" fillId="0" borderId="5" xfId="0" applyFont="1" applyBorder="1" applyAlignment="1">
      <alignment horizontal="center" vertical="center"/>
    </xf>
    <xf numFmtId="0" fontId="14" fillId="2" borderId="0" xfId="0" applyFont="1" applyFill="1">
      <alignment vertical="center"/>
    </xf>
    <xf numFmtId="41" fontId="14" fillId="2" borderId="0" xfId="1" applyFont="1" applyFill="1">
      <alignment vertical="center"/>
    </xf>
    <xf numFmtId="41" fontId="5" fillId="2" borderId="2" xfId="1" applyFont="1" applyFill="1" applyBorder="1">
      <alignment vertical="center"/>
    </xf>
    <xf numFmtId="41" fontId="14" fillId="2" borderId="2" xfId="1" applyFont="1" applyFill="1" applyBorder="1">
      <alignment vertical="center"/>
    </xf>
    <xf numFmtId="41" fontId="14" fillId="2" borderId="0" xfId="1" applyFont="1" applyFill="1" applyBorder="1">
      <alignment vertical="center"/>
    </xf>
    <xf numFmtId="41" fontId="14" fillId="2" borderId="3" xfId="1" applyFont="1" applyFill="1" applyBorder="1">
      <alignment vertical="center"/>
    </xf>
    <xf numFmtId="14" fontId="5" fillId="0" borderId="0" xfId="0" applyNumberFormat="1" applyFont="1">
      <alignment vertical="center"/>
    </xf>
    <xf numFmtId="14" fontId="8" fillId="0" borderId="0" xfId="0" applyNumberFormat="1" applyFont="1">
      <alignment vertical="center"/>
    </xf>
    <xf numFmtId="41" fontId="14" fillId="0" borderId="2" xfId="1" applyFont="1" applyBorder="1" applyAlignment="1">
      <alignment horizontal="center" vertical="center"/>
    </xf>
    <xf numFmtId="41" fontId="14" fillId="2" borderId="2" xfId="1" applyFont="1" applyFill="1" applyBorder="1" applyAlignment="1">
      <alignment horizontal="center" vertical="center"/>
    </xf>
    <xf numFmtId="14" fontId="14" fillId="0" borderId="0" xfId="1" applyNumberFormat="1" applyFont="1" applyBorder="1" applyAlignment="1">
      <alignment horizontal="center" vertical="center"/>
    </xf>
    <xf numFmtId="14" fontId="14" fillId="2" borderId="0" xfId="1" applyNumberFormat="1" applyFont="1" applyFill="1" applyBorder="1" applyAlignment="1">
      <alignment horizontal="center" vertical="center"/>
    </xf>
    <xf numFmtId="14" fontId="10" fillId="0" borderId="3" xfId="1" applyNumberFormat="1" applyFont="1" applyBorder="1" applyAlignment="1">
      <alignment horizontal="center" vertical="center"/>
    </xf>
    <xf numFmtId="14" fontId="10" fillId="2" borderId="3" xfId="1" applyNumberFormat="1" applyFont="1" applyFill="1" applyBorder="1" applyAlignment="1">
      <alignment horizontal="center" vertical="center"/>
    </xf>
    <xf numFmtId="41" fontId="10" fillId="0" borderId="4" xfId="1" quotePrefix="1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/>
    </xf>
    <xf numFmtId="179" fontId="8" fillId="0" borderId="6" xfId="1" applyNumberFormat="1" applyFont="1" applyFill="1" applyBorder="1" applyAlignment="1">
      <alignment horizontal="center" vertical="center"/>
    </xf>
    <xf numFmtId="41" fontId="7" fillId="0" borderId="7" xfId="1" applyFont="1" applyFill="1" applyBorder="1">
      <alignment vertical="center"/>
    </xf>
    <xf numFmtId="177" fontId="11" fillId="0" borderId="8" xfId="1" applyNumberFormat="1" applyFont="1" applyFill="1" applyBorder="1" applyAlignment="1">
      <alignment horizontal="left" vertical="center"/>
    </xf>
    <xf numFmtId="41" fontId="17" fillId="0" borderId="2" xfId="1" applyFont="1" applyFill="1" applyBorder="1">
      <alignment vertical="center"/>
    </xf>
    <xf numFmtId="41" fontId="6" fillId="0" borderId="1" xfId="1" applyFont="1" applyFill="1" applyBorder="1" applyAlignment="1">
      <alignment horizontal="center" vertical="center"/>
    </xf>
    <xf numFmtId="41" fontId="6" fillId="0" borderId="1" xfId="1" applyFont="1" applyFill="1" applyBorder="1">
      <alignment vertical="center"/>
    </xf>
    <xf numFmtId="179" fontId="12" fillId="0" borderId="5" xfId="1" applyNumberFormat="1" applyFont="1" applyFill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78" fontId="14" fillId="2" borderId="0" xfId="0" applyNumberFormat="1" applyFont="1" applyFill="1" applyAlignment="1">
      <alignment horizontal="center" vertical="center"/>
    </xf>
    <xf numFmtId="180" fontId="14" fillId="0" borderId="0" xfId="1" applyNumberFormat="1" applyFont="1" applyBorder="1">
      <alignment vertical="center"/>
    </xf>
    <xf numFmtId="180" fontId="14" fillId="2" borderId="0" xfId="1" applyNumberFormat="1" applyFont="1" applyFill="1" applyBorder="1">
      <alignment vertical="center"/>
    </xf>
    <xf numFmtId="41" fontId="14" fillId="0" borderId="0" xfId="1" applyFont="1" applyBorder="1" applyAlignment="1">
      <alignment horizontal="center" vertical="center"/>
    </xf>
    <xf numFmtId="41" fontId="14" fillId="2" borderId="0" xfId="1" applyFont="1" applyFill="1" applyBorder="1" applyAlignment="1">
      <alignment horizontal="center" vertical="center"/>
    </xf>
    <xf numFmtId="41" fontId="16" fillId="0" borderId="0" xfId="1" applyFont="1" applyFill="1" applyBorder="1" applyAlignment="1">
      <alignment vertical="center"/>
    </xf>
    <xf numFmtId="41" fontId="16" fillId="0" borderId="3" xfId="1" applyFont="1" applyFill="1" applyBorder="1" applyAlignment="1">
      <alignment vertical="center"/>
    </xf>
    <xf numFmtId="41" fontId="8" fillId="0" borderId="2" xfId="1" applyFont="1" applyFill="1" applyBorder="1" applyAlignment="1">
      <alignment horizontal="left" vertical="center"/>
    </xf>
    <xf numFmtId="177" fontId="14" fillId="0" borderId="2" xfId="1" applyNumberFormat="1" applyFont="1" applyFill="1" applyBorder="1" applyAlignment="1">
      <alignment horizontal="right" vertical="center"/>
    </xf>
    <xf numFmtId="177" fontId="14" fillId="0" borderId="0" xfId="1" applyNumberFormat="1" applyFont="1" applyFill="1" applyBorder="1" applyAlignment="1">
      <alignment horizontal="right" vertical="center"/>
    </xf>
    <xf numFmtId="177" fontId="14" fillId="0" borderId="3" xfId="1" applyNumberFormat="1" applyFont="1" applyFill="1" applyBorder="1" applyAlignment="1">
      <alignment horizontal="right" vertical="center"/>
    </xf>
    <xf numFmtId="177" fontId="14" fillId="2" borderId="2" xfId="1" applyNumberFormat="1" applyFont="1" applyFill="1" applyBorder="1" applyAlignment="1">
      <alignment horizontal="right" vertical="center"/>
    </xf>
    <xf numFmtId="177" fontId="14" fillId="2" borderId="0" xfId="1" applyNumberFormat="1" applyFont="1" applyFill="1" applyBorder="1" applyAlignment="1">
      <alignment horizontal="right" vertical="center"/>
    </xf>
    <xf numFmtId="177" fontId="14" fillId="2" borderId="3" xfId="1" applyNumberFormat="1" applyFont="1" applyFill="1" applyBorder="1" applyAlignment="1">
      <alignment horizontal="right" vertical="center"/>
    </xf>
    <xf numFmtId="177" fontId="14" fillId="0" borderId="0" xfId="1" applyNumberFormat="1" applyFont="1" applyBorder="1" applyAlignment="1">
      <alignment horizontal="center" vertical="center"/>
    </xf>
    <xf numFmtId="41" fontId="12" fillId="0" borderId="4" xfId="1" applyFont="1" applyFill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34" fillId="0" borderId="0" xfId="0" applyFont="1">
      <alignment vertical="center"/>
    </xf>
    <xf numFmtId="178" fontId="35" fillId="0" borderId="0" xfId="0" applyNumberFormat="1" applyFont="1" applyAlignment="1">
      <alignment horizontal="center" vertical="center"/>
    </xf>
    <xf numFmtId="0" fontId="36" fillId="0" borderId="0" xfId="0" applyFont="1">
      <alignment vertical="center"/>
    </xf>
    <xf numFmtId="178" fontId="36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14" fontId="6" fillId="0" borderId="0" xfId="1" applyNumberFormat="1" applyFont="1" applyFill="1" applyBorder="1">
      <alignment vertical="center"/>
    </xf>
    <xf numFmtId="14" fontId="8" fillId="0" borderId="0" xfId="1" quotePrefix="1" applyNumberFormat="1" applyFont="1">
      <alignment vertical="center"/>
    </xf>
    <xf numFmtId="14" fontId="5" fillId="0" borderId="4" xfId="1" applyNumberFormat="1" applyFont="1" applyBorder="1" applyAlignment="1">
      <alignment horizontal="left" vertical="center"/>
    </xf>
    <xf numFmtId="14" fontId="14" fillId="0" borderId="0" xfId="1" applyNumberFormat="1" applyFont="1">
      <alignment vertical="center"/>
    </xf>
    <xf numFmtId="14" fontId="37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6" fillId="0" borderId="0" xfId="1" applyNumberFormat="1" applyFont="1" applyFill="1" applyBorder="1" applyAlignment="1">
      <alignment horizontal="center" vertical="center"/>
    </xf>
    <xf numFmtId="14" fontId="8" fillId="0" borderId="0" xfId="1" quotePrefix="1" applyNumberFormat="1" applyFont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14" fillId="0" borderId="0" xfId="1" applyFont="1" applyAlignment="1">
      <alignment horizontal="center" vertical="center"/>
    </xf>
    <xf numFmtId="41" fontId="37" fillId="0" borderId="0" xfId="1" applyFont="1">
      <alignment vertical="center"/>
    </xf>
    <xf numFmtId="41" fontId="5" fillId="0" borderId="0" xfId="1" applyFont="1">
      <alignment vertical="center"/>
    </xf>
    <xf numFmtId="41" fontId="13" fillId="0" borderId="0" xfId="1" applyFont="1">
      <alignment vertical="center"/>
    </xf>
    <xf numFmtId="0" fontId="38" fillId="0" borderId="0" xfId="0" applyFont="1">
      <alignment vertical="center"/>
    </xf>
    <xf numFmtId="3" fontId="13" fillId="0" borderId="0" xfId="0" applyNumberFormat="1" applyFont="1">
      <alignment vertical="center"/>
    </xf>
    <xf numFmtId="41" fontId="8" fillId="0" borderId="3" xfId="1" applyFont="1" applyBorder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vertical="center" wrapText="1"/>
    </xf>
    <xf numFmtId="41" fontId="13" fillId="0" borderId="0" xfId="1" applyFont="1" applyAlignment="1">
      <alignment vertical="center" wrapText="1"/>
    </xf>
    <xf numFmtId="41" fontId="0" fillId="0" borderId="0" xfId="1" applyFont="1" applyFill="1">
      <alignment vertical="center"/>
    </xf>
    <xf numFmtId="14" fontId="7" fillId="0" borderId="2" xfId="1" applyNumberFormat="1" applyFont="1" applyFill="1" applyBorder="1">
      <alignment vertical="center"/>
    </xf>
    <xf numFmtId="181" fontId="6" fillId="0" borderId="0" xfId="1" applyNumberFormat="1" applyFont="1" applyFill="1" applyBorder="1">
      <alignment vertical="center"/>
    </xf>
    <xf numFmtId="41" fontId="11" fillId="0" borderId="8" xfId="1" applyFont="1" applyFill="1" applyBorder="1" applyAlignment="1">
      <alignment horizontal="left" vertical="center"/>
    </xf>
    <xf numFmtId="41" fontId="13" fillId="0" borderId="5" xfId="1" applyFont="1" applyFill="1" applyBorder="1" applyAlignment="1">
      <alignment horizontal="center" vertical="center"/>
    </xf>
    <xf numFmtId="41" fontId="38" fillId="0" borderId="0" xfId="1" applyFont="1">
      <alignment vertical="center"/>
    </xf>
    <xf numFmtId="41" fontId="8" fillId="0" borderId="18" xfId="1" applyFont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41" fontId="8" fillId="0" borderId="0" xfId="1" quotePrefix="1" applyFont="1">
      <alignment vertical="center"/>
    </xf>
    <xf numFmtId="41" fontId="0" fillId="0" borderId="0" xfId="1" applyFont="1">
      <alignment vertical="center"/>
    </xf>
    <xf numFmtId="14" fontId="37" fillId="0" borderId="0" xfId="0" applyNumberFormat="1" applyFont="1" applyAlignment="1">
      <alignment horizontal="center" vertical="center"/>
    </xf>
    <xf numFmtId="0" fontId="6" fillId="0" borderId="0" xfId="1" applyNumberFormat="1" applyFont="1" applyFill="1" applyBorder="1">
      <alignment vertical="center"/>
    </xf>
    <xf numFmtId="0" fontId="8" fillId="0" borderId="0" xfId="1" quotePrefix="1" applyNumberFormat="1" applyFont="1">
      <alignment vertical="center"/>
    </xf>
    <xf numFmtId="0" fontId="5" fillId="0" borderId="4" xfId="1" applyNumberFormat="1" applyFont="1" applyBorder="1" applyAlignment="1">
      <alignment horizontal="center" vertical="center"/>
    </xf>
    <xf numFmtId="0" fontId="5" fillId="34" borderId="4" xfId="1" applyNumberFormat="1" applyFont="1" applyFill="1" applyBorder="1" applyAlignment="1">
      <alignment horizontal="center" vertical="center"/>
    </xf>
    <xf numFmtId="41" fontId="14" fillId="34" borderId="0" xfId="1" applyFont="1" applyFill="1">
      <alignment vertical="center"/>
    </xf>
    <xf numFmtId="41" fontId="0" fillId="0" borderId="0" xfId="0" applyNumberFormat="1">
      <alignment vertical="center"/>
    </xf>
    <xf numFmtId="0" fontId="43" fillId="0" borderId="0" xfId="0" applyFont="1">
      <alignment vertical="center"/>
    </xf>
    <xf numFmtId="14" fontId="10" fillId="0" borderId="5" xfId="1" applyNumberFormat="1" applyFont="1" applyFill="1" applyBorder="1" applyAlignment="1">
      <alignment horizontal="center" vertical="center"/>
    </xf>
    <xf numFmtId="14" fontId="5" fillId="0" borderId="4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4" fontId="5" fillId="0" borderId="6" xfId="1" applyNumberFormat="1" applyFont="1" applyFill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21" xfId="0" applyFont="1" applyBorder="1">
      <alignment vertical="center"/>
    </xf>
    <xf numFmtId="41" fontId="14" fillId="0" borderId="8" xfId="1" applyFont="1" applyFill="1" applyBorder="1">
      <alignment vertical="center"/>
    </xf>
    <xf numFmtId="41" fontId="14" fillId="0" borderId="21" xfId="1" applyFont="1" applyFill="1" applyBorder="1">
      <alignment vertical="center"/>
    </xf>
    <xf numFmtId="41" fontId="14" fillId="0" borderId="7" xfId="1" applyFont="1" applyFill="1" applyBorder="1">
      <alignment vertical="center"/>
    </xf>
    <xf numFmtId="0" fontId="43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3" fillId="0" borderId="22" xfId="0" applyFont="1" applyBorder="1" applyAlignment="1">
      <alignment horizontal="center" vertical="center"/>
    </xf>
    <xf numFmtId="0" fontId="43" fillId="0" borderId="22" xfId="0" applyFont="1" applyBorder="1">
      <alignment vertical="center"/>
    </xf>
    <xf numFmtId="14" fontId="10" fillId="0" borderId="4" xfId="1" applyNumberFormat="1" applyFont="1" applyFill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0" fillId="0" borderId="42" xfId="0" applyBorder="1">
      <alignment vertical="center"/>
    </xf>
    <xf numFmtId="14" fontId="14" fillId="0" borderId="0" xfId="1" applyNumberFormat="1" applyFont="1" applyBorder="1">
      <alignment vertical="center"/>
    </xf>
    <xf numFmtId="41" fontId="9" fillId="0" borderId="0" xfId="1" applyFont="1" applyFill="1" applyBorder="1" applyAlignment="1">
      <alignment horizontal="centerContinuous" vertical="center"/>
    </xf>
    <xf numFmtId="41" fontId="10" fillId="0" borderId="4" xfId="1" applyFont="1" applyBorder="1" applyAlignment="1">
      <alignment horizontal="center" vertical="center" wrapText="1"/>
    </xf>
    <xf numFmtId="176" fontId="6" fillId="0" borderId="0" xfId="1" applyNumberFormat="1" applyFont="1" applyFill="1" applyBorder="1">
      <alignment vertical="center"/>
    </xf>
    <xf numFmtId="176" fontId="9" fillId="0" borderId="0" xfId="1" applyNumberFormat="1" applyFont="1" applyFill="1" applyBorder="1" applyAlignment="1">
      <alignment horizontal="centerContinuous" vertical="center"/>
    </xf>
    <xf numFmtId="176" fontId="13" fillId="0" borderId="4" xfId="1" applyNumberFormat="1" applyFont="1" applyFill="1" applyBorder="1" applyAlignment="1">
      <alignment horizontal="center" vertical="center" wrapText="1"/>
    </xf>
    <xf numFmtId="176" fontId="14" fillId="0" borderId="0" xfId="1" applyNumberFormat="1" applyFont="1" applyBorder="1">
      <alignment vertical="center"/>
    </xf>
    <xf numFmtId="41" fontId="6" fillId="0" borderId="6" xfId="1" applyFont="1" applyFill="1" applyBorder="1" applyAlignment="1">
      <alignment horizontal="center" vertical="center"/>
    </xf>
    <xf numFmtId="41" fontId="6" fillId="0" borderId="6" xfId="1" applyFont="1" applyFill="1" applyBorder="1">
      <alignment vertical="center"/>
    </xf>
    <xf numFmtId="41" fontId="6" fillId="0" borderId="44" xfId="1" applyFont="1" applyFill="1" applyBorder="1" applyAlignment="1">
      <alignment horizontal="center" vertical="center"/>
    </xf>
    <xf numFmtId="41" fontId="6" fillId="0" borderId="44" xfId="1" applyFont="1" applyFill="1" applyBorder="1">
      <alignment vertical="center"/>
    </xf>
    <xf numFmtId="41" fontId="6" fillId="0" borderId="45" xfId="1" applyFont="1" applyFill="1" applyBorder="1">
      <alignment vertical="center"/>
    </xf>
    <xf numFmtId="41" fontId="6" fillId="0" borderId="46" xfId="1" applyFont="1" applyFill="1" applyBorder="1">
      <alignment vertical="center"/>
    </xf>
    <xf numFmtId="176" fontId="6" fillId="0" borderId="47" xfId="1" applyNumberFormat="1" applyFont="1" applyFill="1" applyBorder="1">
      <alignment vertical="center"/>
    </xf>
    <xf numFmtId="41" fontId="10" fillId="0" borderId="4" xfId="1" applyFont="1" applyFill="1" applyBorder="1" applyAlignment="1">
      <alignment horizontal="center" vertical="center"/>
    </xf>
    <xf numFmtId="176" fontId="13" fillId="0" borderId="48" xfId="1" applyNumberFormat="1" applyFont="1" applyFill="1" applyBorder="1" applyAlignment="1">
      <alignment horizontal="center" vertical="center" wrapText="1"/>
    </xf>
    <xf numFmtId="0" fontId="14" fillId="0" borderId="0" xfId="1" applyNumberFormat="1" applyFont="1" applyBorder="1" applyAlignment="1">
      <alignment horizontal="center" vertical="center"/>
    </xf>
    <xf numFmtId="0" fontId="14" fillId="2" borderId="0" xfId="1" applyNumberFormat="1" applyFont="1" applyFill="1" applyBorder="1" applyAlignment="1">
      <alignment horizontal="center" vertical="center"/>
    </xf>
    <xf numFmtId="177" fontId="14" fillId="2" borderId="0" xfId="1" applyNumberFormat="1" applyFont="1" applyFill="1" applyBorder="1" applyAlignment="1">
      <alignment horizontal="center" vertical="center"/>
    </xf>
    <xf numFmtId="14" fontId="9" fillId="0" borderId="47" xfId="1" applyNumberFormat="1" applyFont="1" applyFill="1" applyBorder="1" applyAlignment="1">
      <alignment horizontal="centerContinuous" vertical="center"/>
    </xf>
    <xf numFmtId="14" fontId="13" fillId="0" borderId="6" xfId="1" applyNumberFormat="1" applyFont="1" applyFill="1" applyBorder="1" applyAlignment="1">
      <alignment horizontal="center" vertical="center" wrapText="1"/>
    </xf>
    <xf numFmtId="41" fontId="5" fillId="0" borderId="46" xfId="1" applyFont="1" applyFill="1" applyBorder="1">
      <alignment vertical="center"/>
    </xf>
    <xf numFmtId="41" fontId="14" fillId="0" borderId="2" xfId="1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41" fontId="14" fillId="0" borderId="3" xfId="1" applyFont="1" applyFill="1" applyBorder="1" applyAlignment="1">
      <alignment horizontal="right" vertical="center"/>
    </xf>
    <xf numFmtId="41" fontId="14" fillId="2" borderId="2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41" fontId="14" fillId="2" borderId="3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right" vertical="center"/>
    </xf>
    <xf numFmtId="181" fontId="14" fillId="0" borderId="0" xfId="1" applyNumberFormat="1" applyFont="1" applyBorder="1">
      <alignment vertical="center"/>
    </xf>
    <xf numFmtId="0" fontId="11" fillId="0" borderId="8" xfId="1" applyNumberFormat="1" applyFon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centerContinuous" vertical="center"/>
    </xf>
    <xf numFmtId="0" fontId="13" fillId="0" borderId="4" xfId="1" applyNumberFormat="1" applyFont="1" applyFill="1" applyBorder="1" applyAlignment="1">
      <alignment horizontal="center" vertical="center" wrapText="1"/>
    </xf>
    <xf numFmtId="184" fontId="10" fillId="0" borderId="0" xfId="1" applyNumberFormat="1" applyFont="1" applyBorder="1" applyAlignment="1">
      <alignment horizontal="center" vertical="center"/>
    </xf>
    <xf numFmtId="178" fontId="10" fillId="0" borderId="0" xfId="1" applyNumberFormat="1" applyFont="1" applyBorder="1" applyAlignment="1">
      <alignment horizontal="center" vertical="center"/>
    </xf>
    <xf numFmtId="0" fontId="47" fillId="0" borderId="0" xfId="0" applyFont="1">
      <alignment vertical="center"/>
    </xf>
    <xf numFmtId="10" fontId="47" fillId="0" borderId="0" xfId="45" applyNumberFormat="1" applyFont="1" applyFill="1">
      <alignment vertical="center"/>
    </xf>
    <xf numFmtId="41" fontId="13" fillId="0" borderId="0" xfId="1" applyFont="1" applyFill="1">
      <alignment vertical="center"/>
    </xf>
    <xf numFmtId="0" fontId="47" fillId="35" borderId="19" xfId="0" applyFont="1" applyFill="1" applyBorder="1" applyAlignment="1">
      <alignment horizontal="center" vertical="center"/>
    </xf>
    <xf numFmtId="10" fontId="47" fillId="35" borderId="19" xfId="45" applyNumberFormat="1" applyFont="1" applyFill="1" applyBorder="1" applyAlignment="1">
      <alignment horizontal="center" vertical="center"/>
    </xf>
    <xf numFmtId="41" fontId="10" fillId="35" borderId="23" xfId="1" applyFont="1" applyFill="1" applyBorder="1" applyAlignment="1">
      <alignment horizontal="center" vertical="center"/>
    </xf>
    <xf numFmtId="182" fontId="36" fillId="0" borderId="34" xfId="0" applyNumberFormat="1" applyFont="1" applyBorder="1" applyAlignment="1">
      <alignment horizontal="center" vertical="center"/>
    </xf>
    <xf numFmtId="182" fontId="47" fillId="0" borderId="35" xfId="46" applyNumberFormat="1" applyFont="1" applyBorder="1" applyAlignment="1">
      <alignment horizontal="center" vertical="center"/>
    </xf>
    <xf numFmtId="183" fontId="47" fillId="0" borderId="35" xfId="46" applyNumberFormat="1" applyFont="1" applyBorder="1" applyAlignment="1">
      <alignment horizontal="left" vertical="center"/>
    </xf>
    <xf numFmtId="10" fontId="47" fillId="0" borderId="35" xfId="45" applyNumberFormat="1" applyFont="1" applyFill="1" applyBorder="1">
      <alignment vertical="center"/>
    </xf>
    <xf numFmtId="41" fontId="13" fillId="0" borderId="36" xfId="1" applyFont="1" applyFill="1" applyBorder="1">
      <alignment vertical="center"/>
    </xf>
    <xf numFmtId="182" fontId="47" fillId="0" borderId="32" xfId="46" applyNumberFormat="1" applyFont="1" applyBorder="1" applyAlignment="1">
      <alignment horizontal="center" vertical="center"/>
    </xf>
    <xf numFmtId="0" fontId="47" fillId="0" borderId="33" xfId="0" applyFont="1" applyBorder="1">
      <alignment vertical="center"/>
    </xf>
    <xf numFmtId="10" fontId="47" fillId="0" borderId="33" xfId="45" applyNumberFormat="1" applyFont="1" applyFill="1" applyBorder="1">
      <alignment vertical="center"/>
    </xf>
    <xf numFmtId="41" fontId="13" fillId="0" borderId="0" xfId="1" applyFont="1" applyFill="1" applyBorder="1">
      <alignment vertical="center"/>
    </xf>
    <xf numFmtId="41" fontId="13" fillId="0" borderId="25" xfId="1" applyFont="1" applyFill="1" applyBorder="1">
      <alignment vertical="center"/>
    </xf>
    <xf numFmtId="182" fontId="47" fillId="0" borderId="24" xfId="46" applyNumberFormat="1" applyFont="1" applyBorder="1" applyAlignment="1">
      <alignment horizontal="center" vertical="center"/>
    </xf>
    <xf numFmtId="0" fontId="47" fillId="0" borderId="20" xfId="0" applyFont="1" applyBorder="1">
      <alignment vertical="center"/>
    </xf>
    <xf numFmtId="10" fontId="47" fillId="0" borderId="20" xfId="45" applyNumberFormat="1" applyFont="1" applyFill="1" applyBorder="1">
      <alignment vertical="center"/>
    </xf>
    <xf numFmtId="182" fontId="47" fillId="0" borderId="26" xfId="46" applyNumberFormat="1" applyFont="1" applyBorder="1" applyAlignment="1">
      <alignment horizontal="center" vertical="center"/>
    </xf>
    <xf numFmtId="0" fontId="47" fillId="0" borderId="27" xfId="0" applyFont="1" applyBorder="1">
      <alignment vertical="center"/>
    </xf>
    <xf numFmtId="10" fontId="47" fillId="0" borderId="27" xfId="45" applyNumberFormat="1" applyFont="1" applyFill="1" applyBorder="1">
      <alignment vertical="center"/>
    </xf>
    <xf numFmtId="41" fontId="13" fillId="0" borderId="28" xfId="1" applyFont="1" applyFill="1" applyBorder="1">
      <alignment vertical="center"/>
    </xf>
    <xf numFmtId="41" fontId="13" fillId="0" borderId="29" xfId="1" applyFont="1" applyFill="1" applyBorder="1">
      <alignment vertical="center"/>
    </xf>
    <xf numFmtId="0" fontId="36" fillId="0" borderId="28" xfId="0" applyFont="1" applyBorder="1">
      <alignment vertical="center"/>
    </xf>
    <xf numFmtId="10" fontId="36" fillId="0" borderId="28" xfId="45" applyNumberFormat="1" applyFont="1" applyFill="1" applyBorder="1">
      <alignment vertical="center"/>
    </xf>
    <xf numFmtId="182" fontId="47" fillId="0" borderId="34" xfId="46" applyNumberFormat="1" applyFont="1" applyBorder="1" applyAlignment="1">
      <alignment horizontal="center" vertical="center"/>
    </xf>
    <xf numFmtId="0" fontId="36" fillId="0" borderId="20" xfId="0" applyFont="1" applyBorder="1">
      <alignment vertical="center"/>
    </xf>
    <xf numFmtId="10" fontId="36" fillId="0" borderId="20" xfId="0" applyNumberFormat="1" applyFont="1" applyBorder="1">
      <alignment vertical="center"/>
    </xf>
    <xf numFmtId="0" fontId="36" fillId="0" borderId="27" xfId="0" applyFont="1" applyBorder="1">
      <alignment vertical="center"/>
    </xf>
    <xf numFmtId="10" fontId="36" fillId="0" borderId="27" xfId="0" applyNumberFormat="1" applyFont="1" applyBorder="1">
      <alignment vertical="center"/>
    </xf>
    <xf numFmtId="10" fontId="36" fillId="0" borderId="0" xfId="45" applyNumberFormat="1" applyFont="1" applyFill="1" applyBorder="1">
      <alignment vertical="center"/>
    </xf>
    <xf numFmtId="0" fontId="48" fillId="0" borderId="38" xfId="0" applyFont="1" applyBorder="1">
      <alignment vertical="center"/>
    </xf>
    <xf numFmtId="10" fontId="36" fillId="0" borderId="20" xfId="45" applyNumberFormat="1" applyFont="1" applyFill="1" applyBorder="1">
      <alignment vertical="center"/>
    </xf>
    <xf numFmtId="0" fontId="47" fillId="0" borderId="39" xfId="0" applyFont="1" applyBorder="1">
      <alignment vertical="center"/>
    </xf>
    <xf numFmtId="10" fontId="47" fillId="0" borderId="39" xfId="45" applyNumberFormat="1" applyFont="1" applyFill="1" applyBorder="1">
      <alignment vertical="center"/>
    </xf>
    <xf numFmtId="41" fontId="13" fillId="0" borderId="37" xfId="1" applyFont="1" applyFill="1" applyBorder="1">
      <alignment vertical="center"/>
    </xf>
    <xf numFmtId="0" fontId="36" fillId="0" borderId="30" xfId="0" applyFont="1" applyBorder="1">
      <alignment vertical="center"/>
    </xf>
    <xf numFmtId="0" fontId="36" fillId="0" borderId="31" xfId="0" applyFont="1" applyBorder="1">
      <alignment vertical="center"/>
    </xf>
    <xf numFmtId="10" fontId="36" fillId="0" borderId="33" xfId="0" applyNumberFormat="1" applyFont="1" applyBorder="1">
      <alignment vertical="center"/>
    </xf>
    <xf numFmtId="10" fontId="36" fillId="0" borderId="39" xfId="0" applyNumberFormat="1" applyFont="1" applyBorder="1">
      <alignment vertical="center"/>
    </xf>
    <xf numFmtId="10" fontId="36" fillId="0" borderId="0" xfId="45" applyNumberFormat="1" applyFont="1" applyFill="1">
      <alignment vertical="center"/>
    </xf>
    <xf numFmtId="41" fontId="10" fillId="0" borderId="0" xfId="1" applyFont="1" applyBorder="1" applyAlignment="1">
      <alignment horizontal="center" vertical="center"/>
    </xf>
    <xf numFmtId="0" fontId="14" fillId="0" borderId="49" xfId="0" applyFont="1" applyBorder="1">
      <alignment vertical="center"/>
    </xf>
    <xf numFmtId="0" fontId="0" fillId="0" borderId="0" xfId="0" applyAlignment="1">
      <alignment horizontal="center" vertical="center"/>
    </xf>
    <xf numFmtId="0" fontId="13" fillId="36" borderId="1" xfId="0" applyFont="1" applyFill="1" applyBorder="1" applyAlignment="1">
      <alignment horizontal="center" vertical="center"/>
    </xf>
    <xf numFmtId="0" fontId="10" fillId="36" borderId="4" xfId="0" applyFont="1" applyFill="1" applyBorder="1" applyAlignment="1">
      <alignment horizontal="center" vertical="center"/>
    </xf>
    <xf numFmtId="0" fontId="10" fillId="36" borderId="1" xfId="0" applyFont="1" applyFill="1" applyBorder="1" applyAlignment="1">
      <alignment horizontal="center" vertical="center" wrapText="1"/>
    </xf>
    <xf numFmtId="41" fontId="10" fillId="36" borderId="1" xfId="1" applyFont="1" applyFill="1" applyBorder="1" applyAlignment="1">
      <alignment horizontal="center" vertical="center"/>
    </xf>
    <xf numFmtId="41" fontId="10" fillId="36" borderId="1" xfId="1" quotePrefix="1" applyFont="1" applyFill="1" applyBorder="1" applyAlignment="1">
      <alignment horizontal="center" vertical="center" wrapText="1"/>
    </xf>
    <xf numFmtId="14" fontId="13" fillId="36" borderId="1" xfId="1" applyNumberFormat="1" applyFont="1" applyFill="1" applyBorder="1" applyAlignment="1">
      <alignment horizontal="center" vertical="center" wrapText="1"/>
    </xf>
    <xf numFmtId="41" fontId="14" fillId="0" borderId="49" xfId="1" applyFont="1" applyBorder="1" applyAlignment="1">
      <alignment horizontal="center" vertical="center"/>
    </xf>
    <xf numFmtId="41" fontId="14" fillId="0" borderId="50" xfId="1" applyFont="1" applyBorder="1" applyAlignment="1">
      <alignment horizontal="center" vertical="center"/>
    </xf>
    <xf numFmtId="41" fontId="12" fillId="36" borderId="1" xfId="1" applyFont="1" applyFill="1" applyBorder="1" applyAlignment="1">
      <alignment horizontal="center" vertical="center"/>
    </xf>
    <xf numFmtId="41" fontId="8" fillId="0" borderId="49" xfId="1" applyFont="1" applyBorder="1" applyAlignment="1">
      <alignment horizontal="center" vertical="center"/>
    </xf>
    <xf numFmtId="41" fontId="8" fillId="0" borderId="50" xfId="1" applyFont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41" fontId="5" fillId="36" borderId="4" xfId="1" applyFont="1" applyFill="1" applyBorder="1" applyAlignment="1">
      <alignment horizontal="center" vertical="center"/>
    </xf>
    <xf numFmtId="41" fontId="5" fillId="36" borderId="1" xfId="1" applyFont="1" applyFill="1" applyBorder="1" applyAlignment="1">
      <alignment horizontal="center" vertical="center"/>
    </xf>
    <xf numFmtId="178" fontId="13" fillId="0" borderId="49" xfId="0" applyNumberFormat="1" applyFont="1" applyBorder="1" applyAlignment="1">
      <alignment horizontal="center" vertical="center"/>
    </xf>
    <xf numFmtId="41" fontId="13" fillId="0" borderId="0" xfId="1" applyFont="1" applyBorder="1">
      <alignment vertical="center"/>
    </xf>
    <xf numFmtId="41" fontId="13" fillId="0" borderId="49" xfId="1" applyFont="1" applyBorder="1">
      <alignment vertical="center"/>
    </xf>
    <xf numFmtId="180" fontId="13" fillId="0" borderId="0" xfId="1" applyNumberFormat="1" applyFont="1" applyBorder="1">
      <alignment vertical="center"/>
    </xf>
    <xf numFmtId="14" fontId="13" fillId="0" borderId="49" xfId="0" applyNumberFormat="1" applyFont="1" applyBorder="1" applyAlignment="1">
      <alignment horizontal="center" vertical="center"/>
    </xf>
    <xf numFmtId="0" fontId="5" fillId="0" borderId="50" xfId="0" applyFont="1" applyBorder="1">
      <alignment vertical="center"/>
    </xf>
    <xf numFmtId="178" fontId="13" fillId="0" borderId="50" xfId="0" applyNumberFormat="1" applyFont="1" applyBorder="1" applyAlignment="1">
      <alignment horizontal="center" vertical="center"/>
    </xf>
    <xf numFmtId="41" fontId="13" fillId="0" borderId="21" xfId="1" applyFont="1" applyBorder="1">
      <alignment vertical="center"/>
    </xf>
    <xf numFmtId="41" fontId="13" fillId="0" borderId="50" xfId="1" applyFont="1" applyBorder="1">
      <alignment vertical="center"/>
    </xf>
    <xf numFmtId="180" fontId="13" fillId="0" borderId="21" xfId="1" applyNumberFormat="1" applyFont="1" applyBorder="1">
      <alignment vertical="center"/>
    </xf>
    <xf numFmtId="14" fontId="13" fillId="0" borderId="50" xfId="0" applyNumberFormat="1" applyFont="1" applyBorder="1" applyAlignment="1">
      <alignment horizontal="center" vertical="center"/>
    </xf>
    <xf numFmtId="41" fontId="14" fillId="0" borderId="42" xfId="1" applyFont="1" applyBorder="1">
      <alignment vertical="center"/>
    </xf>
    <xf numFmtId="41" fontId="14" fillId="0" borderId="42" xfId="1" applyFont="1" applyFill="1" applyBorder="1">
      <alignment vertical="center"/>
    </xf>
    <xf numFmtId="41" fontId="14" fillId="0" borderId="43" xfId="1" applyFont="1" applyBorder="1">
      <alignment vertical="center"/>
    </xf>
    <xf numFmtId="41" fontId="6" fillId="0" borderId="5" xfId="1" applyFont="1" applyFill="1" applyBorder="1" applyAlignment="1">
      <alignment horizontal="center" vertical="center"/>
    </xf>
    <xf numFmtId="41" fontId="6" fillId="0" borderId="5" xfId="1" applyFont="1" applyFill="1" applyBorder="1">
      <alignment vertical="center"/>
    </xf>
    <xf numFmtId="41" fontId="8" fillId="0" borderId="7" xfId="1" applyFont="1" applyFill="1" applyBorder="1" applyAlignment="1">
      <alignment horizontal="center" vertical="center"/>
    </xf>
    <xf numFmtId="0" fontId="49" fillId="3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9" fillId="37" borderId="1" xfId="0" applyFont="1" applyFill="1" applyBorder="1">
      <alignment vertical="center"/>
    </xf>
    <xf numFmtId="0" fontId="50" fillId="37" borderId="1" xfId="0" applyFont="1" applyFill="1" applyBorder="1" applyAlignment="1">
      <alignment horizontal="center" vertical="center"/>
    </xf>
    <xf numFmtId="9" fontId="13" fillId="0" borderId="49" xfId="45" applyFont="1" applyBorder="1">
      <alignment vertical="center"/>
    </xf>
    <xf numFmtId="9" fontId="13" fillId="0" borderId="50" xfId="45" applyFont="1" applyBorder="1">
      <alignment vertical="center"/>
    </xf>
    <xf numFmtId="0" fontId="51" fillId="0" borderId="0" xfId="0" applyFont="1">
      <alignment vertical="center"/>
    </xf>
    <xf numFmtId="185" fontId="0" fillId="0" borderId="0" xfId="0" applyNumberFormat="1">
      <alignment vertical="center"/>
    </xf>
    <xf numFmtId="14" fontId="51" fillId="0" borderId="0" xfId="0" applyNumberFormat="1" applyFont="1" applyAlignment="1">
      <alignment horizontal="center" vertical="center"/>
    </xf>
    <xf numFmtId="0" fontId="36" fillId="34" borderId="0" xfId="0" applyFont="1" applyFill="1">
      <alignment vertical="center"/>
    </xf>
    <xf numFmtId="0" fontId="36" fillId="34" borderId="0" xfId="0" applyFont="1" applyFill="1" applyAlignment="1">
      <alignment horizontal="left" vertical="center"/>
    </xf>
    <xf numFmtId="41" fontId="13" fillId="34" borderId="25" xfId="1" applyFont="1" applyFill="1" applyBorder="1">
      <alignment vertical="center"/>
    </xf>
    <xf numFmtId="10" fontId="36" fillId="34" borderId="0" xfId="45" applyNumberFormat="1" applyFont="1" applyFill="1" applyBorder="1">
      <alignment vertical="center"/>
    </xf>
    <xf numFmtId="41" fontId="13" fillId="34" borderId="0" xfId="1" applyFont="1" applyFill="1" applyBorder="1">
      <alignment vertical="center"/>
    </xf>
    <xf numFmtId="14" fontId="5" fillId="0" borderId="0" xfId="1" applyNumberFormat="1" applyFont="1" applyFill="1" applyBorder="1" applyAlignment="1">
      <alignment horizontal="left" vertical="center"/>
    </xf>
    <xf numFmtId="41" fontId="45" fillId="0" borderId="22" xfId="1" applyFont="1" applyFill="1" applyBorder="1" applyAlignment="1">
      <alignment horizontal="left" vertical="center"/>
    </xf>
    <xf numFmtId="181" fontId="15" fillId="0" borderId="2" xfId="1" applyNumberFormat="1" applyFont="1" applyFill="1" applyBorder="1">
      <alignment vertical="center"/>
    </xf>
    <xf numFmtId="181" fontId="14" fillId="0" borderId="0" xfId="1" applyNumberFormat="1" applyFont="1">
      <alignment vertical="center"/>
    </xf>
    <xf numFmtId="0" fontId="53" fillId="0" borderId="0" xfId="44" quotePrefix="1" applyFont="1" applyAlignment="1">
      <alignment horizontal="left" vertical="center"/>
    </xf>
    <xf numFmtId="12" fontId="6" fillId="0" borderId="0" xfId="1" applyNumberFormat="1" applyFont="1" applyFill="1" applyBorder="1">
      <alignment vertical="center"/>
    </xf>
    <xf numFmtId="41" fontId="6" fillId="0" borderId="0" xfId="1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35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36" fillId="0" borderId="1" xfId="0" applyFont="1" applyBorder="1">
      <alignment vertical="center"/>
    </xf>
    <xf numFmtId="0" fontId="38" fillId="38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84" fontId="6" fillId="0" borderId="0" xfId="1" applyNumberFormat="1" applyFont="1" applyFill="1" applyBorder="1">
      <alignment vertical="center"/>
    </xf>
    <xf numFmtId="14" fontId="6" fillId="0" borderId="3" xfId="1" applyNumberFormat="1" applyFont="1" applyFill="1" applyBorder="1">
      <alignment vertical="center"/>
    </xf>
    <xf numFmtId="14" fontId="10" fillId="0" borderId="3" xfId="1" applyNumberFormat="1" applyFont="1" applyFill="1" applyBorder="1" applyAlignment="1">
      <alignment horizontal="center" vertical="center"/>
    </xf>
    <xf numFmtId="14" fontId="10" fillId="0" borderId="50" xfId="1" applyNumberFormat="1" applyFont="1" applyFill="1" applyBorder="1" applyAlignment="1">
      <alignment horizontal="center" vertical="center"/>
    </xf>
    <xf numFmtId="41" fontId="14" fillId="0" borderId="51" xfId="1" applyFont="1" applyFill="1" applyBorder="1">
      <alignment vertical="center"/>
    </xf>
    <xf numFmtId="41" fontId="46" fillId="0" borderId="0" xfId="1" applyFont="1">
      <alignment vertical="center"/>
    </xf>
    <xf numFmtId="9" fontId="46" fillId="0" borderId="0" xfId="45" applyFont="1">
      <alignment vertical="center"/>
    </xf>
    <xf numFmtId="10" fontId="46" fillId="0" borderId="0" xfId="45" applyNumberFormat="1" applyFont="1">
      <alignment vertical="center"/>
    </xf>
    <xf numFmtId="177" fontId="46" fillId="0" borderId="0" xfId="1" applyNumberFormat="1" applyFont="1">
      <alignment vertical="center"/>
    </xf>
    <xf numFmtId="186" fontId="46" fillId="0" borderId="0" xfId="45" applyNumberFormat="1" applyFont="1">
      <alignment vertical="center"/>
    </xf>
    <xf numFmtId="188" fontId="46" fillId="0" borderId="0" xfId="45" applyNumberFormat="1" applyFont="1">
      <alignment vertical="center"/>
    </xf>
    <xf numFmtId="187" fontId="36" fillId="0" borderId="28" xfId="45" applyNumberFormat="1" applyFont="1" applyFill="1" applyBorder="1">
      <alignment vertical="center"/>
    </xf>
    <xf numFmtId="181" fontId="13" fillId="0" borderId="28" xfId="1" applyNumberFormat="1" applyFont="1" applyFill="1" applyBorder="1">
      <alignment vertical="center"/>
    </xf>
    <xf numFmtId="189" fontId="46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38" fillId="0" borderId="0" xfId="0" applyFont="1" applyAlignment="1">
      <alignment horizontal="right" vertical="center"/>
    </xf>
    <xf numFmtId="0" fontId="0" fillId="0" borderId="52" xfId="0" applyBorder="1" applyAlignment="1">
      <alignment horizontal="center" vertical="center"/>
    </xf>
    <xf numFmtId="2" fontId="0" fillId="0" borderId="52" xfId="0" applyNumberFormat="1" applyBorder="1" applyAlignment="1">
      <alignment horizontal="right" vertical="center"/>
    </xf>
    <xf numFmtId="2" fontId="0" fillId="0" borderId="52" xfId="0" applyNumberFormat="1" applyBorder="1">
      <alignment vertical="center"/>
    </xf>
    <xf numFmtId="0" fontId="0" fillId="38" borderId="52" xfId="0" applyFill="1" applyBorder="1" applyAlignment="1">
      <alignment horizontal="center" vertical="center"/>
    </xf>
    <xf numFmtId="43" fontId="6" fillId="0" borderId="0" xfId="1" applyNumberFormat="1" applyFont="1" applyFill="1" applyBorder="1">
      <alignment vertical="center"/>
    </xf>
    <xf numFmtId="14" fontId="5" fillId="0" borderId="0" xfId="1" applyNumberFormat="1" applyFont="1" applyFill="1" applyBorder="1">
      <alignment vertical="center"/>
    </xf>
    <xf numFmtId="0" fontId="54" fillId="0" borderId="0" xfId="0" applyFont="1">
      <alignment vertical="center"/>
    </xf>
    <xf numFmtId="0" fontId="52" fillId="0" borderId="0" xfId="0" applyFont="1">
      <alignment vertical="center"/>
    </xf>
    <xf numFmtId="41" fontId="13" fillId="0" borderId="0" xfId="0" applyNumberFormat="1" applyFont="1">
      <alignment vertical="center"/>
    </xf>
    <xf numFmtId="9" fontId="13" fillId="0" borderId="0" xfId="45" applyFont="1">
      <alignment vertical="center"/>
    </xf>
    <xf numFmtId="0" fontId="13" fillId="0" borderId="2" xfId="0" applyFont="1" applyBorder="1">
      <alignment vertical="center"/>
    </xf>
    <xf numFmtId="0" fontId="0" fillId="0" borderId="2" xfId="0" applyBorder="1">
      <alignment vertical="center"/>
    </xf>
    <xf numFmtId="14" fontId="5" fillId="0" borderId="5" xfId="1" applyNumberFormat="1" applyFont="1" applyFill="1" applyBorder="1" applyAlignment="1">
      <alignment horizontal="center" vertical="center"/>
    </xf>
    <xf numFmtId="190" fontId="0" fillId="0" borderId="0" xfId="0" applyNumberFormat="1">
      <alignment vertical="center"/>
    </xf>
    <xf numFmtId="41" fontId="8" fillId="0" borderId="0" xfId="1" applyFont="1" applyFill="1" applyBorder="1" applyAlignment="1">
      <alignment horizontal="right" vertical="center"/>
    </xf>
    <xf numFmtId="43" fontId="15" fillId="0" borderId="2" xfId="1" applyNumberFormat="1" applyFont="1" applyFill="1" applyBorder="1">
      <alignment vertical="center"/>
    </xf>
    <xf numFmtId="41" fontId="14" fillId="0" borderId="0" xfId="1" applyFont="1" applyFill="1">
      <alignment vertical="center"/>
    </xf>
    <xf numFmtId="180" fontId="14" fillId="0" borderId="0" xfId="1" applyNumberFormat="1" applyFont="1" applyFill="1" applyBorder="1">
      <alignment vertical="center"/>
    </xf>
    <xf numFmtId="14" fontId="14" fillId="0" borderId="0" xfId="1" applyNumberFormat="1" applyFont="1" applyFill="1" applyBorder="1" applyAlignment="1">
      <alignment horizontal="center" vertical="center"/>
    </xf>
    <xf numFmtId="177" fontId="14" fillId="0" borderId="0" xfId="1" applyNumberFormat="1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>
      <alignment horizontal="center" vertical="center"/>
    </xf>
    <xf numFmtId="41" fontId="14" fillId="0" borderId="0" xfId="1" applyFont="1" applyFill="1" applyBorder="1" applyAlignment="1">
      <alignment horizontal="center" vertical="center"/>
    </xf>
    <xf numFmtId="41" fontId="14" fillId="0" borderId="2" xfId="1" applyFont="1" applyFill="1" applyBorder="1" applyAlignment="1">
      <alignment horizontal="center" vertical="center"/>
    </xf>
    <xf numFmtId="41" fontId="8" fillId="0" borderId="0" xfId="1" applyFont="1" applyFill="1" applyBorder="1" applyAlignment="1">
      <alignment horizontal="center" vertical="center"/>
    </xf>
    <xf numFmtId="9" fontId="43" fillId="0" borderId="22" xfId="45" applyFont="1" applyBorder="1" applyAlignment="1">
      <alignment horizontal="center" vertical="center"/>
    </xf>
    <xf numFmtId="41" fontId="14" fillId="0" borderId="49" xfId="1" applyFont="1" applyBorder="1" applyAlignment="1">
      <alignment vertical="center"/>
    </xf>
    <xf numFmtId="41" fontId="14" fillId="0" borderId="50" xfId="1" applyFont="1" applyBorder="1" applyAlignment="1">
      <alignment vertical="center"/>
    </xf>
    <xf numFmtId="0" fontId="34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0" fillId="0" borderId="3" xfId="0" applyBorder="1">
      <alignment vertical="center"/>
    </xf>
    <xf numFmtId="41" fontId="14" fillId="39" borderId="0" xfId="1" applyFont="1" applyFill="1" applyBorder="1">
      <alignment vertical="center"/>
    </xf>
    <xf numFmtId="181" fontId="14" fillId="0" borderId="0" xfId="1" applyNumberFormat="1" applyFont="1" applyFill="1" applyBorder="1">
      <alignment vertical="center"/>
    </xf>
    <xf numFmtId="177" fontId="6" fillId="0" borderId="0" xfId="1" applyNumberFormat="1" applyFont="1" applyFill="1" applyBorder="1">
      <alignment vertical="center"/>
    </xf>
    <xf numFmtId="13" fontId="0" fillId="0" borderId="0" xfId="1" applyNumberFormat="1" applyFont="1">
      <alignment vertical="center"/>
    </xf>
    <xf numFmtId="12" fontId="14" fillId="0" borderId="0" xfId="1" applyNumberFormat="1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2" fontId="0" fillId="0" borderId="0" xfId="0" applyNumberFormat="1">
      <alignment vertical="center"/>
    </xf>
    <xf numFmtId="191" fontId="0" fillId="0" borderId="0" xfId="0" applyNumberFormat="1">
      <alignment vertical="center"/>
    </xf>
    <xf numFmtId="9" fontId="5" fillId="0" borderId="0" xfId="45" applyFont="1">
      <alignment vertical="center"/>
    </xf>
    <xf numFmtId="0" fontId="36" fillId="0" borderId="0" xfId="1" applyNumberFormat="1" applyFont="1" applyAlignment="1">
      <alignment horizontal="center" vertical="center"/>
    </xf>
    <xf numFmtId="3" fontId="0" fillId="0" borderId="0" xfId="0" applyNumberFormat="1">
      <alignment vertical="center"/>
    </xf>
    <xf numFmtId="12" fontId="53" fillId="0" borderId="0" xfId="1" quotePrefix="1" applyNumberFormat="1" applyFont="1" applyAlignment="1">
      <alignment horizontal="left" vertical="center"/>
    </xf>
    <xf numFmtId="0" fontId="36" fillId="39" borderId="0" xfId="0" applyFont="1" applyFill="1">
      <alignment vertical="center"/>
    </xf>
    <xf numFmtId="0" fontId="47" fillId="39" borderId="20" xfId="0" applyFont="1" applyFill="1" applyBorder="1">
      <alignment vertical="center"/>
    </xf>
    <xf numFmtId="0" fontId="5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59" fillId="0" borderId="0" xfId="0" applyFont="1">
      <alignment vertical="center"/>
    </xf>
    <xf numFmtId="192" fontId="0" fillId="0" borderId="1" xfId="1" applyNumberFormat="1" applyFont="1" applyBorder="1" applyAlignment="1">
      <alignment horizontal="center" vertical="center"/>
    </xf>
    <xf numFmtId="193" fontId="0" fillId="0" borderId="1" xfId="1" applyNumberFormat="1" applyFont="1" applyBorder="1" applyAlignment="1">
      <alignment horizontal="center" vertical="center"/>
    </xf>
    <xf numFmtId="194" fontId="0" fillId="0" borderId="0" xfId="45" applyNumberFormat="1" applyFont="1">
      <alignment vertical="center"/>
    </xf>
    <xf numFmtId="9" fontId="6" fillId="0" borderId="0" xfId="45" applyFont="1" applyFill="1" applyBorder="1">
      <alignment vertical="center"/>
    </xf>
    <xf numFmtId="49" fontId="60" fillId="0" borderId="1" xfId="0" applyNumberFormat="1" applyFont="1" applyBorder="1" applyAlignment="1">
      <alignment horizontal="center" vertical="center"/>
    </xf>
    <xf numFmtId="43" fontId="14" fillId="0" borderId="0" xfId="1" applyNumberFormat="1" applyFont="1">
      <alignment vertical="center"/>
    </xf>
    <xf numFmtId="0" fontId="36" fillId="0" borderId="0" xfId="0" applyFont="1" applyAlignment="1">
      <alignment vertical="center" wrapText="1"/>
    </xf>
    <xf numFmtId="41" fontId="51" fillId="0" borderId="0" xfId="1" applyFont="1">
      <alignment vertical="center"/>
    </xf>
    <xf numFmtId="0" fontId="0" fillId="0" borderId="0" xfId="0" applyAlignment="1">
      <alignment vertical="center" wrapText="1"/>
    </xf>
    <xf numFmtId="0" fontId="59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8" fillId="39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/>
    </xf>
    <xf numFmtId="41" fontId="5" fillId="38" borderId="1" xfId="1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178" fontId="14" fillId="0" borderId="1" xfId="0" applyNumberFormat="1" applyFont="1" applyBorder="1" applyAlignment="1">
      <alignment horizontal="center" vertical="center"/>
    </xf>
    <xf numFmtId="41" fontId="14" fillId="0" borderId="1" xfId="1" applyFont="1" applyBorder="1">
      <alignment vertical="center"/>
    </xf>
    <xf numFmtId="41" fontId="5" fillId="38" borderId="6" xfId="1" applyFont="1" applyFill="1" applyBorder="1" applyAlignment="1">
      <alignment horizontal="center" vertical="center"/>
    </xf>
    <xf numFmtId="41" fontId="51" fillId="0" borderId="0" xfId="0" applyNumberFormat="1" applyFont="1">
      <alignment vertical="center"/>
    </xf>
    <xf numFmtId="41" fontId="6" fillId="0" borderId="1" xfId="1" applyFont="1" applyFill="1" applyBorder="1" applyAlignment="1">
      <alignment horizontal="center" vertical="center"/>
    </xf>
    <xf numFmtId="0" fontId="49" fillId="3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5" fillId="38" borderId="1" xfId="1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</cellXfs>
  <cellStyles count="6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5" builtinId="5"/>
    <cellStyle name="백분율 2" xfId="52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쉼표 [0] 2 2" xfId="56"/>
    <cellStyle name="쉼표 [0] 2 2 2" xfId="60"/>
    <cellStyle name="쉼표 [0] 2 2 3" xfId="64"/>
    <cellStyle name="쉼표 [0] 2 3" xfId="51"/>
    <cellStyle name="쉼표 [0] 2 4" xfId="58"/>
    <cellStyle name="쉼표 [0] 2 5" xfId="62"/>
    <cellStyle name="쉼표 [0] 3" xfId="47"/>
    <cellStyle name="쉼표 [0] 3 2" xfId="54"/>
    <cellStyle name="쉼표 [0] 3 3" xfId="59"/>
    <cellStyle name="쉼표 [0] 3 4" xfId="63"/>
    <cellStyle name="쉼표 [0] 4" xfId="49"/>
    <cellStyle name="쉼표 [0] 5" xfId="57"/>
    <cellStyle name="쉼표 [0] 6" xfId="61"/>
    <cellStyle name="쉼표 [0] 7" xfId="65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4"/>
    <cellStyle name="표준 2 2" xfId="55"/>
    <cellStyle name="표준 2 3" xfId="50"/>
    <cellStyle name="표준 3" xfId="53"/>
    <cellStyle name="표준 4" xfId="48"/>
    <cellStyle name="표준 6" xfId="46"/>
  </cellStyles>
  <dxfs count="77">
    <dxf>
      <font>
        <b/>
        <i val="0"/>
        <color rgb="FFFF0000"/>
      </font>
    </dxf>
    <dxf>
      <font>
        <b/>
        <i val="0"/>
        <color rgb="FF0000CC"/>
      </font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0000CC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</dxf>
    <dxf>
      <font>
        <b/>
        <i val="0"/>
        <color rgb="FF0000CC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CC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</dxf>
    <dxf>
      <font>
        <b/>
        <i val="0"/>
        <color rgb="FF0000CC"/>
      </font>
    </dxf>
    <dxf>
      <font>
        <b/>
        <i val="0"/>
        <color rgb="FFFF0000"/>
      </font>
    </dxf>
    <dxf>
      <font>
        <b/>
        <i val="0"/>
        <color rgb="FF0000CC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0000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116;&#44256;&#51109;/4&#50900;/&#51020;&#49457;&#44277;&#51109;%20&#50896;&#47308;%20&#51116;&#44256;&#51109;(25.04.3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428;&#44305;&#54984;/2.&#49373;&#49328;&#44228;&#54925;/25&#45380;/&#49892;&#47924;&#50857;/1&#50900;/&#51116;&#44256;&#51109;/&#51020;&#49457;&#44277;&#51109;%20&#50896;&#47308;%20&#51116;&#44256;&#51109;(25.03.31)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품목</v>
          </cell>
          <cell r="B1" t="str">
            <v>품목명</v>
          </cell>
          <cell r="C1" t="str">
            <v>규격</v>
          </cell>
          <cell r="D1" t="str">
            <v>재고량</v>
          </cell>
          <cell r="E1" t="str">
            <v>소비기한</v>
          </cell>
          <cell r="F1" t="str">
            <v>재고량</v>
          </cell>
          <cell r="G1" t="str">
            <v>소비기한</v>
          </cell>
          <cell r="H1" t="str">
            <v>재고량</v>
          </cell>
          <cell r="I1" t="str">
            <v>소비기한</v>
          </cell>
        </row>
        <row r="2">
          <cell r="A2">
            <v>334969</v>
          </cell>
          <cell r="B2" t="str">
            <v>BF M POWDER</v>
          </cell>
          <cell r="C2">
            <v>4.3049999999999997</v>
          </cell>
          <cell r="D2" t="str">
            <v>-</v>
          </cell>
          <cell r="E2" t="str">
            <v>-</v>
          </cell>
          <cell r="I2" t="str">
            <v>-</v>
          </cell>
        </row>
        <row r="3">
          <cell r="A3">
            <v>254933</v>
          </cell>
          <cell r="B3" t="str">
            <v>플레이버 BM S-01(25kg)</v>
          </cell>
          <cell r="C3">
            <v>25</v>
          </cell>
          <cell r="D3" t="str">
            <v>-</v>
          </cell>
          <cell r="E3" t="str">
            <v>-</v>
          </cell>
          <cell r="I3" t="str">
            <v>-</v>
          </cell>
          <cell r="J3" t="e">
            <v>#VALUE!</v>
          </cell>
          <cell r="L3" t="e">
            <v>#VALUE!</v>
          </cell>
        </row>
        <row r="4">
          <cell r="A4">
            <v>257311</v>
          </cell>
          <cell r="B4" t="str">
            <v>티피믹스 HNI(10kg)</v>
          </cell>
          <cell r="C4">
            <v>10</v>
          </cell>
          <cell r="D4">
            <v>9.23</v>
          </cell>
          <cell r="E4" t="str">
            <v>25.08.27</v>
          </cell>
          <cell r="I4" t="str">
            <v>25.08.27</v>
          </cell>
          <cell r="J4">
            <v>45896</v>
          </cell>
          <cell r="L4" t="e">
            <v>#VALUE!</v>
          </cell>
        </row>
        <row r="5">
          <cell r="A5">
            <v>255161</v>
          </cell>
          <cell r="B5" t="str">
            <v>가드더블유 (20kg)</v>
          </cell>
          <cell r="C5">
            <v>20</v>
          </cell>
          <cell r="D5" t="str">
            <v>-</v>
          </cell>
          <cell r="E5" t="str">
            <v>-</v>
          </cell>
          <cell r="I5" t="str">
            <v>-</v>
          </cell>
          <cell r="J5" t="e">
            <v>#VALUE!</v>
          </cell>
          <cell r="L5" t="e">
            <v>#VALUE!</v>
          </cell>
        </row>
        <row r="6">
          <cell r="A6">
            <v>251371</v>
          </cell>
          <cell r="B6" t="str">
            <v>글루코만난 곤약분(25kg)</v>
          </cell>
          <cell r="C6">
            <v>25</v>
          </cell>
          <cell r="D6">
            <v>20.399999999999999</v>
          </cell>
          <cell r="E6" t="str">
            <v>25.11.25</v>
          </cell>
          <cell r="I6" t="str">
            <v>25.11.25</v>
          </cell>
          <cell r="J6">
            <v>45986</v>
          </cell>
          <cell r="L6" t="e">
            <v>#VALUE!</v>
          </cell>
        </row>
        <row r="7">
          <cell r="A7">
            <v>253582</v>
          </cell>
          <cell r="B7" t="str">
            <v>메토셀 엠엑스 다인소재 (15kg)</v>
          </cell>
          <cell r="C7">
            <v>15</v>
          </cell>
          <cell r="D7">
            <v>16.73</v>
          </cell>
          <cell r="E7" t="str">
            <v>27.03.28</v>
          </cell>
          <cell r="I7" t="str">
            <v>27.03.28</v>
          </cell>
          <cell r="J7">
            <v>46474</v>
          </cell>
          <cell r="L7" t="e">
            <v>#VALUE!</v>
          </cell>
        </row>
        <row r="8">
          <cell r="A8">
            <v>253595</v>
          </cell>
          <cell r="B8" t="str">
            <v>메틸셀룰로스(20kg/독일/KH)</v>
          </cell>
          <cell r="C8">
            <v>20</v>
          </cell>
          <cell r="D8">
            <v>43.66</v>
          </cell>
          <cell r="E8" t="str">
            <v>25.10.11</v>
          </cell>
          <cell r="I8" t="str">
            <v>25.10.11</v>
          </cell>
          <cell r="J8">
            <v>45941</v>
          </cell>
          <cell r="L8" t="e">
            <v>#VALUE!</v>
          </cell>
        </row>
        <row r="9">
          <cell r="A9">
            <v>255731</v>
          </cell>
          <cell r="B9" t="str">
            <v>풍미베이스BFS 샘표식품(10kg)</v>
          </cell>
          <cell r="C9">
            <v>10</v>
          </cell>
          <cell r="D9">
            <v>26.64</v>
          </cell>
          <cell r="E9" t="str">
            <v>25.09.02</v>
          </cell>
          <cell r="I9" t="str">
            <v>25.09.02</v>
          </cell>
          <cell r="J9">
            <v>45902</v>
          </cell>
          <cell r="L9" t="e">
            <v>#VALUE!</v>
          </cell>
        </row>
        <row r="10">
          <cell r="A10">
            <v>254833</v>
          </cell>
          <cell r="B10" t="str">
            <v>조직대두단백 response4380 듀폰 (11.34kg)</v>
          </cell>
          <cell r="C10">
            <v>11.34</v>
          </cell>
          <cell r="D10">
            <v>385.2</v>
          </cell>
          <cell r="E10" t="str">
            <v>26.02.15</v>
          </cell>
          <cell r="I10" t="str">
            <v>26.02.15</v>
          </cell>
          <cell r="J10">
            <v>46068</v>
          </cell>
          <cell r="L10" t="e">
            <v>#VALUE!</v>
          </cell>
        </row>
        <row r="11">
          <cell r="A11">
            <v>180592</v>
          </cell>
          <cell r="B11" t="str">
            <v>조직대두단백 response4400 듀폰 (11.34kg)</v>
          </cell>
          <cell r="C11">
            <v>11.34</v>
          </cell>
          <cell r="D11">
            <v>118.7</v>
          </cell>
          <cell r="E11" t="str">
            <v>26.06.18</v>
          </cell>
          <cell r="I11" t="str">
            <v>26.06.18</v>
          </cell>
          <cell r="J11">
            <v>46191</v>
          </cell>
          <cell r="L11" t="e">
            <v>#VALUE!</v>
          </cell>
        </row>
        <row r="12">
          <cell r="A12">
            <v>253596</v>
          </cell>
          <cell r="B12" t="str">
            <v>카라기난 카파(25kg)</v>
          </cell>
          <cell r="C12">
            <v>25</v>
          </cell>
          <cell r="D12">
            <v>20.67</v>
          </cell>
          <cell r="E12" t="str">
            <v>27.09.03</v>
          </cell>
          <cell r="I12" t="str">
            <v>27.09.03</v>
          </cell>
          <cell r="J12">
            <v>46633</v>
          </cell>
          <cell r="L12" t="e">
            <v>#VALUE!</v>
          </cell>
        </row>
        <row r="13">
          <cell r="A13">
            <v>253471</v>
          </cell>
          <cell r="B13" t="str">
            <v>콘텍스18 조직농축대두단백 Solbar(15kg)</v>
          </cell>
          <cell r="C13">
            <v>15</v>
          </cell>
          <cell r="D13">
            <v>210.4</v>
          </cell>
          <cell r="E13" t="str">
            <v>25.09.21</v>
          </cell>
          <cell r="I13" t="str">
            <v>25.09.21</v>
          </cell>
          <cell r="J13">
            <v>45921</v>
          </cell>
          <cell r="K13" t="str">
            <v>26.08.29</v>
          </cell>
          <cell r="L13">
            <v>46263</v>
          </cell>
        </row>
        <row r="14">
          <cell r="A14">
            <v>253594</v>
          </cell>
          <cell r="B14" t="str">
            <v>파셀리 비씨(25kg)</v>
          </cell>
          <cell r="C14">
            <v>25</v>
          </cell>
          <cell r="D14">
            <v>48.33</v>
          </cell>
          <cell r="E14" t="str">
            <v>26.10.20</v>
          </cell>
          <cell r="I14" t="str">
            <v>26.10.20</v>
          </cell>
          <cell r="J14">
            <v>46315</v>
          </cell>
          <cell r="K14" t="str">
            <v>25.12.18</v>
          </cell>
          <cell r="L14">
            <v>46009</v>
          </cell>
        </row>
        <row r="15">
          <cell r="A15">
            <v>194034</v>
          </cell>
          <cell r="B15" t="str">
            <v>홍국쌀가루 대두식품(1kg)</v>
          </cell>
          <cell r="C15">
            <v>1</v>
          </cell>
          <cell r="D15">
            <v>1.25</v>
          </cell>
          <cell r="E15" t="str">
            <v>25.12.18</v>
          </cell>
          <cell r="I15" t="str">
            <v>25.12.18</v>
          </cell>
          <cell r="J15">
            <v>46009</v>
          </cell>
          <cell r="L15" t="e">
            <v>#VALUE!</v>
          </cell>
        </row>
        <row r="16">
          <cell r="A16">
            <v>259263</v>
          </cell>
          <cell r="B16" t="str">
            <v>수프로620 분리대두단백 SOLAE(20kg)</v>
          </cell>
          <cell r="C16">
            <v>20</v>
          </cell>
          <cell r="D16">
            <v>13.65</v>
          </cell>
          <cell r="E16" t="str">
            <v>26.08.19</v>
          </cell>
          <cell r="I16" t="str">
            <v>26.08.19</v>
          </cell>
          <cell r="J16">
            <v>46253</v>
          </cell>
          <cell r="L16" t="e">
            <v>#VALUE!</v>
          </cell>
        </row>
        <row r="17">
          <cell r="A17">
            <v>259262</v>
          </cell>
          <cell r="B17" t="str">
            <v>솔프로920 분리대두단백 Shangdong wonderful(20kg)</v>
          </cell>
          <cell r="C17">
            <v>20</v>
          </cell>
          <cell r="D17">
            <v>5.46</v>
          </cell>
          <cell r="E17" t="str">
            <v>25.10.20</v>
          </cell>
          <cell r="I17" t="str">
            <v>25.10.20</v>
          </cell>
          <cell r="J17">
            <v>45950</v>
          </cell>
          <cell r="K17" t="str">
            <v>26.06.27</v>
          </cell>
          <cell r="L17">
            <v>46200</v>
          </cell>
        </row>
        <row r="18">
          <cell r="A18">
            <v>257816</v>
          </cell>
          <cell r="B18" t="str">
            <v>린사이드 뉴트리 옴티멈 BA10-PW(25kg/ 프랑스)</v>
          </cell>
          <cell r="C18">
            <v>25</v>
          </cell>
          <cell r="D18">
            <v>11.4</v>
          </cell>
          <cell r="E18" t="str">
            <v>26.06.27</v>
          </cell>
          <cell r="I18" t="str">
            <v>26.06.27</v>
          </cell>
          <cell r="J18">
            <v>46200</v>
          </cell>
          <cell r="L18" t="e">
            <v>#VALUE!</v>
          </cell>
        </row>
        <row r="19">
          <cell r="A19">
            <v>257817</v>
          </cell>
          <cell r="B19" t="str">
            <v>뉴트라바 시트러스 화이버 피크(15kg/브라질)</v>
          </cell>
          <cell r="C19">
            <v>15</v>
          </cell>
          <cell r="D19">
            <v>9.85</v>
          </cell>
          <cell r="E19" t="str">
            <v>26.05.06</v>
          </cell>
          <cell r="I19" t="str">
            <v>26.05.06</v>
          </cell>
          <cell r="J19">
            <v>46148</v>
          </cell>
          <cell r="L19" t="e">
            <v>#VALUE!</v>
          </cell>
        </row>
        <row r="20">
          <cell r="A20">
            <v>257819</v>
          </cell>
          <cell r="B20" t="str">
            <v>BM-S02 플레이버(25kg/태국)</v>
          </cell>
          <cell r="C20">
            <v>25</v>
          </cell>
          <cell r="D20">
            <v>0.24</v>
          </cell>
          <cell r="E20" t="str">
            <v>25.05.17</v>
          </cell>
          <cell r="I20" t="str">
            <v>25.05.17</v>
          </cell>
          <cell r="J20">
            <v>45794</v>
          </cell>
          <cell r="L20" t="e">
            <v>#VALUE!</v>
          </cell>
        </row>
        <row r="21">
          <cell r="A21">
            <v>311779</v>
          </cell>
          <cell r="B21" t="str">
            <v>발효추출물 CJ제일제당(20KG)</v>
          </cell>
          <cell r="C21">
            <v>20</v>
          </cell>
          <cell r="D21">
            <v>9.92</v>
          </cell>
          <cell r="E21" t="str">
            <v>27.10.09</v>
          </cell>
          <cell r="I21" t="str">
            <v>27.10.09</v>
          </cell>
          <cell r="J21">
            <v>46669</v>
          </cell>
          <cell r="L21" t="e">
            <v>#VALUE!</v>
          </cell>
        </row>
        <row r="22">
          <cell r="A22">
            <v>310871</v>
          </cell>
          <cell r="B22" t="str">
            <v>퍼펙타겔 엠피티 에이앤에스 스타치</v>
          </cell>
          <cell r="C22">
            <v>25</v>
          </cell>
          <cell r="D22">
            <v>12.01</v>
          </cell>
          <cell r="E22" t="str">
            <v>26.01.02</v>
          </cell>
          <cell r="I22" t="str">
            <v>26.01.02</v>
          </cell>
          <cell r="J22">
            <v>46024</v>
          </cell>
          <cell r="L22" t="e">
            <v>#VALUE!</v>
          </cell>
        </row>
        <row r="23">
          <cell r="A23">
            <v>315151</v>
          </cell>
          <cell r="B23" t="str">
            <v>캐러멜화설탕혼합분말 케이에스진</v>
          </cell>
          <cell r="C23">
            <v>1</v>
          </cell>
          <cell r="D23">
            <v>182.59</v>
          </cell>
          <cell r="E23" t="str">
            <v>26.04.10
26.04.30
26.05.29</v>
          </cell>
          <cell r="I23" t="str">
            <v>26.04.10</v>
          </cell>
          <cell r="J23">
            <v>46122</v>
          </cell>
          <cell r="L23" t="e">
            <v>#VALUE!</v>
          </cell>
        </row>
        <row r="24">
          <cell r="A24">
            <v>324581</v>
          </cell>
          <cell r="B24" t="str">
            <v>썬믹스 NH 20KG</v>
          </cell>
          <cell r="C24">
            <v>0</v>
          </cell>
          <cell r="D24" t="str">
            <v>-</v>
          </cell>
          <cell r="E24" t="str">
            <v>-</v>
          </cell>
          <cell r="I24" t="str">
            <v>-</v>
          </cell>
          <cell r="J24" t="e">
            <v>#VALUE!</v>
          </cell>
          <cell r="L24" t="e">
            <v>#VALUE!</v>
          </cell>
        </row>
        <row r="25">
          <cell r="A25">
            <v>324582</v>
          </cell>
          <cell r="B25" t="str">
            <v>썬에이스H 삼양사 20KG</v>
          </cell>
          <cell r="C25">
            <v>0</v>
          </cell>
          <cell r="D25" t="str">
            <v>-</v>
          </cell>
          <cell r="E25" t="str">
            <v>-</v>
          </cell>
          <cell r="I25" t="str">
            <v>-</v>
          </cell>
          <cell r="J25" t="e">
            <v>#VALUE!</v>
          </cell>
          <cell r="L25" t="e">
            <v>#VALUE!</v>
          </cell>
        </row>
        <row r="26">
          <cell r="A26">
            <v>320617</v>
          </cell>
          <cell r="B26" t="str">
            <v>간장소스BM 동원홈푸드</v>
          </cell>
          <cell r="C26">
            <v>5</v>
          </cell>
          <cell r="D26" t="str">
            <v>-</v>
          </cell>
          <cell r="E26" t="str">
            <v>-</v>
          </cell>
          <cell r="I26" t="str">
            <v>-</v>
          </cell>
          <cell r="J26" t="e">
            <v>#VALUE!</v>
          </cell>
          <cell r="L26" t="e">
            <v>#VALUE!</v>
          </cell>
        </row>
        <row r="27">
          <cell r="A27">
            <v>318063</v>
          </cell>
          <cell r="B27" t="str">
            <v>콜드컷 플레이버 블랜드 KERRY</v>
          </cell>
          <cell r="C27">
            <v>25</v>
          </cell>
          <cell r="D27" t="str">
            <v>-</v>
          </cell>
          <cell r="E27" t="str">
            <v>-</v>
          </cell>
          <cell r="I27" t="str">
            <v>-</v>
          </cell>
          <cell r="J27" t="e">
            <v>#VALUE!</v>
          </cell>
          <cell r="L27" t="e">
            <v>#VALUE!</v>
          </cell>
        </row>
        <row r="28">
          <cell r="A28">
            <v>318728</v>
          </cell>
          <cell r="B28" t="str">
            <v>발효추출물 LF01 CJ제일제당</v>
          </cell>
          <cell r="C28">
            <v>20</v>
          </cell>
          <cell r="D28">
            <v>41.4</v>
          </cell>
          <cell r="E28" t="str">
            <v>26.04.19</v>
          </cell>
          <cell r="I28" t="str">
            <v>26.04.19</v>
          </cell>
          <cell r="J28">
            <v>46131</v>
          </cell>
          <cell r="L28" t="e">
            <v>#VALUE!</v>
          </cell>
        </row>
        <row r="29">
          <cell r="A29">
            <v>313906</v>
          </cell>
          <cell r="B29" t="str">
            <v>쉐이드 베지레드 추출분말 에이원카프</v>
          </cell>
          <cell r="C29">
            <v>10</v>
          </cell>
          <cell r="D29" t="str">
            <v>-</v>
          </cell>
          <cell r="E29" t="str">
            <v>-</v>
          </cell>
          <cell r="I29" t="str">
            <v>-</v>
          </cell>
          <cell r="J29" t="e">
            <v>#VALUE!</v>
          </cell>
          <cell r="L29" t="e">
            <v>#VALUE!</v>
          </cell>
        </row>
        <row r="30">
          <cell r="A30">
            <v>262518</v>
          </cell>
          <cell r="B30" t="str">
            <v>메틸셀룰로스 MCE-100TS</v>
          </cell>
          <cell r="C30">
            <v>20</v>
          </cell>
          <cell r="D30">
            <v>29.34</v>
          </cell>
          <cell r="E30" t="str">
            <v>25.11.07</v>
          </cell>
          <cell r="I30" t="str">
            <v>25.11.07</v>
          </cell>
          <cell r="J30">
            <v>45968</v>
          </cell>
          <cell r="L30" t="e">
            <v>#VALUE!</v>
          </cell>
        </row>
        <row r="31">
          <cell r="A31">
            <v>320550</v>
          </cell>
          <cell r="B31" t="str">
            <v>스테이크향 KERRY INGREDIENTS 20KG</v>
          </cell>
          <cell r="C31">
            <v>0</v>
          </cell>
          <cell r="D31" t="str">
            <v>-</v>
          </cell>
          <cell r="E31" t="str">
            <v>-</v>
          </cell>
          <cell r="I31" t="str">
            <v>-</v>
          </cell>
          <cell r="J31" t="e">
            <v>#VALUE!</v>
          </cell>
          <cell r="L31" t="e">
            <v>#VALUE!</v>
          </cell>
        </row>
        <row r="32">
          <cell r="A32">
            <v>206080</v>
          </cell>
          <cell r="B32" t="str">
            <v>물류)버데드에프35 WJ</v>
          </cell>
          <cell r="C32">
            <v>20</v>
          </cell>
          <cell r="D32" t="str">
            <v>-</v>
          </cell>
          <cell r="E32" t="str">
            <v>-</v>
          </cell>
          <cell r="I32" t="str">
            <v>-</v>
          </cell>
          <cell r="J32" t="e">
            <v>#VALUE!</v>
          </cell>
          <cell r="K32" t="str">
            <v>25.07.30</v>
          </cell>
          <cell r="L32">
            <v>45868</v>
          </cell>
        </row>
        <row r="33">
          <cell r="A33">
            <v>311181</v>
          </cell>
          <cell r="B33" t="str">
            <v>허바셀 메이큐플러스 씨에프-엔 한국카라겐/20KG</v>
          </cell>
          <cell r="C33">
            <v>20</v>
          </cell>
          <cell r="D33">
            <v>66.459999999999994</v>
          </cell>
          <cell r="E33" t="str">
            <v>25.05.21
25.07.30</v>
          </cell>
          <cell r="I33" t="str">
            <v>25.05.21</v>
          </cell>
          <cell r="J33">
            <v>45798</v>
          </cell>
          <cell r="K33" t="str">
            <v>25.07.30</v>
          </cell>
          <cell r="L33">
            <v>45868</v>
          </cell>
        </row>
        <row r="34">
          <cell r="A34">
            <v>94955</v>
          </cell>
          <cell r="B34" t="str">
            <v>물류)코코아블랙파우더 500-DP-11 미립물산 25KG</v>
          </cell>
          <cell r="C34">
            <v>25</v>
          </cell>
          <cell r="D34" t="str">
            <v>-</v>
          </cell>
          <cell r="E34" t="str">
            <v>-</v>
          </cell>
          <cell r="I34" t="str">
            <v>-</v>
          </cell>
          <cell r="J34" t="e">
            <v>#VALUE!</v>
          </cell>
          <cell r="L34" t="e">
            <v>#VALUE!</v>
          </cell>
        </row>
        <row r="35">
          <cell r="A35">
            <v>98579</v>
          </cell>
          <cell r="B35" t="str">
            <v>카카오바리 코코아파우더 제원 1KG, 카카오바리</v>
          </cell>
          <cell r="C35">
            <v>1</v>
          </cell>
          <cell r="D35">
            <v>11.42</v>
          </cell>
          <cell r="E35" t="str">
            <v>26.04.01</v>
          </cell>
          <cell r="I35" t="str">
            <v>26.04.01</v>
          </cell>
          <cell r="J35">
            <v>46113</v>
          </cell>
          <cell r="L35" t="e">
            <v>#VALUE!</v>
          </cell>
        </row>
        <row r="36">
          <cell r="A36">
            <v>191969</v>
          </cell>
          <cell r="B36" t="str">
            <v>양파분말80 리치밀 10KG</v>
          </cell>
          <cell r="C36">
            <v>10</v>
          </cell>
          <cell r="D36">
            <v>17.96</v>
          </cell>
          <cell r="E36" t="str">
            <v>26.01.02</v>
          </cell>
          <cell r="I36" t="str">
            <v>26.01.02</v>
          </cell>
          <cell r="J36">
            <v>46024</v>
          </cell>
          <cell r="L36" t="e">
            <v>#VALUE!</v>
          </cell>
        </row>
        <row r="37">
          <cell r="A37">
            <v>326809</v>
          </cell>
          <cell r="B37" t="str">
            <v>막사보 와이이 DSM 20KG</v>
          </cell>
          <cell r="C37">
            <v>20</v>
          </cell>
          <cell r="D37" t="str">
            <v>-</v>
          </cell>
          <cell r="E37" t="str">
            <v>-</v>
          </cell>
          <cell r="I37" t="str">
            <v>-</v>
          </cell>
          <cell r="J37" t="e">
            <v>#VALUE!</v>
          </cell>
          <cell r="L37" t="e">
            <v>#VALUE!</v>
          </cell>
        </row>
        <row r="38">
          <cell r="A38">
            <v>326810</v>
          </cell>
          <cell r="B38" t="str">
            <v>발효추출물 테이스트엔리치 CJ제일제당 10KG</v>
          </cell>
          <cell r="C38">
            <v>10</v>
          </cell>
          <cell r="D38" t="str">
            <v>-</v>
          </cell>
          <cell r="E38" t="str">
            <v>-</v>
          </cell>
          <cell r="I38" t="str">
            <v>-</v>
          </cell>
          <cell r="J38" t="e">
            <v>#VALUE!</v>
          </cell>
          <cell r="L38" t="e">
            <v>#VALUE!</v>
          </cell>
        </row>
        <row r="39">
          <cell r="A39">
            <v>326953</v>
          </cell>
          <cell r="B39" t="str">
            <v>그릴린GB 동방푸드마스타 15KG</v>
          </cell>
          <cell r="C39">
            <v>15</v>
          </cell>
          <cell r="D39">
            <v>8.1199999999999992</v>
          </cell>
          <cell r="E39" t="str">
            <v>26.03.04</v>
          </cell>
          <cell r="I39" t="str">
            <v>26.03.04</v>
          </cell>
          <cell r="J39">
            <v>46085</v>
          </cell>
          <cell r="L39" t="e">
            <v>#VALUE!</v>
          </cell>
        </row>
        <row r="40">
          <cell r="A40">
            <v>331935</v>
          </cell>
          <cell r="B40" t="str">
            <v>발효 엔아미노 LH 대상 10KG</v>
          </cell>
          <cell r="C40">
            <v>10</v>
          </cell>
          <cell r="D40">
            <v>10</v>
          </cell>
          <cell r="E40" t="str">
            <v>26.08.25</v>
          </cell>
          <cell r="I40" t="str">
            <v>26.08.25</v>
          </cell>
          <cell r="J40">
            <v>46259</v>
          </cell>
          <cell r="L40" t="e">
            <v>#VALUE!</v>
          </cell>
        </row>
        <row r="41">
          <cell r="A41">
            <v>321472</v>
          </cell>
          <cell r="B41" t="str">
            <v>아미노베이스PS 샘표식품 20KG</v>
          </cell>
          <cell r="C41">
            <v>20</v>
          </cell>
          <cell r="D41">
            <v>14.02</v>
          </cell>
          <cell r="E41" t="str">
            <v>25.09.25</v>
          </cell>
          <cell r="I41" t="str">
            <v>25.09.25</v>
          </cell>
          <cell r="J41">
            <v>45925</v>
          </cell>
          <cell r="L41" t="e">
            <v>#VALUE!</v>
          </cell>
        </row>
        <row r="42">
          <cell r="A42">
            <v>320193</v>
          </cell>
          <cell r="B42" t="str">
            <v>베러테이스트VF ver1</v>
          </cell>
          <cell r="C42">
            <v>10</v>
          </cell>
          <cell r="D42" t="str">
            <v>-</v>
          </cell>
          <cell r="E42" t="str">
            <v>-</v>
          </cell>
          <cell r="I42" t="str">
            <v>-</v>
          </cell>
          <cell r="J42" t="e">
            <v>#VALUE!</v>
          </cell>
          <cell r="L42" t="e">
            <v>#VALUE!</v>
          </cell>
        </row>
        <row r="43">
          <cell r="A43">
            <v>325062</v>
          </cell>
          <cell r="B43" t="str">
            <v>베러테이스트VF ver2</v>
          </cell>
          <cell r="C43">
            <v>10</v>
          </cell>
          <cell r="D43">
            <v>70</v>
          </cell>
          <cell r="E43" t="str">
            <v>25.11.29</v>
          </cell>
          <cell r="I43" t="str">
            <v>25.11.29</v>
          </cell>
          <cell r="J43">
            <v>45990</v>
          </cell>
          <cell r="L43" t="e">
            <v>#VALUE!</v>
          </cell>
        </row>
        <row r="44">
          <cell r="A44" t="str">
            <v>048527</v>
          </cell>
          <cell r="B44" t="str">
            <v>그릴린지비 레드알로우</v>
          </cell>
          <cell r="D44">
            <v>4.42</v>
          </cell>
          <cell r="E44" t="str">
            <v>25.08.28</v>
          </cell>
          <cell r="I44" t="str">
            <v>25.08.28</v>
          </cell>
          <cell r="J44">
            <v>45897</v>
          </cell>
          <cell r="L44" t="e">
            <v>#VALUE!</v>
          </cell>
        </row>
        <row r="45">
          <cell r="A45" t="str">
            <v>064585</v>
          </cell>
          <cell r="B45" t="str">
            <v>구아검 금영</v>
          </cell>
          <cell r="D45">
            <v>20.8</v>
          </cell>
          <cell r="E45" t="str">
            <v>25.07.30</v>
          </cell>
          <cell r="I45" t="str">
            <v>25.07.30</v>
          </cell>
          <cell r="J45">
            <v>45868</v>
          </cell>
          <cell r="L45" t="e">
            <v>#VALUE!</v>
          </cell>
        </row>
        <row r="46">
          <cell r="A46" t="str">
            <v>117697</v>
          </cell>
          <cell r="B46" t="str">
            <v>물류)함수결정포도당 직납 대상</v>
          </cell>
          <cell r="D46">
            <v>23.1</v>
          </cell>
          <cell r="E46" t="str">
            <v>25.12.11</v>
          </cell>
          <cell r="I46" t="str">
            <v>25.12.11</v>
          </cell>
          <cell r="J46">
            <v>46002</v>
          </cell>
          <cell r="L46" t="e">
            <v>#VALUE!</v>
          </cell>
        </row>
        <row r="47">
          <cell r="A47" t="str">
            <v>320844</v>
          </cell>
          <cell r="B47" t="str">
            <v>염화칼륨 미화</v>
          </cell>
          <cell r="D47">
            <v>14.06</v>
          </cell>
          <cell r="E47" t="str">
            <v>제조 23.10.24</v>
          </cell>
          <cell r="I47" t="str">
            <v>제조 23.10.24</v>
          </cell>
          <cell r="J47" t="e">
            <v>#VALUE!</v>
          </cell>
          <cell r="L47" t="e">
            <v>#VALUE!</v>
          </cell>
        </row>
        <row r="48">
          <cell r="A48" t="str">
            <v>241556</v>
          </cell>
          <cell r="B48" t="str">
            <v>마늘분말 이슬나라</v>
          </cell>
          <cell r="D48">
            <v>0.9</v>
          </cell>
          <cell r="E48" t="str">
            <v>25.06.19</v>
          </cell>
          <cell r="I48" t="str">
            <v>25.06.19</v>
          </cell>
          <cell r="J48">
            <v>45827</v>
          </cell>
          <cell r="L48" t="e">
            <v>#VALUE!</v>
          </cell>
        </row>
        <row r="49">
          <cell r="A49" t="str">
            <v>252843</v>
          </cell>
          <cell r="B49" t="str">
            <v>오토 찰진고구마당면 영흥식품</v>
          </cell>
          <cell r="D49">
            <v>13</v>
          </cell>
          <cell r="E49" t="str">
            <v>26.03.17</v>
          </cell>
          <cell r="I49" t="str">
            <v>26.03.17</v>
          </cell>
          <cell r="J49">
            <v>46098</v>
          </cell>
          <cell r="K49" t="str">
            <v>26.07.25</v>
          </cell>
          <cell r="L49">
            <v>46228</v>
          </cell>
        </row>
        <row r="50">
          <cell r="A50" t="str">
            <v>253650</v>
          </cell>
          <cell r="B50" t="str">
            <v>잔탄검 다인소재</v>
          </cell>
          <cell r="D50">
            <v>42.21</v>
          </cell>
          <cell r="E50" t="str">
            <v>25.08.19
26.07.25</v>
          </cell>
          <cell r="I50" t="str">
            <v>25.08.19</v>
          </cell>
          <cell r="J50">
            <v>45888</v>
          </cell>
          <cell r="K50" t="str">
            <v>26.07.25</v>
          </cell>
          <cell r="L50">
            <v>46228</v>
          </cell>
        </row>
        <row r="51">
          <cell r="A51" t="str">
            <v>262714</v>
          </cell>
          <cell r="B51" t="str">
            <v>UF02 CJ제일제당</v>
          </cell>
          <cell r="D51">
            <v>16.88</v>
          </cell>
          <cell r="E51" t="str">
            <v>27.05.20</v>
          </cell>
          <cell r="I51" t="str">
            <v>27.05.20</v>
          </cell>
          <cell r="J51">
            <v>46527</v>
          </cell>
          <cell r="L51" t="e">
            <v>#VALUE!</v>
          </cell>
        </row>
        <row r="52">
          <cell r="A52" t="str">
            <v>315599</v>
          </cell>
          <cell r="B52" t="str">
            <v>젖산칼슘 주피터인터내셔널</v>
          </cell>
          <cell r="D52">
            <v>19.63</v>
          </cell>
          <cell r="E52" t="str">
            <v>27.09.30</v>
          </cell>
          <cell r="I52" t="str">
            <v>27.09.30</v>
          </cell>
          <cell r="J52">
            <v>46660</v>
          </cell>
          <cell r="L52" t="e">
            <v>#VALUE!</v>
          </cell>
        </row>
        <row r="53">
          <cell r="A53" t="str">
            <v>045044</v>
          </cell>
          <cell r="B53" t="str">
            <v>코리엔더파우더 은진물산(450g) [1box 12]</v>
          </cell>
          <cell r="D53">
            <v>4.04</v>
          </cell>
          <cell r="E53" t="str">
            <v>26.02.22</v>
          </cell>
          <cell r="I53" t="str">
            <v>26.02.22</v>
          </cell>
          <cell r="J53">
            <v>46075</v>
          </cell>
          <cell r="L53" t="e">
            <v>#VALUE!</v>
          </cell>
        </row>
        <row r="54">
          <cell r="A54" t="str">
            <v>117254</v>
          </cell>
          <cell r="B54" t="str">
            <v>로즈마리 분말 은진물산(250g) [1box 12]</v>
          </cell>
          <cell r="D54">
            <v>0.87</v>
          </cell>
          <cell r="E54" t="str">
            <v>26.02.13</v>
          </cell>
          <cell r="I54" t="str">
            <v>26.02.13</v>
          </cell>
          <cell r="J54">
            <v>46066</v>
          </cell>
          <cell r="L54" t="e">
            <v>#VALUE!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품목</v>
          </cell>
          <cell r="B1" t="str">
            <v>품목명</v>
          </cell>
          <cell r="C1" t="str">
            <v>규격</v>
          </cell>
          <cell r="D1" t="str">
            <v>재고량</v>
          </cell>
          <cell r="E1" t="str">
            <v>소비기한</v>
          </cell>
          <cell r="F1" t="str">
            <v>재고량</v>
          </cell>
        </row>
        <row r="2">
          <cell r="A2">
            <v>254933</v>
          </cell>
          <cell r="B2" t="str">
            <v>플레이버 BM S001(25kg)</v>
          </cell>
          <cell r="C2">
            <v>25</v>
          </cell>
          <cell r="D2">
            <v>0</v>
          </cell>
        </row>
        <row r="3">
          <cell r="A3">
            <v>257311</v>
          </cell>
          <cell r="B3" t="str">
            <v>티피믹스 HNI(10kg)</v>
          </cell>
          <cell r="C3">
            <v>10</v>
          </cell>
          <cell r="D3">
            <v>10.83</v>
          </cell>
          <cell r="E3" t="str">
            <v>25.08.27</v>
          </cell>
        </row>
        <row r="4">
          <cell r="A4">
            <v>255161</v>
          </cell>
          <cell r="B4" t="str">
            <v>가드더블유 (20kg)</v>
          </cell>
          <cell r="C4">
            <v>20</v>
          </cell>
          <cell r="D4">
            <v>0</v>
          </cell>
        </row>
        <row r="5">
          <cell r="A5">
            <v>251371</v>
          </cell>
          <cell r="B5" t="str">
            <v>글루코만난 곤약분(25kg)</v>
          </cell>
          <cell r="C5">
            <v>25</v>
          </cell>
          <cell r="D5">
            <v>48.88</v>
          </cell>
          <cell r="E5" t="str">
            <v>25.11.25</v>
          </cell>
        </row>
        <row r="6">
          <cell r="A6">
            <v>253582</v>
          </cell>
          <cell r="B6" t="str">
            <v>메토셀 엠엑스 다인소재 (15kg)</v>
          </cell>
          <cell r="C6">
            <v>15</v>
          </cell>
          <cell r="D6">
            <v>15</v>
          </cell>
          <cell r="E6" t="str">
            <v>27.03.28</v>
          </cell>
        </row>
        <row r="7">
          <cell r="A7">
            <v>253595</v>
          </cell>
          <cell r="B7" t="str">
            <v>메틸셀룰로스(20kg/독일/KH04000)</v>
          </cell>
          <cell r="C7">
            <v>20</v>
          </cell>
          <cell r="D7">
            <v>39.49</v>
          </cell>
          <cell r="E7" t="str">
            <v>25.10.11</v>
          </cell>
        </row>
        <row r="8">
          <cell r="A8">
            <v>255731</v>
          </cell>
          <cell r="B8" t="str">
            <v>풍미베이스BFS 샘표식품(10kg)</v>
          </cell>
          <cell r="C8">
            <v>10</v>
          </cell>
          <cell r="D8">
            <v>66.73</v>
          </cell>
          <cell r="E8" t="str">
            <v>25.09.02</v>
          </cell>
        </row>
        <row r="9">
          <cell r="A9">
            <v>254833</v>
          </cell>
          <cell r="B9" t="str">
            <v>조직대두단백 response4380 듀폰 (11.34kg)</v>
          </cell>
          <cell r="C9">
            <v>11.34</v>
          </cell>
          <cell r="D9">
            <v>385.2</v>
          </cell>
          <cell r="E9" t="str">
            <v>26.02.15</v>
          </cell>
        </row>
        <row r="10">
          <cell r="A10">
            <v>180592</v>
          </cell>
          <cell r="B10" t="str">
            <v>조직대두단백 response4400 듀폰 (11.34kg)</v>
          </cell>
          <cell r="C10">
            <v>11.34</v>
          </cell>
          <cell r="D10">
            <v>299.31</v>
          </cell>
          <cell r="E10" t="str">
            <v>26.06.18</v>
          </cell>
        </row>
        <row r="11">
          <cell r="A11">
            <v>253596</v>
          </cell>
          <cell r="B11" t="str">
            <v>카라기난 카파(25kg)</v>
          </cell>
          <cell r="C11">
            <v>25</v>
          </cell>
          <cell r="D11">
            <v>56.67</v>
          </cell>
          <cell r="E11" t="str">
            <v>27.09.03</v>
          </cell>
        </row>
        <row r="12">
          <cell r="A12">
            <v>253471</v>
          </cell>
          <cell r="B12" t="str">
            <v>콘텍스18 조직농축대두단백 Solbar(15kg)</v>
          </cell>
          <cell r="C12">
            <v>15</v>
          </cell>
          <cell r="D12">
            <v>210.4</v>
          </cell>
          <cell r="E12" t="str">
            <v>25.09.21</v>
          </cell>
        </row>
        <row r="13">
          <cell r="A13">
            <v>253594</v>
          </cell>
          <cell r="B13" t="str">
            <v>파셀리 비씨(25kg)</v>
          </cell>
          <cell r="C13">
            <v>25</v>
          </cell>
          <cell r="D13">
            <v>7.49</v>
          </cell>
          <cell r="E13" t="str">
            <v>26.08.11</v>
          </cell>
          <cell r="F13">
            <v>50</v>
          </cell>
        </row>
        <row r="14">
          <cell r="A14">
            <v>194034</v>
          </cell>
          <cell r="B14" t="str">
            <v>홍국쌀가루 대두식품(1kg)</v>
          </cell>
          <cell r="C14">
            <v>1</v>
          </cell>
          <cell r="D14">
            <v>2</v>
          </cell>
          <cell r="E14" t="str">
            <v>25.08.21</v>
          </cell>
          <cell r="F14">
            <v>6.05</v>
          </cell>
        </row>
        <row r="15">
          <cell r="A15">
            <v>259263</v>
          </cell>
          <cell r="B15" t="str">
            <v>수프로620 분리대두단백 SOLAE(20kg)</v>
          </cell>
          <cell r="C15">
            <v>20</v>
          </cell>
          <cell r="D15">
            <v>92.32</v>
          </cell>
          <cell r="E15" t="str">
            <v>26.08.19</v>
          </cell>
        </row>
        <row r="16">
          <cell r="A16">
            <v>259262</v>
          </cell>
          <cell r="B16" t="str">
            <v>솔프로920 분리대두단백 Shangdong wonderful(20kg)</v>
          </cell>
          <cell r="C16">
            <v>20</v>
          </cell>
          <cell r="D16">
            <v>45.36</v>
          </cell>
          <cell r="E16" t="str">
            <v>25.10.20</v>
          </cell>
        </row>
        <row r="17">
          <cell r="A17">
            <v>257816</v>
          </cell>
          <cell r="B17" t="str">
            <v>린사이드 뉴트리 옴티멈 BA100PW(25kg/ 프랑스)</v>
          </cell>
          <cell r="C17">
            <v>25</v>
          </cell>
          <cell r="D17">
            <v>14.05</v>
          </cell>
          <cell r="E17" t="str">
            <v>25.10.12</v>
          </cell>
          <cell r="F17">
            <v>25</v>
          </cell>
        </row>
        <row r="18">
          <cell r="A18">
            <v>257817</v>
          </cell>
          <cell r="B18" t="str">
            <v>뉴트라바 시트러스 화이버 피크(15kg/브라질)</v>
          </cell>
          <cell r="C18">
            <v>15</v>
          </cell>
          <cell r="D18">
            <v>29.94</v>
          </cell>
          <cell r="E18" t="str">
            <v>26.05.06</v>
          </cell>
        </row>
        <row r="19">
          <cell r="A19">
            <v>257819</v>
          </cell>
          <cell r="B19" t="str">
            <v>BM0S02 플레이버(25kg/태국)</v>
          </cell>
          <cell r="C19">
            <v>25</v>
          </cell>
          <cell r="D19">
            <v>12.35</v>
          </cell>
          <cell r="E19" t="str">
            <v>25.05.17</v>
          </cell>
        </row>
        <row r="20">
          <cell r="A20">
            <v>311779</v>
          </cell>
          <cell r="B20" t="str">
            <v>발효추출물(TasteNrich Solution B5) CJ제일제당(20KG)</v>
          </cell>
          <cell r="C20">
            <v>20</v>
          </cell>
          <cell r="D20">
            <v>15.16</v>
          </cell>
          <cell r="E20" t="str">
            <v>27.10.09</v>
          </cell>
        </row>
        <row r="21">
          <cell r="A21">
            <v>310871</v>
          </cell>
          <cell r="B21" t="str">
            <v>퍼펙타겔 엠피티 에이앤에스 스타치</v>
          </cell>
          <cell r="C21">
            <v>25</v>
          </cell>
          <cell r="D21">
            <v>3.59</v>
          </cell>
          <cell r="E21" t="str">
            <v>26.01.02</v>
          </cell>
        </row>
        <row r="22">
          <cell r="A22">
            <v>315151</v>
          </cell>
          <cell r="B22" t="str">
            <v>캐러멜화설탕혼합분말 케이에스진</v>
          </cell>
          <cell r="C22">
            <v>1</v>
          </cell>
          <cell r="D22">
            <v>182.59</v>
          </cell>
          <cell r="E22" t="str">
            <v>26.04.10</v>
          </cell>
        </row>
        <row r="23">
          <cell r="A23">
            <v>324581</v>
          </cell>
          <cell r="B23" t="str">
            <v>썬믹스 NH 20KG</v>
          </cell>
          <cell r="C23">
            <v>0</v>
          </cell>
          <cell r="D23">
            <v>0</v>
          </cell>
        </row>
        <row r="24">
          <cell r="A24">
            <v>324582</v>
          </cell>
          <cell r="B24" t="str">
            <v>썬에이스H 삼양사 20KG</v>
          </cell>
          <cell r="C24">
            <v>0</v>
          </cell>
          <cell r="D24">
            <v>0</v>
          </cell>
        </row>
        <row r="25">
          <cell r="A25">
            <v>320617</v>
          </cell>
          <cell r="B25" t="str">
            <v>간장소스BM 동원홈푸드</v>
          </cell>
          <cell r="C25">
            <v>5</v>
          </cell>
          <cell r="D25">
            <v>0</v>
          </cell>
        </row>
        <row r="26">
          <cell r="A26">
            <v>318063</v>
          </cell>
          <cell r="B26" t="str">
            <v>콜드컷 플레이버 블랜드 KERRY</v>
          </cell>
          <cell r="C26">
            <v>25</v>
          </cell>
          <cell r="D26">
            <v>0</v>
          </cell>
        </row>
        <row r="27">
          <cell r="A27">
            <v>318728</v>
          </cell>
          <cell r="B27" t="str">
            <v>발효추출물 LF01 CJ제일제당</v>
          </cell>
          <cell r="C27">
            <v>20</v>
          </cell>
          <cell r="D27">
            <v>41.4</v>
          </cell>
          <cell r="E27" t="str">
            <v>26.04.19</v>
          </cell>
        </row>
        <row r="28">
          <cell r="A28">
            <v>313906</v>
          </cell>
          <cell r="B28" t="str">
            <v>쉐이드 베지레드 추출분말 에이원카프</v>
          </cell>
          <cell r="C28">
            <v>10</v>
          </cell>
          <cell r="D28">
            <v>34.54</v>
          </cell>
          <cell r="E28" t="str">
            <v>25.04.21</v>
          </cell>
        </row>
        <row r="29">
          <cell r="A29">
            <v>262518</v>
          </cell>
          <cell r="B29" t="str">
            <v>메틸셀룰로스 MCE0100TS</v>
          </cell>
          <cell r="C29">
            <v>20</v>
          </cell>
          <cell r="D29">
            <v>29.34</v>
          </cell>
          <cell r="E29" t="str">
            <v>25.11.07</v>
          </cell>
        </row>
        <row r="30">
          <cell r="A30">
            <v>320550</v>
          </cell>
          <cell r="B30" t="str">
            <v>스테이크향 KERRY INGREDIENTS 20KG</v>
          </cell>
          <cell r="C30">
            <v>0</v>
          </cell>
          <cell r="D30">
            <v>0</v>
          </cell>
        </row>
        <row r="31">
          <cell r="A31">
            <v>206080</v>
          </cell>
          <cell r="B31" t="str">
            <v>물류)버데드에프35 WJ</v>
          </cell>
          <cell r="C31">
            <v>20</v>
          </cell>
          <cell r="D31">
            <v>0</v>
          </cell>
        </row>
        <row r="32">
          <cell r="A32">
            <v>311181</v>
          </cell>
          <cell r="B32" t="str">
            <v>허바셀 메이큐플러스 씨에프0엔 한국카라겐/20KG</v>
          </cell>
          <cell r="C32">
            <v>20</v>
          </cell>
          <cell r="D32">
            <v>51.36</v>
          </cell>
          <cell r="E32" t="str">
            <v>25.05.21</v>
          </cell>
          <cell r="F32">
            <v>15.1</v>
          </cell>
        </row>
        <row r="33">
          <cell r="A33">
            <v>94955</v>
          </cell>
          <cell r="B33" t="str">
            <v>물류)코코아블랙파우더 5000DP011 미립물산 25KG</v>
          </cell>
          <cell r="C33">
            <v>25</v>
          </cell>
          <cell r="D33">
            <v>0</v>
          </cell>
        </row>
        <row r="34">
          <cell r="A34">
            <v>98579</v>
          </cell>
          <cell r="B34" t="str">
            <v>카카오바리 코코아파우더 제원 1KG, 카카오바리</v>
          </cell>
          <cell r="C34">
            <v>1</v>
          </cell>
          <cell r="D34">
            <v>5.39</v>
          </cell>
          <cell r="E34" t="str">
            <v>26.03.30</v>
          </cell>
        </row>
        <row r="35">
          <cell r="A35">
            <v>191969</v>
          </cell>
          <cell r="B35" t="str">
            <v>양파분말80 리치밀 10KG</v>
          </cell>
          <cell r="C35">
            <v>10</v>
          </cell>
          <cell r="D35">
            <v>3.32</v>
          </cell>
          <cell r="E35" t="str">
            <v>25.10.16</v>
          </cell>
        </row>
        <row r="36">
          <cell r="A36">
            <v>326809</v>
          </cell>
          <cell r="B36" t="str">
            <v>막사보 와이이 DSM 20KG</v>
          </cell>
          <cell r="C36">
            <v>20</v>
          </cell>
          <cell r="D36">
            <v>17.78</v>
          </cell>
          <cell r="E36" t="str">
            <v>26.03.18</v>
          </cell>
        </row>
        <row r="37">
          <cell r="A37">
            <v>326810</v>
          </cell>
          <cell r="B37" t="str">
            <v>발효추출물 테이스트엔리치 CJ제일제당 10KG</v>
          </cell>
          <cell r="C37">
            <v>10</v>
          </cell>
          <cell r="D37">
            <v>0</v>
          </cell>
        </row>
        <row r="38">
          <cell r="A38">
            <v>326953</v>
          </cell>
          <cell r="B38" t="str">
            <v>그릴린GB 동방푸드마스타 15KG</v>
          </cell>
          <cell r="C38">
            <v>15</v>
          </cell>
          <cell r="D38">
            <v>8.1199999999999992</v>
          </cell>
          <cell r="E38" t="str">
            <v>26.03.04</v>
          </cell>
        </row>
        <row r="39">
          <cell r="A39">
            <v>331935</v>
          </cell>
          <cell r="B39" t="str">
            <v>발효 엔아미노 LH 대상 10KG</v>
          </cell>
          <cell r="C39">
            <v>10</v>
          </cell>
          <cell r="D39">
            <v>10</v>
          </cell>
          <cell r="E39" t="str">
            <v>26.08.25</v>
          </cell>
        </row>
        <row r="40">
          <cell r="A40">
            <v>321472</v>
          </cell>
          <cell r="B40" t="str">
            <v>아미노베이스PS 샘표식품 20KG</v>
          </cell>
          <cell r="C40">
            <v>20</v>
          </cell>
          <cell r="D40">
            <v>14.02</v>
          </cell>
          <cell r="E40" t="str">
            <v>25.09.25</v>
          </cell>
        </row>
        <row r="41">
          <cell r="A41">
            <v>320193</v>
          </cell>
          <cell r="B41" t="str">
            <v>베러테이스트VF ver1</v>
          </cell>
          <cell r="C41">
            <v>10</v>
          </cell>
          <cell r="D41">
            <v>0</v>
          </cell>
        </row>
        <row r="42">
          <cell r="A42">
            <v>325062</v>
          </cell>
          <cell r="B42" t="str">
            <v>베러테이스트VF ver2</v>
          </cell>
          <cell r="C42">
            <v>10</v>
          </cell>
          <cell r="D42">
            <v>70</v>
          </cell>
          <cell r="E42" t="str">
            <v>25.11.29</v>
          </cell>
        </row>
        <row r="43">
          <cell r="A43" t="str">
            <v>048527</v>
          </cell>
          <cell r="B43" t="str">
            <v>그릴린지비 레드알로우</v>
          </cell>
          <cell r="C43" t="str">
            <v>68kg</v>
          </cell>
          <cell r="D43">
            <v>4.42</v>
          </cell>
          <cell r="E43" t="str">
            <v>25.08.28</v>
          </cell>
        </row>
        <row r="44">
          <cell r="A44" t="str">
            <v>064585</v>
          </cell>
          <cell r="B44" t="str">
            <v>구아검 금영</v>
          </cell>
          <cell r="C44" t="str">
            <v>25kg</v>
          </cell>
          <cell r="D44">
            <v>20.8</v>
          </cell>
          <cell r="E44" t="str">
            <v>25.07.30</v>
          </cell>
        </row>
        <row r="45">
          <cell r="A45" t="str">
            <v>117697</v>
          </cell>
          <cell r="B45" t="str">
            <v>물류)함수결정포도당 직납 대상</v>
          </cell>
          <cell r="C45" t="str">
            <v>20kg</v>
          </cell>
          <cell r="D45">
            <v>23.1</v>
          </cell>
          <cell r="E45" t="str">
            <v>25.12.11</v>
          </cell>
        </row>
        <row r="46">
          <cell r="A46" t="str">
            <v>320844</v>
          </cell>
          <cell r="B46" t="str">
            <v>염화칼륨 미화</v>
          </cell>
          <cell r="C46" t="str">
            <v>20kg</v>
          </cell>
          <cell r="D46">
            <v>14.06</v>
          </cell>
          <cell r="E46" t="str">
            <v>제조 23.10.24</v>
          </cell>
        </row>
        <row r="47">
          <cell r="A47" t="str">
            <v>241556</v>
          </cell>
          <cell r="B47" t="str">
            <v>마늘분말 이슬나라</v>
          </cell>
          <cell r="C47" t="str">
            <v>0.45kg</v>
          </cell>
          <cell r="D47">
            <v>0.9</v>
          </cell>
          <cell r="E47" t="str">
            <v>25.06.19</v>
          </cell>
        </row>
        <row r="48">
          <cell r="A48" t="str">
            <v>252843</v>
          </cell>
          <cell r="B48" t="str">
            <v>오토 찰진고구마당면 영흥식품</v>
          </cell>
          <cell r="C48" t="str">
            <v>13kg</v>
          </cell>
          <cell r="D48">
            <v>13</v>
          </cell>
          <cell r="E48" t="str">
            <v>26.03.07</v>
          </cell>
        </row>
        <row r="49">
          <cell r="A49" t="str">
            <v>253650</v>
          </cell>
          <cell r="B49" t="str">
            <v>잔탄검 다인소재</v>
          </cell>
          <cell r="C49" t="str">
            <v>25kg</v>
          </cell>
          <cell r="D49">
            <v>16.489999999999998</v>
          </cell>
          <cell r="E49" t="str">
            <v>25.08.19</v>
          </cell>
          <cell r="F49">
            <v>24.72</v>
          </cell>
        </row>
        <row r="50">
          <cell r="A50" t="str">
            <v>262714</v>
          </cell>
          <cell r="B50" t="str">
            <v>UF02 CJ제일제당</v>
          </cell>
          <cell r="C50" t="str">
            <v>20kg</v>
          </cell>
          <cell r="D50">
            <v>16.88</v>
          </cell>
          <cell r="E50" t="str">
            <v>27.05.20</v>
          </cell>
        </row>
        <row r="51">
          <cell r="A51" t="str">
            <v>315599</v>
          </cell>
          <cell r="B51" t="str">
            <v>젖산칼슘 주피터인터내셔널</v>
          </cell>
          <cell r="C51" t="str">
            <v>20kg</v>
          </cell>
          <cell r="D51">
            <v>19.82</v>
          </cell>
          <cell r="E51" t="str">
            <v>27.09.30</v>
          </cell>
        </row>
        <row r="52">
          <cell r="A52" t="str">
            <v>045044</v>
          </cell>
          <cell r="B52" t="str">
            <v>코리엔더파우더 은진물산(450g) [1box 12]</v>
          </cell>
          <cell r="C52" t="str">
            <v>0.45kg</v>
          </cell>
          <cell r="D52">
            <v>0</v>
          </cell>
        </row>
        <row r="53">
          <cell r="A53" t="str">
            <v>117254</v>
          </cell>
          <cell r="B53" t="str">
            <v>로즈마리 분말 은진물산(250g) [1box 12]</v>
          </cell>
          <cell r="C53" t="str">
            <v>0.25kg</v>
          </cell>
          <cell r="D53">
            <v>2.1800000000000002</v>
          </cell>
          <cell r="E53" t="str">
            <v>26.02.13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B80"/>
  <sheetViews>
    <sheetView zoomScale="115" zoomScaleNormal="115" zoomScaleSheetLayoutView="100" workbookViewId="0">
      <pane xSplit="3" topLeftCell="D1" activePane="topRight" state="frozen"/>
      <selection activeCell="J22" sqref="J22"/>
      <selection pane="topRight" activeCell="G14" sqref="G14"/>
    </sheetView>
  </sheetViews>
  <sheetFormatPr defaultRowHeight="16.5" x14ac:dyDescent="0.3"/>
  <cols>
    <col min="1" max="1" width="9.75" customWidth="1"/>
    <col min="3" max="3" width="33.125" customWidth="1"/>
    <col min="5" max="5" width="10" bestFit="1" customWidth="1"/>
    <col min="6" max="6" width="11.75" bestFit="1" customWidth="1"/>
    <col min="7" max="7" width="12.125" customWidth="1"/>
    <col min="8" max="8" width="9.25" customWidth="1"/>
    <col min="9" max="9" width="8.875" customWidth="1"/>
    <col min="10" max="10" width="10" customWidth="1"/>
    <col min="11" max="11" width="10" bestFit="1" customWidth="1"/>
    <col min="12" max="13" width="10" hidden="1" customWidth="1"/>
    <col min="14" max="14" width="10" style="117" hidden="1" customWidth="1"/>
    <col min="15" max="17" width="10" customWidth="1"/>
    <col min="18" max="18" width="10" style="91" customWidth="1"/>
    <col min="19" max="19" width="10.875" customWidth="1"/>
    <col min="20" max="20" width="10.25" customWidth="1"/>
    <col min="21" max="21" width="10" customWidth="1"/>
    <col min="22" max="22" width="11.375" customWidth="1"/>
    <col min="23" max="106" width="9.625" customWidth="1"/>
  </cols>
  <sheetData>
    <row r="1" spans="1:106" ht="17.25" x14ac:dyDescent="0.3">
      <c r="A1" s="1" t="s">
        <v>124</v>
      </c>
      <c r="B1" s="2"/>
      <c r="C1" s="44"/>
      <c r="D1" s="2"/>
      <c r="E1" s="3"/>
      <c r="F1" s="4"/>
      <c r="G1" s="4"/>
      <c r="H1" s="109">
        <f ca="1">TODAY()</f>
        <v>45803</v>
      </c>
      <c r="I1" s="4"/>
      <c r="J1" s="4"/>
      <c r="K1" s="157"/>
      <c r="L1" s="147"/>
      <c r="M1" s="147"/>
      <c r="N1" s="4"/>
      <c r="O1" s="147"/>
      <c r="P1" s="147"/>
      <c r="Q1" s="147"/>
      <c r="R1" s="86"/>
      <c r="S1" s="57" t="s">
        <v>44</v>
      </c>
      <c r="T1" s="4"/>
      <c r="U1" s="4"/>
      <c r="V1" s="4"/>
      <c r="W1" s="6"/>
      <c r="X1" s="3"/>
      <c r="Y1" s="3"/>
      <c r="Z1" s="3"/>
      <c r="AA1" s="3"/>
      <c r="AB1" s="3"/>
      <c r="AC1" s="3"/>
      <c r="AD1" s="3"/>
      <c r="AE1" s="3"/>
      <c r="AF1" s="3"/>
      <c r="AG1" s="3"/>
      <c r="AH1" s="7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7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6"/>
      <c r="BH1" s="3"/>
      <c r="BI1" s="3"/>
      <c r="BJ1" s="3"/>
      <c r="BK1" s="3"/>
      <c r="BL1" s="3"/>
      <c r="BM1" s="3"/>
      <c r="BN1" s="3"/>
      <c r="BO1" s="3"/>
      <c r="BP1" s="3"/>
      <c r="BQ1" s="3"/>
      <c r="BR1" s="7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6"/>
      <c r="CF1" s="3"/>
      <c r="CG1" s="3"/>
      <c r="CH1" s="3"/>
      <c r="CI1" s="3"/>
      <c r="CJ1" s="3"/>
      <c r="CK1" s="3"/>
      <c r="CL1" s="3"/>
      <c r="CM1" s="3"/>
      <c r="CN1" s="3"/>
      <c r="CO1" s="3"/>
      <c r="CP1" s="7"/>
      <c r="CQ1" s="6"/>
      <c r="CR1" s="3"/>
      <c r="CS1" s="3"/>
      <c r="CT1" s="3"/>
      <c r="CU1" s="3"/>
      <c r="CV1" s="3"/>
      <c r="CW1" s="3"/>
      <c r="CX1" s="3"/>
      <c r="CY1" s="3"/>
      <c r="CZ1" s="3"/>
      <c r="DA1" s="3"/>
      <c r="DB1" s="7"/>
    </row>
    <row r="2" spans="1:106" ht="17.25" x14ac:dyDescent="0.3">
      <c r="A2" s="1"/>
      <c r="B2" s="2"/>
      <c r="C2" s="343"/>
      <c r="D2" s="2"/>
      <c r="E2" s="3"/>
      <c r="F2" s="4"/>
      <c r="G2" s="308"/>
      <c r="H2" s="35"/>
      <c r="I2" s="4"/>
      <c r="J2" s="4"/>
      <c r="K2" s="157"/>
      <c r="L2" s="147"/>
      <c r="M2" s="147"/>
      <c r="N2" s="4"/>
      <c r="O2" s="147"/>
      <c r="P2" s="147"/>
      <c r="Q2" s="147"/>
      <c r="R2" s="86"/>
      <c r="S2" s="153" t="s">
        <v>38</v>
      </c>
      <c r="T2" s="376" t="s">
        <v>39</v>
      </c>
      <c r="U2" s="376"/>
      <c r="V2" s="252" t="s">
        <v>40</v>
      </c>
      <c r="W2" s="6"/>
      <c r="X2" s="3"/>
      <c r="Y2" s="3"/>
      <c r="Z2" s="3"/>
      <c r="AA2" s="3"/>
      <c r="AB2" s="3"/>
      <c r="AC2" s="3"/>
      <c r="AD2" s="3"/>
      <c r="AE2" s="3"/>
      <c r="AF2" s="3"/>
      <c r="AG2" s="3"/>
      <c r="AH2" s="7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7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6"/>
      <c r="BH2" s="3"/>
      <c r="BI2" s="3"/>
      <c r="BJ2" s="3"/>
      <c r="BK2" s="3"/>
      <c r="BL2" s="3"/>
      <c r="BM2" s="3"/>
      <c r="BN2" s="3"/>
      <c r="BO2" s="3"/>
      <c r="BP2" s="3"/>
      <c r="BQ2" s="3"/>
      <c r="BR2" s="7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6"/>
      <c r="CF2" s="3"/>
      <c r="CG2" s="3"/>
      <c r="CH2" s="3"/>
      <c r="CI2" s="3"/>
      <c r="CJ2" s="3"/>
      <c r="CK2" s="3"/>
      <c r="CL2" s="3"/>
      <c r="CM2" s="3"/>
      <c r="CN2" s="3"/>
      <c r="CO2" s="3"/>
      <c r="CP2" s="7"/>
      <c r="CQ2" s="6"/>
      <c r="CR2" s="3"/>
      <c r="CS2" s="3"/>
      <c r="CT2" s="3"/>
      <c r="CU2" s="3"/>
      <c r="CV2" s="3"/>
      <c r="CW2" s="3"/>
      <c r="CX2" s="3"/>
      <c r="CY2" s="3"/>
      <c r="CZ2" s="3"/>
      <c r="DA2" s="3"/>
      <c r="DB2" s="7"/>
    </row>
    <row r="3" spans="1:106" ht="17.25" x14ac:dyDescent="0.3">
      <c r="A3" s="1"/>
      <c r="B3" s="2"/>
      <c r="C3" s="99"/>
      <c r="D3" s="2"/>
      <c r="E3" s="3"/>
      <c r="F3" s="4"/>
      <c r="G3" s="4"/>
      <c r="H3" s="35"/>
      <c r="I3" s="4"/>
      <c r="J3" s="4"/>
      <c r="K3" s="157"/>
      <c r="L3" s="147"/>
      <c r="M3" s="147"/>
      <c r="N3" s="4"/>
      <c r="O3" s="147"/>
      <c r="P3" s="147"/>
      <c r="Q3" s="147"/>
      <c r="R3" s="86"/>
      <c r="S3" s="154" t="s">
        <v>42</v>
      </c>
      <c r="T3" s="376" t="s">
        <v>46</v>
      </c>
      <c r="U3" s="376"/>
      <c r="V3" s="253" t="s">
        <v>47</v>
      </c>
      <c r="W3" s="6"/>
      <c r="X3" s="3"/>
      <c r="Y3" s="3"/>
      <c r="Z3" s="3"/>
      <c r="AA3" s="3"/>
      <c r="AB3" s="3"/>
      <c r="AC3" s="3"/>
      <c r="AD3" s="3"/>
      <c r="AE3" s="3"/>
      <c r="AF3" s="3"/>
      <c r="AG3" s="3"/>
      <c r="AH3" s="7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7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6"/>
      <c r="BH3" s="3"/>
      <c r="BI3" s="3"/>
      <c r="BJ3" s="3"/>
      <c r="BK3" s="3"/>
      <c r="BL3" s="3"/>
      <c r="BM3" s="3"/>
      <c r="BN3" s="3"/>
      <c r="BO3" s="3"/>
      <c r="BP3" s="3"/>
      <c r="BQ3" s="3"/>
      <c r="BR3" s="7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6"/>
      <c r="CF3" s="3"/>
      <c r="CG3" s="3"/>
      <c r="CH3" s="3"/>
      <c r="CI3" s="3"/>
      <c r="CJ3" s="3"/>
      <c r="CK3" s="3"/>
      <c r="CL3" s="3"/>
      <c r="CM3" s="3"/>
      <c r="CN3" s="3"/>
      <c r="CO3" s="3"/>
      <c r="CP3" s="7"/>
      <c r="CQ3" s="6"/>
      <c r="CR3" s="3"/>
      <c r="CS3" s="3"/>
      <c r="CT3" s="3"/>
      <c r="CU3" s="3"/>
      <c r="CV3" s="3"/>
      <c r="CW3" s="3"/>
      <c r="CX3" s="3"/>
      <c r="CY3" s="3"/>
      <c r="CZ3" s="3"/>
      <c r="DA3" s="3"/>
      <c r="DB3" s="7"/>
    </row>
    <row r="4" spans="1:106" x14ac:dyDescent="0.3">
      <c r="A4" s="275"/>
      <c r="B4" s="275"/>
      <c r="C4" s="346"/>
      <c r="D4" s="2"/>
      <c r="E4" s="309"/>
      <c r="F4" s="4"/>
      <c r="G4" s="4"/>
      <c r="H4" s="35"/>
      <c r="I4" s="4"/>
      <c r="J4" s="4"/>
      <c r="K4" s="157"/>
      <c r="L4" s="147"/>
      <c r="M4" s="147"/>
      <c r="N4" s="4"/>
      <c r="O4" s="147"/>
      <c r="P4" s="147"/>
      <c r="Q4" s="147"/>
      <c r="R4" s="86"/>
      <c r="S4" s="155" t="s">
        <v>487</v>
      </c>
      <c r="T4" s="67"/>
      <c r="U4" s="67"/>
      <c r="V4" s="67"/>
      <c r="W4" s="165"/>
      <c r="X4" s="3"/>
      <c r="Y4" s="3"/>
      <c r="Z4" s="3"/>
      <c r="AA4" s="3"/>
      <c r="AB4" s="3"/>
      <c r="AC4" s="3"/>
      <c r="AD4" s="3"/>
      <c r="AE4" s="3"/>
      <c r="AF4" s="3"/>
      <c r="AG4" s="3"/>
      <c r="AH4" s="7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7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7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7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7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7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7"/>
    </row>
    <row r="5" spans="1:106" ht="17.25" x14ac:dyDescent="0.3">
      <c r="A5" s="1"/>
      <c r="B5" s="2"/>
      <c r="C5" s="44"/>
      <c r="D5" s="2"/>
      <c r="E5" s="3"/>
      <c r="F5" s="360"/>
      <c r="G5" s="4"/>
      <c r="H5" s="35"/>
      <c r="I5" s="4"/>
      <c r="J5" s="4"/>
      <c r="K5" s="5"/>
      <c r="L5" s="147"/>
      <c r="M5" s="147"/>
      <c r="N5" s="4"/>
      <c r="O5" s="147"/>
      <c r="P5" s="147"/>
      <c r="Q5" s="147"/>
      <c r="R5" s="86"/>
      <c r="S5" s="156"/>
      <c r="T5" s="67"/>
      <c r="U5" s="67"/>
      <c r="V5" s="67"/>
      <c r="W5" s="165"/>
      <c r="X5" s="3"/>
      <c r="Y5" s="3"/>
      <c r="Z5" s="3"/>
      <c r="AA5" s="3"/>
      <c r="AB5" s="3"/>
      <c r="AC5" s="3"/>
      <c r="AD5" s="3"/>
      <c r="AE5" s="3"/>
      <c r="AF5" s="3"/>
      <c r="AG5" s="3"/>
      <c r="AH5" s="7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7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7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7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7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7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7"/>
    </row>
    <row r="6" spans="1:106" x14ac:dyDescent="0.3">
      <c r="A6" s="45"/>
      <c r="B6" s="10"/>
      <c r="C6" s="10"/>
      <c r="D6" s="10" t="s">
        <v>37</v>
      </c>
      <c r="E6" s="11"/>
      <c r="F6" s="12"/>
      <c r="G6" s="55"/>
      <c r="H6" s="56" t="s">
        <v>48</v>
      </c>
      <c r="I6" s="13"/>
      <c r="J6" s="13"/>
      <c r="K6" s="14"/>
      <c r="L6" s="148"/>
      <c r="M6" s="148"/>
      <c r="N6" s="145"/>
      <c r="O6" s="56" t="s">
        <v>470</v>
      </c>
      <c r="P6" s="148"/>
      <c r="Q6" s="148"/>
      <c r="R6" s="163"/>
      <c r="S6" s="16" t="s">
        <v>36</v>
      </c>
      <c r="T6" s="16"/>
      <c r="U6" s="17"/>
      <c r="V6" s="17"/>
      <c r="W6" s="69" t="s">
        <v>475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172" t="s">
        <v>476</v>
      </c>
      <c r="AI6" s="9" t="s">
        <v>473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172"/>
      <c r="AU6" s="9" t="s">
        <v>814</v>
      </c>
      <c r="AV6" s="318"/>
      <c r="AW6" s="318"/>
      <c r="AX6" s="318"/>
      <c r="AY6" s="318"/>
      <c r="AZ6" s="318"/>
      <c r="BA6" s="318"/>
      <c r="BB6" s="318"/>
      <c r="BC6" s="318"/>
      <c r="BD6" s="318"/>
      <c r="BE6" s="318"/>
      <c r="BF6" s="318"/>
      <c r="BG6" s="69" t="s">
        <v>474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172"/>
      <c r="BS6" s="69" t="s">
        <v>850</v>
      </c>
      <c r="BT6" s="318"/>
      <c r="BU6" s="318"/>
      <c r="BV6" s="318"/>
      <c r="BW6" s="318"/>
      <c r="BX6" s="318"/>
      <c r="BY6" s="318"/>
      <c r="BZ6" s="318"/>
      <c r="CA6" s="318"/>
      <c r="CB6" s="318"/>
      <c r="CC6" s="318"/>
      <c r="CD6" s="318"/>
      <c r="CE6" s="69" t="s">
        <v>851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254"/>
      <c r="CQ6" s="69" t="s">
        <v>852</v>
      </c>
      <c r="CR6" s="8"/>
      <c r="CS6" s="8"/>
      <c r="CT6" s="8"/>
      <c r="CU6" s="8"/>
      <c r="CV6" s="8"/>
      <c r="CW6" s="8"/>
      <c r="CX6" s="8"/>
      <c r="CY6" s="8"/>
      <c r="CZ6" s="8"/>
      <c r="DA6" s="8"/>
      <c r="DB6" s="254"/>
    </row>
    <row r="7" spans="1:106" x14ac:dyDescent="0.3">
      <c r="A7" s="18" t="s">
        <v>3</v>
      </c>
      <c r="B7" s="18" t="s">
        <v>0</v>
      </c>
      <c r="C7" s="18" t="s">
        <v>1</v>
      </c>
      <c r="D7" s="339" t="s">
        <v>29</v>
      </c>
      <c r="E7" s="115" t="s">
        <v>482</v>
      </c>
      <c r="F7" s="340" t="s">
        <v>2</v>
      </c>
      <c r="G7" s="115" t="s">
        <v>481</v>
      </c>
      <c r="H7" s="37" t="s">
        <v>33</v>
      </c>
      <c r="I7" s="34" t="s">
        <v>41</v>
      </c>
      <c r="J7" s="33" t="s">
        <v>31</v>
      </c>
      <c r="K7" s="32" t="s">
        <v>32</v>
      </c>
      <c r="L7" s="37" t="s">
        <v>465</v>
      </c>
      <c r="M7" s="33" t="s">
        <v>463</v>
      </c>
      <c r="N7" s="146" t="s">
        <v>469</v>
      </c>
      <c r="O7" s="33" t="s">
        <v>466</v>
      </c>
      <c r="P7" s="146" t="s">
        <v>467</v>
      </c>
      <c r="Q7" s="146" t="s">
        <v>468</v>
      </c>
      <c r="R7" s="164" t="s">
        <v>464</v>
      </c>
      <c r="S7" s="158" t="s">
        <v>35</v>
      </c>
      <c r="T7" s="52" t="s">
        <v>43</v>
      </c>
      <c r="U7" s="52" t="s">
        <v>130</v>
      </c>
      <c r="V7" s="77" t="s">
        <v>45</v>
      </c>
      <c r="W7" s="60">
        <v>1</v>
      </c>
      <c r="X7" s="31">
        <f t="shared" ref="X7:AH7" si="0">+W7+1</f>
        <v>2</v>
      </c>
      <c r="Y7" s="31">
        <f t="shared" si="0"/>
        <v>3</v>
      </c>
      <c r="Z7" s="31">
        <f t="shared" si="0"/>
        <v>4</v>
      </c>
      <c r="AA7" s="31">
        <f t="shared" si="0"/>
        <v>5</v>
      </c>
      <c r="AB7" s="31">
        <f t="shared" si="0"/>
        <v>6</v>
      </c>
      <c r="AC7" s="31">
        <f t="shared" si="0"/>
        <v>7</v>
      </c>
      <c r="AD7" s="31">
        <f t="shared" si="0"/>
        <v>8</v>
      </c>
      <c r="AE7" s="31">
        <f t="shared" si="0"/>
        <v>9</v>
      </c>
      <c r="AF7" s="31">
        <f t="shared" si="0"/>
        <v>10</v>
      </c>
      <c r="AG7" s="31">
        <f t="shared" si="0"/>
        <v>11</v>
      </c>
      <c r="AH7" s="54">
        <f t="shared" si="0"/>
        <v>12</v>
      </c>
      <c r="AI7" s="60">
        <v>1</v>
      </c>
      <c r="AJ7" s="31">
        <f>+AI7+1</f>
        <v>2</v>
      </c>
      <c r="AK7" s="31">
        <f>+AJ7+1</f>
        <v>3</v>
      </c>
      <c r="AL7" s="31">
        <f>+AK7+1</f>
        <v>4</v>
      </c>
      <c r="AM7" s="31">
        <f>+AL7+1</f>
        <v>5</v>
      </c>
      <c r="AN7" s="31">
        <f t="shared" ref="AN7:AT7" si="1">+AM7+1</f>
        <v>6</v>
      </c>
      <c r="AO7" s="31">
        <f t="shared" si="1"/>
        <v>7</v>
      </c>
      <c r="AP7" s="31">
        <f t="shared" si="1"/>
        <v>8</v>
      </c>
      <c r="AQ7" s="31">
        <f t="shared" si="1"/>
        <v>9</v>
      </c>
      <c r="AR7" s="31">
        <f t="shared" si="1"/>
        <v>10</v>
      </c>
      <c r="AS7" s="31">
        <f t="shared" si="1"/>
        <v>11</v>
      </c>
      <c r="AT7" s="54">
        <f t="shared" si="1"/>
        <v>12</v>
      </c>
      <c r="AU7" s="60">
        <v>1</v>
      </c>
      <c r="AV7" s="31">
        <f>+AU7+1</f>
        <v>2</v>
      </c>
      <c r="AW7" s="31">
        <f>+AV7+1</f>
        <v>3</v>
      </c>
      <c r="AX7" s="31">
        <f>+AW7+1</f>
        <v>4</v>
      </c>
      <c r="AY7" s="31">
        <f>+AX7+1</f>
        <v>5</v>
      </c>
      <c r="AZ7" s="31">
        <f t="shared" ref="AZ7" si="2">+AY7+1</f>
        <v>6</v>
      </c>
      <c r="BA7" s="31">
        <f t="shared" ref="BA7" si="3">+AZ7+1</f>
        <v>7</v>
      </c>
      <c r="BB7" s="31">
        <f t="shared" ref="BB7" si="4">+BA7+1</f>
        <v>8</v>
      </c>
      <c r="BC7" s="31">
        <f t="shared" ref="BC7" si="5">+BB7+1</f>
        <v>9</v>
      </c>
      <c r="BD7" s="31">
        <f>+BC7+1</f>
        <v>10</v>
      </c>
      <c r="BE7" s="31">
        <f t="shared" ref="BE7" si="6">+BD7+1</f>
        <v>11</v>
      </c>
      <c r="BF7" s="54">
        <f t="shared" ref="BF7" si="7">+BE7+1</f>
        <v>12</v>
      </c>
      <c r="BG7" s="60">
        <v>1</v>
      </c>
      <c r="BH7" s="31">
        <f t="shared" ref="BH7:BR7" si="8">+BG7+1</f>
        <v>2</v>
      </c>
      <c r="BI7" s="31">
        <f t="shared" si="8"/>
        <v>3</v>
      </c>
      <c r="BJ7" s="31">
        <f t="shared" si="8"/>
        <v>4</v>
      </c>
      <c r="BK7" s="31">
        <f t="shared" si="8"/>
        <v>5</v>
      </c>
      <c r="BL7" s="31">
        <f t="shared" si="8"/>
        <v>6</v>
      </c>
      <c r="BM7" s="31">
        <f t="shared" si="8"/>
        <v>7</v>
      </c>
      <c r="BN7" s="31">
        <f t="shared" si="8"/>
        <v>8</v>
      </c>
      <c r="BO7" s="31">
        <f t="shared" si="8"/>
        <v>9</v>
      </c>
      <c r="BP7" s="31">
        <f t="shared" si="8"/>
        <v>10</v>
      </c>
      <c r="BQ7" s="31">
        <f t="shared" si="8"/>
        <v>11</v>
      </c>
      <c r="BR7" s="54">
        <f t="shared" si="8"/>
        <v>12</v>
      </c>
      <c r="BS7" s="60">
        <v>1</v>
      </c>
      <c r="BT7" s="31">
        <f t="shared" ref="BT7" si="9">+BS7+1</f>
        <v>2</v>
      </c>
      <c r="BU7" s="31">
        <f t="shared" ref="BU7" si="10">+BT7+1</f>
        <v>3</v>
      </c>
      <c r="BV7" s="31">
        <f t="shared" ref="BV7" si="11">+BU7+1</f>
        <v>4</v>
      </c>
      <c r="BW7" s="31">
        <f t="shared" ref="BW7" si="12">+BV7+1</f>
        <v>5</v>
      </c>
      <c r="BX7" s="31">
        <f t="shared" ref="BX7" si="13">+BW7+1</f>
        <v>6</v>
      </c>
      <c r="BY7" s="31">
        <f t="shared" ref="BY7" si="14">+BX7+1</f>
        <v>7</v>
      </c>
      <c r="BZ7" s="31">
        <f t="shared" ref="BZ7" si="15">+BY7+1</f>
        <v>8</v>
      </c>
      <c r="CA7" s="31">
        <f t="shared" ref="CA7" si="16">+BZ7+1</f>
        <v>9</v>
      </c>
      <c r="CB7" s="31">
        <f t="shared" ref="CB7" si="17">+CA7+1</f>
        <v>10</v>
      </c>
      <c r="CC7" s="31">
        <f t="shared" ref="CC7" si="18">+CB7+1</f>
        <v>11</v>
      </c>
      <c r="CD7" s="54">
        <f t="shared" ref="CD7" si="19">+CC7+1</f>
        <v>12</v>
      </c>
      <c r="CE7" s="60">
        <v>1</v>
      </c>
      <c r="CF7" s="31">
        <f t="shared" ref="CF7:CP7" si="20">+CE7+1</f>
        <v>2</v>
      </c>
      <c r="CG7" s="31">
        <f t="shared" si="20"/>
        <v>3</v>
      </c>
      <c r="CH7" s="31">
        <f t="shared" si="20"/>
        <v>4</v>
      </c>
      <c r="CI7" s="31">
        <f t="shared" si="20"/>
        <v>5</v>
      </c>
      <c r="CJ7" s="31">
        <f t="shared" si="20"/>
        <v>6</v>
      </c>
      <c r="CK7" s="31">
        <f t="shared" si="20"/>
        <v>7</v>
      </c>
      <c r="CL7" s="31">
        <f t="shared" si="20"/>
        <v>8</v>
      </c>
      <c r="CM7" s="31">
        <f t="shared" si="20"/>
        <v>9</v>
      </c>
      <c r="CN7" s="31">
        <f t="shared" si="20"/>
        <v>10</v>
      </c>
      <c r="CO7" s="31">
        <f t="shared" si="20"/>
        <v>11</v>
      </c>
      <c r="CP7" s="54">
        <f t="shared" si="20"/>
        <v>12</v>
      </c>
      <c r="CQ7" s="60">
        <v>1</v>
      </c>
      <c r="CR7" s="31">
        <f t="shared" ref="CR7" si="21">+CQ7+1</f>
        <v>2</v>
      </c>
      <c r="CS7" s="31">
        <f t="shared" ref="CS7" si="22">+CR7+1</f>
        <v>3</v>
      </c>
      <c r="CT7" s="31">
        <f t="shared" ref="CT7" si="23">+CS7+1</f>
        <v>4</v>
      </c>
      <c r="CU7" s="31">
        <f t="shared" ref="CU7" si="24">+CT7+1</f>
        <v>5</v>
      </c>
      <c r="CV7" s="31">
        <f t="shared" ref="CV7" si="25">+CU7+1</f>
        <v>6</v>
      </c>
      <c r="CW7" s="31">
        <f t="shared" ref="CW7" si="26">+CV7+1</f>
        <v>7</v>
      </c>
      <c r="CX7" s="31">
        <f t="shared" ref="CX7" si="27">+CW7+1</f>
        <v>8</v>
      </c>
      <c r="CY7" s="31">
        <f t="shared" ref="CY7" si="28">+CX7+1</f>
        <v>9</v>
      </c>
      <c r="CZ7" s="31">
        <f t="shared" ref="CZ7" si="29">+CY7+1</f>
        <v>10</v>
      </c>
      <c r="DA7" s="31">
        <f t="shared" ref="DA7" si="30">+CZ7+1</f>
        <v>11</v>
      </c>
      <c r="DB7" s="54">
        <f t="shared" ref="DB7" si="31">+DA7+1</f>
        <v>12</v>
      </c>
    </row>
    <row r="8" spans="1:106" x14ac:dyDescent="0.3">
      <c r="A8" s="21" t="s">
        <v>5</v>
      </c>
      <c r="B8" s="21">
        <v>325230</v>
      </c>
      <c r="C8" s="21" t="s">
        <v>6</v>
      </c>
      <c r="D8" s="61">
        <v>0.5</v>
      </c>
      <c r="E8" s="22">
        <f>IFERROR(VLOOKUP(B8,재고DB!H:AS,38,FALSE),0)</f>
        <v>4800</v>
      </c>
      <c r="F8" s="22">
        <f>SUMIF(재고DB!$H:$H,완제품!$B8,재고DB!$AB:$AB)</f>
        <v>1526</v>
      </c>
      <c r="G8" s="22">
        <f>+E8*F8</f>
        <v>7324800</v>
      </c>
      <c r="H8" s="6">
        <f>IFERROR(VLOOKUP(B8,출고량!$A:$D,4,FALSE),0)</f>
        <v>141.38709677419354</v>
      </c>
      <c r="I8" s="63">
        <f>IFERROR(F8/H8,0)</f>
        <v>10.793064111339266</v>
      </c>
      <c r="J8" s="48">
        <f ca="1">IF(F8=0,"재고없음",IF(H8=0,"출고없음",$H$1+I8*30))</f>
        <v>46126.791923340177</v>
      </c>
      <c r="K8" s="50">
        <f>IF(F8=0,"재고없음",IFERROR(VLOOKUP(B8,재고DB!H:BU,66,FALSE),0))</f>
        <v>45924</v>
      </c>
      <c r="L8" s="6">
        <v>28</v>
      </c>
      <c r="M8" s="48">
        <f ca="1">+L8+$H$1</f>
        <v>45831</v>
      </c>
      <c r="N8" s="76">
        <v>0.9</v>
      </c>
      <c r="O8" s="160" t="str">
        <f ca="1">IFERROR(IF(M8-J8&gt;0,"O","X"),"없음")</f>
        <v>X</v>
      </c>
      <c r="P8" s="65">
        <v>0</v>
      </c>
      <c r="Q8" s="65">
        <f>+P8/D8*N8</f>
        <v>0</v>
      </c>
      <c r="R8" s="50">
        <f ca="1">IFERROR((Q8+F8)/H8*30+$H$1,"없음")</f>
        <v>46126.791923340177</v>
      </c>
      <c r="S8" s="65" t="str">
        <f t="shared" ref="S8:S37" ca="1" si="32">IFERROR(IF(J8="출고없음","X",IF(K8-J8&gt;0,"O","X")),0)</f>
        <v>X</v>
      </c>
      <c r="T8" s="65" t="str">
        <f t="shared" ref="T8:T37" ca="1" si="33">IF(J8="출고없음",$V$2,IF(I8=0,"-",IF(I8&lt;=1,$S$2,IF(AND(I8&gt;1,I8&lt;=4),$T$2,$V$2))))</f>
        <v>C</v>
      </c>
      <c r="U8" s="65">
        <f>COUNTIF(CH8:CS8,"&lt;0.1")+COUNTIF(CH8:CS8,"=미출고")</f>
        <v>3</v>
      </c>
      <c r="V8" s="78" t="str">
        <f ca="1">IF(AND(S8="X",T8="C",U8&gt;4),"단산검토",IF(AND(S8="X",T8="C"),"소진계획필요","판매활성화"))</f>
        <v>소진계획필요</v>
      </c>
      <c r="W8" s="166"/>
      <c r="X8" s="167">
        <v>300</v>
      </c>
      <c r="Y8" s="167"/>
      <c r="Z8" s="167"/>
      <c r="AA8" s="167"/>
      <c r="AB8" s="167"/>
      <c r="AC8" s="167"/>
      <c r="AD8" s="167"/>
      <c r="AE8" s="167"/>
      <c r="AF8" s="167"/>
      <c r="AG8" s="167"/>
      <c r="AH8" s="168"/>
      <c r="AI8" s="26">
        <v>0</v>
      </c>
      <c r="AJ8" s="27">
        <v>0</v>
      </c>
      <c r="AK8" s="27">
        <v>0</v>
      </c>
      <c r="AL8" s="27">
        <v>0</v>
      </c>
      <c r="AM8" s="27">
        <v>0</v>
      </c>
      <c r="AN8" s="27">
        <v>24</v>
      </c>
      <c r="AO8" s="27">
        <v>612</v>
      </c>
      <c r="AP8" s="27">
        <v>3295</v>
      </c>
      <c r="AQ8" s="27">
        <v>3616</v>
      </c>
      <c r="AR8" s="27">
        <v>3050</v>
      </c>
      <c r="AS8" s="27">
        <v>243</v>
      </c>
      <c r="AT8" s="28">
        <v>219</v>
      </c>
      <c r="AU8" s="27">
        <v>176</v>
      </c>
      <c r="AV8" s="27">
        <v>141</v>
      </c>
      <c r="AW8" s="27">
        <v>525</v>
      </c>
      <c r="AX8" s="27">
        <v>141</v>
      </c>
      <c r="AY8" s="27"/>
      <c r="AZ8" s="27"/>
      <c r="BA8" s="27"/>
      <c r="BB8" s="27"/>
      <c r="BC8" s="27"/>
      <c r="BD8" s="27"/>
      <c r="BE8" s="27"/>
      <c r="BF8" s="27"/>
      <c r="BG8" s="26">
        <v>0</v>
      </c>
      <c r="BH8" s="27">
        <v>0</v>
      </c>
      <c r="BI8" s="27">
        <v>0</v>
      </c>
      <c r="BJ8" s="27">
        <v>0</v>
      </c>
      <c r="BK8" s="27">
        <v>0</v>
      </c>
      <c r="BL8" s="27">
        <v>876</v>
      </c>
      <c r="BM8" s="27">
        <v>2234</v>
      </c>
      <c r="BN8" s="27">
        <v>2625</v>
      </c>
      <c r="BO8" s="27">
        <v>1931</v>
      </c>
      <c r="BP8" s="27">
        <v>2005</v>
      </c>
      <c r="BQ8" s="27">
        <v>2292</v>
      </c>
      <c r="BR8" s="28">
        <v>2073</v>
      </c>
      <c r="BS8" s="27">
        <v>1855</v>
      </c>
      <c r="BT8" s="27">
        <v>1713</v>
      </c>
      <c r="BU8" s="27">
        <v>1750</v>
      </c>
      <c r="BV8" s="27"/>
      <c r="BW8" s="27"/>
      <c r="BX8" s="27"/>
      <c r="BY8" s="27"/>
      <c r="BZ8" s="27"/>
      <c r="CA8" s="27"/>
      <c r="CB8" s="27"/>
      <c r="CC8" s="27"/>
      <c r="CD8" s="27"/>
      <c r="CE8" s="70" t="str">
        <f t="shared" ref="CE8:CE31" si="34">IF(AND(AI8=0,BG8=0),"출시전",IF(AND(AI8=0,BG8&gt;0),"미출고",AI8/BG8))</f>
        <v>출시전</v>
      </c>
      <c r="CF8" s="71" t="str">
        <f t="shared" ref="CF8:CF31" si="35">IF(AND(AJ8=0,BH8=0),"출시전",IF(AND(AJ8=0,BH8&gt;0),"미출고",AJ8/BH8))</f>
        <v>출시전</v>
      </c>
      <c r="CG8" s="71" t="str">
        <f t="shared" ref="CG8:CG31" si="36">IF(AND(AK8=0,BI8=0),"출시전",IF(AND(AK8=0,BI8&gt;0),"미출고",AK8/BI8))</f>
        <v>출시전</v>
      </c>
      <c r="CH8" s="71" t="str">
        <f t="shared" ref="CH8:CH31" si="37">IF(AND(AL8=0,BJ8=0),"출시전",IF(AND(AL8=0,BJ8&gt;0),"미출고",AL8/BJ8))</f>
        <v>출시전</v>
      </c>
      <c r="CI8" s="71" t="str">
        <f t="shared" ref="CI8:CI31" si="38">IF(AND(AM8=0,BK8=0),"출시전",IF(AND(AM8=0,BK8&gt;0),"미출고",AM8/BK8))</f>
        <v>출시전</v>
      </c>
      <c r="CJ8" s="71">
        <f t="shared" ref="CJ8:CJ31" si="39">IF(AND(AN8=0,BL8=0),"출시전",IF(AND(AN8=0,BL8&gt;0),"미출고",AN8/BL8))</f>
        <v>2.7397260273972601E-2</v>
      </c>
      <c r="CK8" s="71">
        <f t="shared" ref="CK8:CK31" si="40">IF(AND(AO8=0,BM8=0),"출시전",IF(AND(AO8=0,BM8&gt;0),"미출고",AO8/BM8))</f>
        <v>0.27394807520143238</v>
      </c>
      <c r="CL8" s="71">
        <f t="shared" ref="CL8:CL31" si="41">IF(AND(AP8=0,BN8=0),"출시전",IF(AND(AP8=0,BN8&gt;0),"미출고",AP8/BN8))</f>
        <v>1.2552380952380953</v>
      </c>
      <c r="CM8" s="71">
        <f t="shared" ref="CM8:CM31" si="42">IF(AND(AQ8=0,BO8=0),"출시전",IF(AND(AQ8=0,BO8&gt;0),"미출고",AQ8/BO8))</f>
        <v>1.8726048679440703</v>
      </c>
      <c r="CN8" s="71">
        <f t="shared" ref="CN8:CN31" si="43">IF(AND(AR8=0,BP8=0),"출시전",IF(AND(AR8=0,BP8&gt;0),"미출고",AR8/BP8))</f>
        <v>1.5211970074812968</v>
      </c>
      <c r="CO8" s="71">
        <f t="shared" ref="CO8:CO31" si="44">IF(AND(AS8=0,BQ8=0),"출시전",IF(AND(AS8=0,BQ8&gt;0),"미출고",AS8/BQ8))</f>
        <v>0.10602094240837696</v>
      </c>
      <c r="CP8" s="72">
        <f t="shared" ref="CP8:CP31" si="45">IF(AND(AT8=0,BR8=0),"출시전",IF(AND(AT8=0,BR8&gt;0),"미출고",AT8/BR8))</f>
        <v>0.10564399421128799</v>
      </c>
      <c r="CQ8" s="70">
        <f t="shared" ref="CQ8:CQ31" si="46">IF(AND(AU8=0,BS8=0),"출시전",IF(AND(AU8=0,BS8&gt;0),"미출고",AU8/BS8))</f>
        <v>9.4878706199460913E-2</v>
      </c>
      <c r="CR8" s="71">
        <f t="shared" ref="CR8:CS31" si="47">IF(AND(AV8=0,BT8=0),"출시전",IF(AND(AV8=0,BT8&gt;0),"미출고",AV8/BT8))</f>
        <v>8.2311733800350256E-2</v>
      </c>
      <c r="CS8" s="71">
        <f t="shared" si="47"/>
        <v>0.3</v>
      </c>
      <c r="CT8" s="71"/>
      <c r="CU8" s="71"/>
      <c r="CV8" s="71"/>
      <c r="CW8" s="71"/>
      <c r="CX8" s="71"/>
      <c r="CY8" s="71"/>
      <c r="CZ8" s="71"/>
      <c r="DA8" s="71"/>
      <c r="DB8" s="72"/>
    </row>
    <row r="9" spans="1:106" x14ac:dyDescent="0.3">
      <c r="A9" s="21" t="s">
        <v>4</v>
      </c>
      <c r="B9" s="21">
        <v>259276</v>
      </c>
      <c r="C9" s="21" t="s">
        <v>7</v>
      </c>
      <c r="D9" s="61">
        <v>1.05</v>
      </c>
      <c r="E9" s="22">
        <f>IFERROR(VLOOKUP(B9,재고DB!H:AS,38,FALSE),0)</f>
        <v>11568</v>
      </c>
      <c r="F9" s="22">
        <f>SUMIF(재고DB!$H:$H,완제품!$B9,재고DB!$AB:$AB)+2500</f>
        <v>3868</v>
      </c>
      <c r="G9" s="22">
        <f t="shared" ref="G9:G37" si="48">+E9*F9</f>
        <v>44745024</v>
      </c>
      <c r="H9" s="6">
        <f>IFERROR(VLOOKUP(B9,출고량!$A:$D,4,FALSE),0)</f>
        <v>2803.0645161290322</v>
      </c>
      <c r="I9" s="63">
        <f t="shared" ref="I9:I37" si="49">IFERROR(F9/H9,0)</f>
        <v>1.3799182921917257</v>
      </c>
      <c r="J9" s="48">
        <f t="shared" ref="J9:J37" ca="1" si="50">IF(F9=0,"재고없음",IF(H9=0,"출고없음",$H$1+I9*30))</f>
        <v>45844.397548765752</v>
      </c>
      <c r="K9" s="50">
        <f>IF(F9=0,"재고없음",IFERROR(VLOOKUP(B9,재고DB!H:BU,66,FALSE),0))</f>
        <v>46032</v>
      </c>
      <c r="L9" s="6">
        <v>28</v>
      </c>
      <c r="M9" s="48">
        <f t="shared" ref="M9:M37" ca="1" si="51">+L9+$H$1</f>
        <v>45831</v>
      </c>
      <c r="N9" s="76">
        <v>0.88</v>
      </c>
      <c r="O9" s="160" t="str">
        <f ca="1">IFERROR(IF(M9-J9&gt;0,"O","X"),"없음")</f>
        <v>X</v>
      </c>
      <c r="P9" s="65"/>
      <c r="Q9" s="65">
        <f t="shared" ref="Q9:Q37" si="52">+P9/D9*N9</f>
        <v>0</v>
      </c>
      <c r="R9" s="50">
        <f t="shared" ref="R9:R37" ca="1" si="53">IFERROR((Q9+F9)/H9*30+$H$1,"없음")</f>
        <v>45844.397548765752</v>
      </c>
      <c r="S9" s="65" t="str">
        <f t="shared" ca="1" si="32"/>
        <v>O</v>
      </c>
      <c r="T9" s="65" t="str">
        <f t="shared" ca="1" si="33"/>
        <v>B</v>
      </c>
      <c r="U9" s="65">
        <f t="shared" ref="U9:U37" si="54">COUNTIF(CH9:CS9,"&lt;0.1")+COUNTIF(CH9:CS9,"=미출고")</f>
        <v>0</v>
      </c>
      <c r="V9" s="78" t="str">
        <f t="shared" ref="V9:V37" ca="1" si="55">IF(AND(S9="X",T9="C",U9&gt;4),"단산검토",IF(AND(S9="X",T9="C"),"소진계획필요","판매활성화"))</f>
        <v>판매활성화</v>
      </c>
      <c r="W9" s="166"/>
      <c r="X9" s="167">
        <v>2000</v>
      </c>
      <c r="Y9" s="167">
        <v>2000</v>
      </c>
      <c r="Z9" s="167">
        <v>2000</v>
      </c>
      <c r="AA9" s="167"/>
      <c r="AB9" s="167"/>
      <c r="AC9" s="167"/>
      <c r="AD9" s="167"/>
      <c r="AE9" s="167"/>
      <c r="AF9" s="167"/>
      <c r="AG9" s="167"/>
      <c r="AH9" s="168"/>
      <c r="AI9" s="26">
        <v>3101</v>
      </c>
      <c r="AJ9" s="27">
        <v>2525</v>
      </c>
      <c r="AK9" s="27">
        <v>2931</v>
      </c>
      <c r="AL9" s="27">
        <v>3244</v>
      </c>
      <c r="AM9" s="27">
        <v>3192</v>
      </c>
      <c r="AN9" s="27">
        <v>3279</v>
      </c>
      <c r="AO9" s="27">
        <v>3650</v>
      </c>
      <c r="AP9" s="27">
        <v>3764</v>
      </c>
      <c r="AQ9" s="27">
        <v>3201</v>
      </c>
      <c r="AR9" s="27">
        <v>3118</v>
      </c>
      <c r="AS9" s="27">
        <v>2613</v>
      </c>
      <c r="AT9" s="28">
        <v>2691</v>
      </c>
      <c r="AU9" s="27">
        <v>2926</v>
      </c>
      <c r="AV9" s="27">
        <v>2191</v>
      </c>
      <c r="AW9" s="27">
        <v>2545</v>
      </c>
      <c r="AX9" s="27">
        <v>2581</v>
      </c>
      <c r="AY9" s="27"/>
      <c r="AZ9" s="27"/>
      <c r="BA9" s="27"/>
      <c r="BB9" s="27"/>
      <c r="BC9" s="27"/>
      <c r="BD9" s="27"/>
      <c r="BE9" s="27"/>
      <c r="BF9" s="27"/>
      <c r="BG9" s="26">
        <v>3920</v>
      </c>
      <c r="BH9" s="27">
        <v>3030</v>
      </c>
      <c r="BI9" s="27">
        <v>3218</v>
      </c>
      <c r="BJ9" s="27">
        <v>3946</v>
      </c>
      <c r="BK9" s="27">
        <v>3358</v>
      </c>
      <c r="BL9" s="27">
        <v>1942</v>
      </c>
      <c r="BM9" s="27">
        <v>3202</v>
      </c>
      <c r="BN9" s="27">
        <v>2828</v>
      </c>
      <c r="BO9" s="27">
        <v>4471</v>
      </c>
      <c r="BP9" s="27">
        <v>3746</v>
      </c>
      <c r="BQ9" s="27">
        <v>4422</v>
      </c>
      <c r="BR9" s="28">
        <v>1738</v>
      </c>
      <c r="BS9" s="27">
        <v>2291</v>
      </c>
      <c r="BT9" s="27">
        <v>1806</v>
      </c>
      <c r="BU9" s="27">
        <v>1087</v>
      </c>
      <c r="BV9" s="27"/>
      <c r="BW9" s="27"/>
      <c r="BX9" s="27"/>
      <c r="BY9" s="27"/>
      <c r="BZ9" s="27"/>
      <c r="CA9" s="27"/>
      <c r="CB9" s="27"/>
      <c r="CC9" s="27"/>
      <c r="CD9" s="27"/>
      <c r="CE9" s="70">
        <f t="shared" si="34"/>
        <v>0.79107142857142854</v>
      </c>
      <c r="CF9" s="71">
        <f t="shared" si="35"/>
        <v>0.83333333333333337</v>
      </c>
      <c r="CG9" s="71">
        <f t="shared" si="36"/>
        <v>0.91081417029210687</v>
      </c>
      <c r="CH9" s="71">
        <f t="shared" si="37"/>
        <v>0.8220983274201723</v>
      </c>
      <c r="CI9" s="71">
        <f t="shared" si="38"/>
        <v>0.95056581298391896</v>
      </c>
      <c r="CJ9" s="71">
        <f t="shared" si="39"/>
        <v>1.688465499485067</v>
      </c>
      <c r="CK9" s="71">
        <f t="shared" si="40"/>
        <v>1.1399125546533417</v>
      </c>
      <c r="CL9" s="71">
        <f t="shared" si="41"/>
        <v>1.3309759547383311</v>
      </c>
      <c r="CM9" s="71">
        <f t="shared" si="42"/>
        <v>0.71594721538805639</v>
      </c>
      <c r="CN9" s="71">
        <f t="shared" si="43"/>
        <v>0.83235451147891082</v>
      </c>
      <c r="CO9" s="71">
        <f t="shared" si="44"/>
        <v>0.59090909090909094</v>
      </c>
      <c r="CP9" s="72">
        <f t="shared" si="45"/>
        <v>1.5483314154200229</v>
      </c>
      <c r="CQ9" s="70">
        <f t="shared" si="46"/>
        <v>1.2771715408118725</v>
      </c>
      <c r="CR9" s="71">
        <f t="shared" si="47"/>
        <v>1.2131782945736433</v>
      </c>
      <c r="CS9" s="71">
        <f t="shared" si="47"/>
        <v>2.34130634774609</v>
      </c>
      <c r="CT9" s="71"/>
      <c r="CU9" s="71"/>
      <c r="CV9" s="71"/>
      <c r="CW9" s="71"/>
      <c r="CX9" s="71"/>
      <c r="CY9" s="71"/>
      <c r="CZ9" s="71"/>
      <c r="DA9" s="71"/>
      <c r="DB9" s="72"/>
    </row>
    <row r="10" spans="1:106" x14ac:dyDescent="0.3">
      <c r="A10" s="21" t="s">
        <v>4</v>
      </c>
      <c r="B10" s="21">
        <v>321731</v>
      </c>
      <c r="C10" s="21" t="s">
        <v>8</v>
      </c>
      <c r="D10" s="61">
        <v>1.05</v>
      </c>
      <c r="E10" s="22">
        <f>IFERROR(VLOOKUP(B10,재고DB!H:AS,38,FALSE),0)</f>
        <v>0</v>
      </c>
      <c r="F10" s="22">
        <f>SUMIF(재고DB!$H:$H,완제품!$B10,재고DB!$AB:$AB)</f>
        <v>0</v>
      </c>
      <c r="G10" s="22">
        <f t="shared" si="48"/>
        <v>0</v>
      </c>
      <c r="H10" s="6">
        <f>IFERROR(VLOOKUP(B10,출고량!$A:$D,4,FALSE),0)</f>
        <v>0</v>
      </c>
      <c r="I10" s="63">
        <f>IFERROR(F10/H10,0)</f>
        <v>0</v>
      </c>
      <c r="J10" s="48" t="str">
        <f t="shared" si="50"/>
        <v>재고없음</v>
      </c>
      <c r="K10" s="50" t="str">
        <f>IF(F10=0,"재고없음",IFERROR(VLOOKUP(B10,재고DB!H:BU,66,FALSE),0))</f>
        <v>재고없음</v>
      </c>
      <c r="L10" s="6">
        <v>0</v>
      </c>
      <c r="M10" s="48">
        <f t="shared" ca="1" si="51"/>
        <v>45803</v>
      </c>
      <c r="N10" s="76">
        <v>0.86</v>
      </c>
      <c r="O10" s="160" t="str">
        <f ca="1">IFERROR(IF(M10-J10&gt;0,"O","X"),"없음")</f>
        <v>없음</v>
      </c>
      <c r="P10" s="65">
        <v>0</v>
      </c>
      <c r="Q10" s="65">
        <f t="shared" si="52"/>
        <v>0</v>
      </c>
      <c r="R10" s="50" t="str">
        <f t="shared" ca="1" si="53"/>
        <v>없음</v>
      </c>
      <c r="S10" s="65">
        <f t="shared" si="32"/>
        <v>0</v>
      </c>
      <c r="T10" s="65" t="str">
        <f t="shared" si="33"/>
        <v>-</v>
      </c>
      <c r="U10" s="65">
        <f t="shared" si="54"/>
        <v>5</v>
      </c>
      <c r="V10" s="78" t="str">
        <f t="shared" si="55"/>
        <v>판매활성화</v>
      </c>
      <c r="W10" s="166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8"/>
      <c r="AI10" s="26">
        <v>0</v>
      </c>
      <c r="AJ10" s="27">
        <v>0</v>
      </c>
      <c r="AK10" s="27">
        <v>44</v>
      </c>
      <c r="AL10" s="27">
        <v>3</v>
      </c>
      <c r="AM10" s="27">
        <v>1</v>
      </c>
      <c r="AN10" s="27">
        <v>5</v>
      </c>
      <c r="AO10" s="27">
        <v>17</v>
      </c>
      <c r="AP10" s="27">
        <v>2</v>
      </c>
      <c r="AQ10" s="27">
        <v>1</v>
      </c>
      <c r="AR10" s="27">
        <v>49</v>
      </c>
      <c r="AS10" s="27">
        <v>0</v>
      </c>
      <c r="AT10" s="28">
        <v>0</v>
      </c>
      <c r="AU10" s="27">
        <v>0</v>
      </c>
      <c r="AV10" s="27">
        <v>0</v>
      </c>
      <c r="AW10" s="27">
        <v>0</v>
      </c>
      <c r="AX10" s="27">
        <v>0</v>
      </c>
      <c r="AY10" s="27"/>
      <c r="AZ10" s="27"/>
      <c r="BA10" s="27"/>
      <c r="BB10" s="27"/>
      <c r="BC10" s="27"/>
      <c r="BD10" s="27"/>
      <c r="BE10" s="27"/>
      <c r="BF10" s="27"/>
      <c r="BG10" s="26">
        <v>0</v>
      </c>
      <c r="BH10" s="27">
        <v>120</v>
      </c>
      <c r="BI10" s="27">
        <v>77</v>
      </c>
      <c r="BJ10" s="27">
        <v>73</v>
      </c>
      <c r="BK10" s="27">
        <v>70</v>
      </c>
      <c r="BL10" s="27">
        <v>65</v>
      </c>
      <c r="BM10" s="27">
        <v>48</v>
      </c>
      <c r="BN10" s="27">
        <v>46</v>
      </c>
      <c r="BO10" s="27">
        <v>46</v>
      </c>
      <c r="BP10" s="27">
        <v>49</v>
      </c>
      <c r="BQ10" s="27">
        <v>0</v>
      </c>
      <c r="BR10" s="28">
        <v>0</v>
      </c>
      <c r="BS10" s="27">
        <v>0</v>
      </c>
      <c r="BT10" s="27">
        <v>0</v>
      </c>
      <c r="BU10" s="27">
        <v>0</v>
      </c>
      <c r="BV10" s="27"/>
      <c r="BW10" s="27"/>
      <c r="BX10" s="27"/>
      <c r="BY10" s="27"/>
      <c r="BZ10" s="27"/>
      <c r="CA10" s="27"/>
      <c r="CB10" s="27"/>
      <c r="CC10" s="27"/>
      <c r="CD10" s="27"/>
      <c r="CE10" s="70" t="str">
        <f t="shared" si="34"/>
        <v>출시전</v>
      </c>
      <c r="CF10" s="71" t="str">
        <f t="shared" si="35"/>
        <v>미출고</v>
      </c>
      <c r="CG10" s="71">
        <f t="shared" si="36"/>
        <v>0.5714285714285714</v>
      </c>
      <c r="CH10" s="71">
        <f t="shared" si="37"/>
        <v>4.1095890410958902E-2</v>
      </c>
      <c r="CI10" s="71">
        <f t="shared" si="38"/>
        <v>1.4285714285714285E-2</v>
      </c>
      <c r="CJ10" s="71">
        <f t="shared" si="39"/>
        <v>7.6923076923076927E-2</v>
      </c>
      <c r="CK10" s="71">
        <f t="shared" si="40"/>
        <v>0.35416666666666669</v>
      </c>
      <c r="CL10" s="71">
        <f t="shared" si="41"/>
        <v>4.3478260869565216E-2</v>
      </c>
      <c r="CM10" s="71">
        <f t="shared" si="42"/>
        <v>2.1739130434782608E-2</v>
      </c>
      <c r="CN10" s="71">
        <f t="shared" si="43"/>
        <v>1</v>
      </c>
      <c r="CO10" s="71" t="str">
        <f t="shared" si="44"/>
        <v>출시전</v>
      </c>
      <c r="CP10" s="72" t="str">
        <f t="shared" si="45"/>
        <v>출시전</v>
      </c>
      <c r="CQ10" s="70" t="str">
        <f t="shared" si="46"/>
        <v>출시전</v>
      </c>
      <c r="CR10" s="71" t="str">
        <f t="shared" si="47"/>
        <v>출시전</v>
      </c>
      <c r="CS10" s="71" t="str">
        <f t="shared" si="47"/>
        <v>출시전</v>
      </c>
      <c r="CT10" s="71"/>
      <c r="CU10" s="71"/>
      <c r="CV10" s="71"/>
      <c r="CW10" s="71"/>
      <c r="CX10" s="71"/>
      <c r="CY10" s="71"/>
      <c r="CZ10" s="71"/>
      <c r="DA10" s="71"/>
      <c r="DB10" s="72"/>
    </row>
    <row r="11" spans="1:106" x14ac:dyDescent="0.3">
      <c r="A11" s="21" t="s">
        <v>4</v>
      </c>
      <c r="B11" s="21">
        <v>326323</v>
      </c>
      <c r="C11" s="21" t="s">
        <v>9</v>
      </c>
      <c r="D11" s="61">
        <v>5</v>
      </c>
      <c r="E11" s="22">
        <f>IFERROR(VLOOKUP(B11,재고DB!H:AS,38,FALSE),0)</f>
        <v>0</v>
      </c>
      <c r="F11" s="22">
        <f>SUMIF(재고DB!$H:$H,완제품!$B11,재고DB!$AB:$AB)</f>
        <v>0</v>
      </c>
      <c r="G11" s="22">
        <f t="shared" si="48"/>
        <v>0</v>
      </c>
      <c r="H11" s="6">
        <f>IFERROR(VLOOKUP(B11,출고량!$A:$D,4,FALSE),0)</f>
        <v>15.225806451612902</v>
      </c>
      <c r="I11" s="63">
        <f>IFERROR(F11/H11,0)</f>
        <v>0</v>
      </c>
      <c r="J11" s="48" t="str">
        <f t="shared" si="50"/>
        <v>재고없음</v>
      </c>
      <c r="K11" s="50" t="str">
        <f>IF(F11=0,"재고없음",IFERROR(VLOOKUP(B11,재고DB!H:BU,66,FALSE),0))</f>
        <v>재고없음</v>
      </c>
      <c r="L11" s="6">
        <v>0</v>
      </c>
      <c r="M11" s="48">
        <f t="shared" ca="1" si="51"/>
        <v>45803</v>
      </c>
      <c r="N11" s="76">
        <v>0.86</v>
      </c>
      <c r="O11" s="160" t="str">
        <f t="shared" ref="O11:O37" ca="1" si="56">IFERROR(IF(M11-J11&gt;0,"O","X"),"없음")</f>
        <v>없음</v>
      </c>
      <c r="P11" s="65">
        <v>0</v>
      </c>
      <c r="Q11" s="65">
        <f t="shared" si="52"/>
        <v>0</v>
      </c>
      <c r="R11" s="50">
        <f t="shared" ca="1" si="53"/>
        <v>45803</v>
      </c>
      <c r="S11" s="65">
        <f t="shared" si="32"/>
        <v>0</v>
      </c>
      <c r="T11" s="65" t="str">
        <f t="shared" si="33"/>
        <v>-</v>
      </c>
      <c r="U11" s="65">
        <f t="shared" si="54"/>
        <v>3</v>
      </c>
      <c r="V11" s="78" t="str">
        <f t="shared" si="55"/>
        <v>판매활성화</v>
      </c>
      <c r="W11" s="166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26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1</v>
      </c>
      <c r="AO11" s="27">
        <v>8</v>
      </c>
      <c r="AP11" s="27">
        <v>98</v>
      </c>
      <c r="AQ11" s="27">
        <v>40</v>
      </c>
      <c r="AR11" s="27">
        <v>106</v>
      </c>
      <c r="AS11" s="27">
        <v>104</v>
      </c>
      <c r="AT11" s="28">
        <v>0</v>
      </c>
      <c r="AU11" s="27">
        <v>64</v>
      </c>
      <c r="AV11" s="27">
        <v>0</v>
      </c>
      <c r="AW11" s="27">
        <v>52</v>
      </c>
      <c r="AX11" s="27">
        <v>59</v>
      </c>
      <c r="AY11" s="27"/>
      <c r="AZ11" s="27"/>
      <c r="BA11" s="27"/>
      <c r="BB11" s="27"/>
      <c r="BC11" s="27"/>
      <c r="BD11" s="27"/>
      <c r="BE11" s="27"/>
      <c r="BF11" s="27"/>
      <c r="BG11" s="26">
        <v>0</v>
      </c>
      <c r="BH11" s="27">
        <v>0</v>
      </c>
      <c r="BI11" s="27">
        <v>0</v>
      </c>
      <c r="BJ11" s="27">
        <v>0</v>
      </c>
      <c r="BK11" s="27">
        <v>0</v>
      </c>
      <c r="BL11" s="27">
        <v>17</v>
      </c>
      <c r="BM11" s="27">
        <v>9</v>
      </c>
      <c r="BN11" s="27">
        <v>107</v>
      </c>
      <c r="BO11" s="27">
        <v>67</v>
      </c>
      <c r="BP11" s="27">
        <v>226</v>
      </c>
      <c r="BQ11" s="27">
        <v>174</v>
      </c>
      <c r="BR11" s="28">
        <v>174</v>
      </c>
      <c r="BS11" s="27">
        <v>110</v>
      </c>
      <c r="BT11" s="27">
        <v>110</v>
      </c>
      <c r="BU11" s="27">
        <v>59</v>
      </c>
      <c r="BV11" s="27"/>
      <c r="BW11" s="27"/>
      <c r="BX11" s="27"/>
      <c r="BY11" s="27"/>
      <c r="BZ11" s="27"/>
      <c r="CA11" s="27"/>
      <c r="CB11" s="27"/>
      <c r="CC11" s="27"/>
      <c r="CD11" s="27"/>
      <c r="CE11" s="70" t="str">
        <f t="shared" si="34"/>
        <v>출시전</v>
      </c>
      <c r="CF11" s="71" t="str">
        <f t="shared" si="35"/>
        <v>출시전</v>
      </c>
      <c r="CG11" s="71" t="str">
        <f t="shared" si="36"/>
        <v>출시전</v>
      </c>
      <c r="CH11" s="71" t="str">
        <f t="shared" si="37"/>
        <v>출시전</v>
      </c>
      <c r="CI11" s="71" t="str">
        <f t="shared" si="38"/>
        <v>출시전</v>
      </c>
      <c r="CJ11" s="71">
        <f t="shared" si="39"/>
        <v>5.8823529411764705E-2</v>
      </c>
      <c r="CK11" s="71">
        <f t="shared" si="40"/>
        <v>0.88888888888888884</v>
      </c>
      <c r="CL11" s="71">
        <f t="shared" si="41"/>
        <v>0.91588785046728971</v>
      </c>
      <c r="CM11" s="71">
        <f t="shared" si="42"/>
        <v>0.59701492537313428</v>
      </c>
      <c r="CN11" s="71">
        <f t="shared" si="43"/>
        <v>0.46902654867256638</v>
      </c>
      <c r="CO11" s="71">
        <f t="shared" si="44"/>
        <v>0.5977011494252874</v>
      </c>
      <c r="CP11" s="72" t="str">
        <f t="shared" si="45"/>
        <v>미출고</v>
      </c>
      <c r="CQ11" s="70">
        <f t="shared" si="46"/>
        <v>0.58181818181818179</v>
      </c>
      <c r="CR11" s="71" t="str">
        <f t="shared" si="47"/>
        <v>미출고</v>
      </c>
      <c r="CS11" s="71">
        <f t="shared" si="47"/>
        <v>0.88135593220338981</v>
      </c>
      <c r="CT11" s="71"/>
      <c r="CU11" s="71"/>
      <c r="CV11" s="71"/>
      <c r="CW11" s="71"/>
      <c r="CX11" s="71"/>
      <c r="CY11" s="71"/>
      <c r="CZ11" s="71"/>
      <c r="DA11" s="71"/>
      <c r="DB11" s="72"/>
    </row>
    <row r="12" spans="1:106" x14ac:dyDescent="0.3">
      <c r="A12" s="21" t="s">
        <v>4</v>
      </c>
      <c r="B12" s="21">
        <v>333524</v>
      </c>
      <c r="C12" s="21" t="s">
        <v>10</v>
      </c>
      <c r="D12" s="61">
        <v>1</v>
      </c>
      <c r="E12" s="22">
        <f>IFERROR(VLOOKUP(B12,재고DB!H:AS,38,FALSE),0)</f>
        <v>6883</v>
      </c>
      <c r="F12" s="22">
        <f>SUMIF(재고DB!$H:$H,완제품!$B12,재고DB!$AB:$AB)</f>
        <v>1762</v>
      </c>
      <c r="G12" s="22">
        <f t="shared" si="48"/>
        <v>12127846</v>
      </c>
      <c r="H12" s="6">
        <f>IFERROR(VLOOKUP(B12,출고량!$A:$D,4,FALSE),0)</f>
        <v>74.41935483870968</v>
      </c>
      <c r="I12" s="63">
        <f t="shared" si="49"/>
        <v>23.676636324230603</v>
      </c>
      <c r="J12" s="48">
        <f t="shared" ca="1" si="50"/>
        <v>46513.299089726919</v>
      </c>
      <c r="K12" s="50">
        <f>IF(F12=0,"재고없음",IFERROR(VLOOKUP(B12,재고DB!H:BU,66,FALSE),0))</f>
        <v>45878</v>
      </c>
      <c r="L12" s="6">
        <v>42</v>
      </c>
      <c r="M12" s="48">
        <f t="shared" ca="1" si="51"/>
        <v>45845</v>
      </c>
      <c r="N12" s="76">
        <v>0.9</v>
      </c>
      <c r="O12" s="160" t="str">
        <f t="shared" ca="1" si="56"/>
        <v>X</v>
      </c>
      <c r="P12" s="65">
        <v>0</v>
      </c>
      <c r="Q12" s="65">
        <f t="shared" si="52"/>
        <v>0</v>
      </c>
      <c r="R12" s="50">
        <f t="shared" ca="1" si="53"/>
        <v>46513.299089726919</v>
      </c>
      <c r="S12" s="65" t="str">
        <f t="shared" ca="1" si="32"/>
        <v>X</v>
      </c>
      <c r="T12" s="65" t="str">
        <f t="shared" ca="1" si="33"/>
        <v>C</v>
      </c>
      <c r="U12" s="65">
        <f t="shared" si="54"/>
        <v>6</v>
      </c>
      <c r="V12" s="78" t="str">
        <f t="shared" ca="1" si="55"/>
        <v>단산검토</v>
      </c>
      <c r="W12" s="166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8"/>
      <c r="AI12" s="26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11</v>
      </c>
      <c r="AQ12" s="27">
        <v>20</v>
      </c>
      <c r="AR12" s="27">
        <v>174</v>
      </c>
      <c r="AS12" s="27">
        <v>293</v>
      </c>
      <c r="AT12" s="28">
        <v>314</v>
      </c>
      <c r="AU12" s="27">
        <v>23</v>
      </c>
      <c r="AV12" s="27">
        <v>38</v>
      </c>
      <c r="AW12" s="27">
        <v>134</v>
      </c>
      <c r="AX12" s="27">
        <v>114</v>
      </c>
      <c r="AY12" s="27"/>
      <c r="AZ12" s="27"/>
      <c r="BA12" s="27"/>
      <c r="BB12" s="27"/>
      <c r="BC12" s="27"/>
      <c r="BD12" s="27"/>
      <c r="BE12" s="27"/>
      <c r="BF12" s="27"/>
      <c r="BG12" s="26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2917</v>
      </c>
      <c r="BO12" s="27">
        <v>2897</v>
      </c>
      <c r="BP12" s="27">
        <v>2707</v>
      </c>
      <c r="BQ12" s="27">
        <v>2430</v>
      </c>
      <c r="BR12" s="28">
        <v>2116</v>
      </c>
      <c r="BS12" s="27">
        <v>2060</v>
      </c>
      <c r="BT12" s="27">
        <v>2009</v>
      </c>
      <c r="BU12" s="27">
        <v>1921</v>
      </c>
      <c r="BV12" s="27"/>
      <c r="BW12" s="27"/>
      <c r="BX12" s="27"/>
      <c r="BY12" s="27"/>
      <c r="BZ12" s="27"/>
      <c r="CA12" s="27"/>
      <c r="CB12" s="27"/>
      <c r="CC12" s="27"/>
      <c r="CD12" s="27"/>
      <c r="CE12" s="70" t="str">
        <f t="shared" si="34"/>
        <v>출시전</v>
      </c>
      <c r="CF12" s="71" t="str">
        <f t="shared" si="35"/>
        <v>출시전</v>
      </c>
      <c r="CG12" s="71" t="str">
        <f t="shared" si="36"/>
        <v>출시전</v>
      </c>
      <c r="CH12" s="71" t="str">
        <f t="shared" si="37"/>
        <v>출시전</v>
      </c>
      <c r="CI12" s="71" t="str">
        <f t="shared" si="38"/>
        <v>출시전</v>
      </c>
      <c r="CJ12" s="71" t="str">
        <f t="shared" si="39"/>
        <v>출시전</v>
      </c>
      <c r="CK12" s="71" t="str">
        <f t="shared" si="40"/>
        <v>출시전</v>
      </c>
      <c r="CL12" s="71">
        <f t="shared" si="41"/>
        <v>3.7709976002742542E-3</v>
      </c>
      <c r="CM12" s="71">
        <f t="shared" si="42"/>
        <v>6.9036934760096655E-3</v>
      </c>
      <c r="CN12" s="71">
        <f t="shared" si="43"/>
        <v>6.4277798300701877E-2</v>
      </c>
      <c r="CO12" s="71">
        <f t="shared" si="44"/>
        <v>0.12057613168724279</v>
      </c>
      <c r="CP12" s="72">
        <f t="shared" si="45"/>
        <v>0.14839319470699433</v>
      </c>
      <c r="CQ12" s="70">
        <f t="shared" si="46"/>
        <v>1.116504854368932E-2</v>
      </c>
      <c r="CR12" s="71">
        <f t="shared" si="47"/>
        <v>1.8914883026381283E-2</v>
      </c>
      <c r="CS12" s="71">
        <f t="shared" si="47"/>
        <v>6.9755335762623633E-2</v>
      </c>
      <c r="CT12" s="71"/>
      <c r="CU12" s="71"/>
      <c r="CV12" s="71"/>
      <c r="CW12" s="71"/>
      <c r="CX12" s="71"/>
      <c r="CY12" s="71"/>
      <c r="CZ12" s="71"/>
      <c r="DA12" s="71"/>
      <c r="DB12" s="72"/>
    </row>
    <row r="13" spans="1:106" x14ac:dyDescent="0.3">
      <c r="A13" s="21" t="s">
        <v>4</v>
      </c>
      <c r="B13" s="21">
        <v>314433</v>
      </c>
      <c r="C13" s="21" t="s">
        <v>907</v>
      </c>
      <c r="D13" s="61">
        <v>1</v>
      </c>
      <c r="E13" s="22">
        <f>IFERROR(VLOOKUP(B13,재고DB!H:AS,38,FALSE),0)</f>
        <v>5609</v>
      </c>
      <c r="F13" s="22">
        <f>SUMIF(재고DB!$H:$H,완제품!$B13,재고DB!$AB:$AB)</f>
        <v>738</v>
      </c>
      <c r="G13" s="22">
        <f t="shared" si="48"/>
        <v>4139442</v>
      </c>
      <c r="H13" s="6">
        <f>IFERROR(VLOOKUP(B13,출고량!$A:$D,4,FALSE),0)</f>
        <v>332.83870967741939</v>
      </c>
      <c r="I13" s="63">
        <f t="shared" si="49"/>
        <v>2.217290172514053</v>
      </c>
      <c r="J13" s="48">
        <f t="shared" ca="1" si="50"/>
        <v>45869.518705175418</v>
      </c>
      <c r="K13" s="50">
        <f>IF(F13=0,"재고없음",IFERROR(VLOOKUP(B13,재고DB!H:BU,66,FALSE),0))</f>
        <v>46117</v>
      </c>
      <c r="L13" s="6">
        <v>28</v>
      </c>
      <c r="M13" s="48">
        <f t="shared" ca="1" si="51"/>
        <v>45831</v>
      </c>
      <c r="N13" s="76">
        <v>0.95</v>
      </c>
      <c r="O13" s="160" t="str">
        <f t="shared" ca="1" si="56"/>
        <v>X</v>
      </c>
      <c r="P13" s="65">
        <v>0</v>
      </c>
      <c r="Q13" s="65">
        <f t="shared" si="52"/>
        <v>0</v>
      </c>
      <c r="R13" s="50">
        <f t="shared" ca="1" si="53"/>
        <v>45869.518705175418</v>
      </c>
      <c r="S13" s="46" t="str">
        <f t="shared" ca="1" si="32"/>
        <v>O</v>
      </c>
      <c r="T13" s="65" t="str">
        <f t="shared" ca="1" si="33"/>
        <v>B</v>
      </c>
      <c r="U13" s="65">
        <f t="shared" si="54"/>
        <v>0</v>
      </c>
      <c r="V13" s="78" t="str">
        <f ca="1">IF(AND(S13="X",T13="C",U13&gt;4),"단산검토",IF(AND(S13="X",T13="C"),"소진계획필요","판매활성화"))</f>
        <v>판매활성화</v>
      </c>
      <c r="W13" s="166"/>
      <c r="X13" s="167"/>
      <c r="Y13" s="167"/>
      <c r="Z13" s="167">
        <v>1500</v>
      </c>
      <c r="AA13" s="167"/>
      <c r="AB13" s="167"/>
      <c r="AC13" s="167"/>
      <c r="AD13" s="167"/>
      <c r="AE13" s="167"/>
      <c r="AF13" s="167"/>
      <c r="AG13" s="167"/>
      <c r="AH13" s="168"/>
      <c r="AI13" s="26">
        <v>1022</v>
      </c>
      <c r="AJ13" s="27">
        <v>750</v>
      </c>
      <c r="AK13" s="27">
        <v>730</v>
      </c>
      <c r="AL13" s="27">
        <v>1512</v>
      </c>
      <c r="AM13" s="27">
        <v>605</v>
      </c>
      <c r="AN13" s="27">
        <v>764</v>
      </c>
      <c r="AO13" s="27">
        <v>462</v>
      </c>
      <c r="AP13" s="27">
        <v>498</v>
      </c>
      <c r="AQ13" s="27">
        <v>1349</v>
      </c>
      <c r="AR13" s="27">
        <v>422</v>
      </c>
      <c r="AS13" s="27">
        <v>201</v>
      </c>
      <c r="AT13" s="28">
        <v>155</v>
      </c>
      <c r="AU13" s="27">
        <v>198</v>
      </c>
      <c r="AV13" s="27">
        <v>184</v>
      </c>
      <c r="AW13" s="27">
        <v>327</v>
      </c>
      <c r="AX13" s="27">
        <v>879</v>
      </c>
      <c r="AY13" s="27"/>
      <c r="AZ13" s="27"/>
      <c r="BA13" s="27"/>
      <c r="BB13" s="27"/>
      <c r="BC13" s="27"/>
      <c r="BD13" s="27"/>
      <c r="BE13" s="27"/>
      <c r="BF13" s="27"/>
      <c r="BG13" s="26">
        <v>1243</v>
      </c>
      <c r="BH13" s="27">
        <v>1835</v>
      </c>
      <c r="BI13" s="27">
        <v>1112</v>
      </c>
      <c r="BJ13" s="27">
        <v>2710</v>
      </c>
      <c r="BK13" s="27">
        <v>2070</v>
      </c>
      <c r="BL13" s="27">
        <v>1343</v>
      </c>
      <c r="BM13" s="27">
        <v>3650</v>
      </c>
      <c r="BN13" s="27">
        <v>3147</v>
      </c>
      <c r="BO13" s="27">
        <v>1824</v>
      </c>
      <c r="BP13" s="27">
        <v>1376</v>
      </c>
      <c r="BQ13" s="27">
        <v>1180</v>
      </c>
      <c r="BR13" s="28">
        <v>1025</v>
      </c>
      <c r="BS13" s="27">
        <v>793</v>
      </c>
      <c r="BT13" s="27">
        <v>600</v>
      </c>
      <c r="BU13" s="27">
        <v>313</v>
      </c>
      <c r="BV13" s="27"/>
      <c r="BW13" s="27"/>
      <c r="BX13" s="27"/>
      <c r="BY13" s="27"/>
      <c r="BZ13" s="27"/>
      <c r="CA13" s="27"/>
      <c r="CB13" s="27"/>
      <c r="CC13" s="27"/>
      <c r="CD13" s="27"/>
      <c r="CE13" s="70">
        <f t="shared" si="34"/>
        <v>0.82220434432823808</v>
      </c>
      <c r="CF13" s="71">
        <f t="shared" si="35"/>
        <v>0.40871934604904631</v>
      </c>
      <c r="CG13" s="71">
        <f t="shared" si="36"/>
        <v>0.65647482014388492</v>
      </c>
      <c r="CH13" s="71">
        <f t="shared" si="37"/>
        <v>0.55793357933579335</v>
      </c>
      <c r="CI13" s="71">
        <f t="shared" si="38"/>
        <v>0.2922705314009662</v>
      </c>
      <c r="CJ13" s="71">
        <f t="shared" si="39"/>
        <v>0.56887565152643338</v>
      </c>
      <c r="CK13" s="71">
        <f t="shared" si="40"/>
        <v>0.12657534246575342</v>
      </c>
      <c r="CL13" s="71">
        <f t="shared" si="41"/>
        <v>0.15824594852240229</v>
      </c>
      <c r="CM13" s="71">
        <f t="shared" si="42"/>
        <v>0.73958333333333337</v>
      </c>
      <c r="CN13" s="71">
        <f t="shared" si="43"/>
        <v>0.3066860465116279</v>
      </c>
      <c r="CO13" s="71">
        <f t="shared" si="44"/>
        <v>0.17033898305084746</v>
      </c>
      <c r="CP13" s="72">
        <f t="shared" si="45"/>
        <v>0.15121951219512195</v>
      </c>
      <c r="CQ13" s="70">
        <f t="shared" si="46"/>
        <v>0.24968474148802017</v>
      </c>
      <c r="CR13" s="71">
        <f t="shared" si="47"/>
        <v>0.30666666666666664</v>
      </c>
      <c r="CS13" s="71">
        <f t="shared" si="47"/>
        <v>1.0447284345047922</v>
      </c>
      <c r="CT13" s="71"/>
      <c r="CU13" s="71"/>
      <c r="CV13" s="71"/>
      <c r="CW13" s="71"/>
      <c r="CX13" s="71"/>
      <c r="CY13" s="71"/>
      <c r="CZ13" s="71"/>
      <c r="DA13" s="71"/>
      <c r="DB13" s="72"/>
    </row>
    <row r="14" spans="1:106" x14ac:dyDescent="0.3">
      <c r="A14" s="21" t="s">
        <v>4</v>
      </c>
      <c r="B14" s="21">
        <v>317361</v>
      </c>
      <c r="C14" s="21" t="s">
        <v>146</v>
      </c>
      <c r="D14" s="61">
        <v>4</v>
      </c>
      <c r="E14" s="22">
        <f>IFERROR(VLOOKUP(B14,재고DB!H:AS,38,FALSE),0)</f>
        <v>17230</v>
      </c>
      <c r="F14" s="22">
        <f>SUMIF(재고DB!$H:$H,완제품!$B14,재고DB!$AB:$AB)</f>
        <v>157</v>
      </c>
      <c r="G14" s="22">
        <f t="shared" si="48"/>
        <v>2705110</v>
      </c>
      <c r="H14" s="6">
        <f>IFERROR(VLOOKUP(B14,출고량!$A:$D,4,FALSE),0)</f>
        <v>129.74193548387098</v>
      </c>
      <c r="I14" s="63">
        <f t="shared" si="49"/>
        <v>1.2100944803580307</v>
      </c>
      <c r="J14" s="48">
        <f t="shared" ca="1" si="50"/>
        <v>45839.302834410744</v>
      </c>
      <c r="K14" s="50">
        <f>IF(F14=0,"재고없음",IFERROR(VLOOKUP(B14,재고DB!H:BU,66,FALSE),0))</f>
        <v>45997</v>
      </c>
      <c r="L14" s="6">
        <v>28</v>
      </c>
      <c r="M14" s="48">
        <f t="shared" ca="1" si="51"/>
        <v>45831</v>
      </c>
      <c r="N14" s="76">
        <v>0.95</v>
      </c>
      <c r="O14" s="160" t="str">
        <f t="shared" ca="1" si="56"/>
        <v>X</v>
      </c>
      <c r="P14" s="65">
        <v>0</v>
      </c>
      <c r="Q14" s="65">
        <f t="shared" si="52"/>
        <v>0</v>
      </c>
      <c r="R14" s="50">
        <f t="shared" ca="1" si="53"/>
        <v>45839.302834410744</v>
      </c>
      <c r="S14" s="46" t="str">
        <f t="shared" ca="1" si="32"/>
        <v>O</v>
      </c>
      <c r="T14" s="65" t="str">
        <f t="shared" ca="1" si="33"/>
        <v>B</v>
      </c>
      <c r="U14" s="65">
        <f t="shared" si="54"/>
        <v>0</v>
      </c>
      <c r="V14" s="78" t="str">
        <f t="shared" ca="1" si="55"/>
        <v>판매활성화</v>
      </c>
      <c r="W14" s="166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8"/>
      <c r="AI14" s="26">
        <v>63</v>
      </c>
      <c r="AJ14" s="27">
        <v>57</v>
      </c>
      <c r="AK14" s="27">
        <v>60</v>
      </c>
      <c r="AL14" s="27">
        <v>369</v>
      </c>
      <c r="AM14" s="27">
        <v>281</v>
      </c>
      <c r="AN14" s="27">
        <v>536</v>
      </c>
      <c r="AO14" s="27">
        <v>587</v>
      </c>
      <c r="AP14" s="27">
        <v>239</v>
      </c>
      <c r="AQ14" s="27">
        <v>394</v>
      </c>
      <c r="AR14" s="27">
        <v>161</v>
      </c>
      <c r="AS14" s="27">
        <v>403</v>
      </c>
      <c r="AT14" s="28">
        <v>116</v>
      </c>
      <c r="AU14" s="27">
        <v>127</v>
      </c>
      <c r="AV14" s="27">
        <v>138</v>
      </c>
      <c r="AW14" s="27">
        <v>123</v>
      </c>
      <c r="AX14" s="27">
        <v>216</v>
      </c>
      <c r="AY14" s="27"/>
      <c r="AZ14" s="27"/>
      <c r="BA14" s="27"/>
      <c r="BB14" s="27"/>
      <c r="BC14" s="27"/>
      <c r="BD14" s="27"/>
      <c r="BE14" s="27"/>
      <c r="BF14" s="27"/>
      <c r="BG14" s="26">
        <v>363</v>
      </c>
      <c r="BH14" s="27">
        <v>306</v>
      </c>
      <c r="BI14" s="27">
        <v>619</v>
      </c>
      <c r="BJ14" s="27">
        <v>242</v>
      </c>
      <c r="BK14" s="27">
        <v>949</v>
      </c>
      <c r="BL14" s="27">
        <v>1178</v>
      </c>
      <c r="BM14" s="27">
        <v>1089</v>
      </c>
      <c r="BN14" s="27">
        <v>1355</v>
      </c>
      <c r="BO14" s="27">
        <v>957</v>
      </c>
      <c r="BP14" s="27">
        <v>791</v>
      </c>
      <c r="BQ14" s="27">
        <v>391</v>
      </c>
      <c r="BR14" s="28">
        <v>771</v>
      </c>
      <c r="BS14" s="27">
        <v>602</v>
      </c>
      <c r="BT14" s="27">
        <v>491</v>
      </c>
      <c r="BU14" s="27">
        <v>437</v>
      </c>
      <c r="BV14" s="27"/>
      <c r="BW14" s="27"/>
      <c r="BX14" s="27"/>
      <c r="BY14" s="27"/>
      <c r="BZ14" s="27"/>
      <c r="CA14" s="27"/>
      <c r="CB14" s="27"/>
      <c r="CC14" s="27"/>
      <c r="CD14" s="27"/>
      <c r="CE14" s="70">
        <f t="shared" si="34"/>
        <v>0.17355371900826447</v>
      </c>
      <c r="CF14" s="71">
        <f t="shared" si="35"/>
        <v>0.18627450980392157</v>
      </c>
      <c r="CG14" s="71">
        <f t="shared" si="36"/>
        <v>9.6930533117932149E-2</v>
      </c>
      <c r="CH14" s="71">
        <f t="shared" si="37"/>
        <v>1.524793388429752</v>
      </c>
      <c r="CI14" s="71">
        <f t="shared" si="38"/>
        <v>0.29610115911485774</v>
      </c>
      <c r="CJ14" s="71">
        <f t="shared" si="39"/>
        <v>0.45500848896434637</v>
      </c>
      <c r="CK14" s="71">
        <f t="shared" si="40"/>
        <v>0.53902662993572081</v>
      </c>
      <c r="CL14" s="71">
        <f t="shared" si="41"/>
        <v>0.17638376383763837</v>
      </c>
      <c r="CM14" s="71">
        <f t="shared" si="42"/>
        <v>0.41170323928944619</v>
      </c>
      <c r="CN14" s="71">
        <f t="shared" si="43"/>
        <v>0.20353982300884957</v>
      </c>
      <c r="CO14" s="71">
        <f t="shared" si="44"/>
        <v>1.0306905370843991</v>
      </c>
      <c r="CP14" s="72">
        <f t="shared" si="45"/>
        <v>0.15045395590142671</v>
      </c>
      <c r="CQ14" s="70">
        <f t="shared" si="46"/>
        <v>0.21096345514950166</v>
      </c>
      <c r="CR14" s="71">
        <f t="shared" si="47"/>
        <v>0.28105906313645623</v>
      </c>
      <c r="CS14" s="71">
        <f t="shared" si="47"/>
        <v>0.28146453089244849</v>
      </c>
      <c r="CT14" s="71"/>
      <c r="CU14" s="71"/>
      <c r="CV14" s="71"/>
      <c r="CW14" s="71"/>
      <c r="CX14" s="71"/>
      <c r="CY14" s="71"/>
      <c r="CZ14" s="71"/>
      <c r="DA14" s="71"/>
      <c r="DB14" s="72"/>
    </row>
    <row r="15" spans="1:106" x14ac:dyDescent="0.3">
      <c r="A15" s="21" t="s">
        <v>4</v>
      </c>
      <c r="B15" s="21">
        <v>314432</v>
      </c>
      <c r="C15" s="21" t="s">
        <v>1015</v>
      </c>
      <c r="D15" s="61">
        <v>1.04</v>
      </c>
      <c r="E15" s="22">
        <f>IFERROR(VLOOKUP(B15,재고DB!H:AS,38,FALSE),0)</f>
        <v>0</v>
      </c>
      <c r="F15" s="22">
        <f>SUMIF(재고DB!$H:$H,완제품!$B15,재고DB!$AB:$AB)</f>
        <v>0</v>
      </c>
      <c r="G15" s="22">
        <f>+E15*F15</f>
        <v>0</v>
      </c>
      <c r="H15" s="6">
        <f>IFERROR(VLOOKUP(B15,출고량!$A:$D,4,FALSE),0)</f>
        <v>38.87096774193548</v>
      </c>
      <c r="I15" s="63">
        <f t="shared" si="49"/>
        <v>0</v>
      </c>
      <c r="J15" s="48" t="str">
        <f t="shared" si="50"/>
        <v>재고없음</v>
      </c>
      <c r="K15" s="50" t="str">
        <f>IF(F15=0,"재고없음",IFERROR(VLOOKUP(B15,재고DB!H:BU,66,FALSE),0))</f>
        <v>재고없음</v>
      </c>
      <c r="L15" s="6">
        <v>28</v>
      </c>
      <c r="M15" s="48">
        <f t="shared" ca="1" si="51"/>
        <v>45831</v>
      </c>
      <c r="N15" s="76">
        <v>0.95</v>
      </c>
      <c r="O15" s="160" t="str">
        <f t="shared" ca="1" si="56"/>
        <v>없음</v>
      </c>
      <c r="P15" s="65">
        <v>0</v>
      </c>
      <c r="Q15" s="65">
        <f t="shared" si="52"/>
        <v>0</v>
      </c>
      <c r="R15" s="50">
        <f t="shared" ca="1" si="53"/>
        <v>45803</v>
      </c>
      <c r="S15" s="46">
        <f t="shared" si="32"/>
        <v>0</v>
      </c>
      <c r="T15" s="65" t="str">
        <f t="shared" si="33"/>
        <v>-</v>
      </c>
      <c r="U15" s="65">
        <f t="shared" si="54"/>
        <v>5</v>
      </c>
      <c r="V15" s="78" t="str">
        <f t="shared" si="55"/>
        <v>판매활성화</v>
      </c>
      <c r="W15" s="166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8"/>
      <c r="AI15" s="26">
        <v>38</v>
      </c>
      <c r="AJ15" s="27">
        <v>256</v>
      </c>
      <c r="AK15" s="27">
        <v>842</v>
      </c>
      <c r="AL15" s="27">
        <v>1283</v>
      </c>
      <c r="AM15" s="27">
        <v>963</v>
      </c>
      <c r="AN15" s="27">
        <v>591</v>
      </c>
      <c r="AO15" s="27">
        <v>97</v>
      </c>
      <c r="AP15" s="27">
        <v>53</v>
      </c>
      <c r="AQ15" s="27">
        <v>128</v>
      </c>
      <c r="AR15" s="27">
        <v>47</v>
      </c>
      <c r="AS15" s="27">
        <v>82</v>
      </c>
      <c r="AT15" s="28">
        <v>63</v>
      </c>
      <c r="AU15" s="27">
        <v>215</v>
      </c>
      <c r="AV15" s="27">
        <v>88</v>
      </c>
      <c r="AW15" s="27">
        <v>182</v>
      </c>
      <c r="AX15" s="27">
        <v>139</v>
      </c>
      <c r="AY15" s="27"/>
      <c r="AZ15" s="27"/>
      <c r="BA15" s="27"/>
      <c r="BB15" s="27"/>
      <c r="BC15" s="27"/>
      <c r="BD15" s="27"/>
      <c r="BE15" s="27"/>
      <c r="BF15" s="27"/>
      <c r="BG15" s="26">
        <v>2069</v>
      </c>
      <c r="BH15" s="27">
        <v>1897</v>
      </c>
      <c r="BI15" s="27">
        <v>1055</v>
      </c>
      <c r="BJ15" s="27">
        <v>1487</v>
      </c>
      <c r="BK15" s="27">
        <v>2002</v>
      </c>
      <c r="BL15" s="27">
        <v>1463</v>
      </c>
      <c r="BM15" s="27">
        <v>1366</v>
      </c>
      <c r="BN15" s="27">
        <v>1313</v>
      </c>
      <c r="BO15" s="27">
        <v>1187</v>
      </c>
      <c r="BP15" s="27">
        <v>1138</v>
      </c>
      <c r="BQ15" s="27">
        <v>1056</v>
      </c>
      <c r="BR15" s="28">
        <v>993</v>
      </c>
      <c r="BS15" s="27">
        <v>776</v>
      </c>
      <c r="BT15" s="27">
        <v>690</v>
      </c>
      <c r="BU15" s="27">
        <v>508</v>
      </c>
      <c r="BV15" s="27"/>
      <c r="BW15" s="27"/>
      <c r="BX15" s="27"/>
      <c r="BY15" s="27"/>
      <c r="BZ15" s="27"/>
      <c r="CA15" s="27"/>
      <c r="CB15" s="27"/>
      <c r="CC15" s="27"/>
      <c r="CD15" s="27"/>
      <c r="CE15" s="70">
        <f t="shared" si="34"/>
        <v>1.8366360560657321E-2</v>
      </c>
      <c r="CF15" s="71">
        <f t="shared" si="35"/>
        <v>0.13494992092778071</v>
      </c>
      <c r="CG15" s="71">
        <f t="shared" si="36"/>
        <v>0.79810426540284363</v>
      </c>
      <c r="CH15" s="71">
        <f t="shared" si="37"/>
        <v>0.86281102891728312</v>
      </c>
      <c r="CI15" s="71">
        <f t="shared" si="38"/>
        <v>0.481018981018981</v>
      </c>
      <c r="CJ15" s="71">
        <f t="shared" si="39"/>
        <v>0.40396445659603553</v>
      </c>
      <c r="CK15" s="71">
        <f t="shared" si="40"/>
        <v>7.1010248901903369E-2</v>
      </c>
      <c r="CL15" s="71">
        <f t="shared" si="41"/>
        <v>4.0365575019040367E-2</v>
      </c>
      <c r="CM15" s="71">
        <f t="shared" si="42"/>
        <v>0.10783487784330244</v>
      </c>
      <c r="CN15" s="71">
        <f t="shared" si="43"/>
        <v>4.1300527240773287E-2</v>
      </c>
      <c r="CO15" s="71">
        <f t="shared" si="44"/>
        <v>7.7651515151515152E-2</v>
      </c>
      <c r="CP15" s="72">
        <f t="shared" si="45"/>
        <v>6.3444108761329304E-2</v>
      </c>
      <c r="CQ15" s="70">
        <f t="shared" si="46"/>
        <v>0.27706185567010311</v>
      </c>
      <c r="CR15" s="71">
        <f t="shared" si="47"/>
        <v>0.12753623188405797</v>
      </c>
      <c r="CS15" s="71">
        <f t="shared" si="47"/>
        <v>0.35826771653543305</v>
      </c>
      <c r="CT15" s="71"/>
      <c r="CU15" s="71"/>
      <c r="CV15" s="71"/>
      <c r="CW15" s="71"/>
      <c r="CX15" s="71"/>
      <c r="CY15" s="71"/>
      <c r="CZ15" s="71"/>
      <c r="DA15" s="71"/>
      <c r="DB15" s="72"/>
    </row>
    <row r="16" spans="1:106" x14ac:dyDescent="0.3">
      <c r="A16" s="21" t="s">
        <v>4</v>
      </c>
      <c r="B16" s="21">
        <v>321617</v>
      </c>
      <c r="C16" s="21" t="s">
        <v>11</v>
      </c>
      <c r="D16" s="61">
        <v>1.264</v>
      </c>
      <c r="E16" s="22">
        <f>IFERROR(VLOOKUP(B16,재고DB!H:AS,38,FALSE),0)</f>
        <v>7209</v>
      </c>
      <c r="F16" s="22">
        <f>SUMIF(재고DB!$H:$H,완제품!$B16,재고DB!$AB:$AB)</f>
        <v>447</v>
      </c>
      <c r="G16" s="22">
        <f t="shared" si="48"/>
        <v>3222423</v>
      </c>
      <c r="H16" s="6">
        <f>IFERROR(VLOOKUP(B16,출고량!$A:$D,4,FALSE),0)</f>
        <v>948.25806451612902</v>
      </c>
      <c r="I16" s="63">
        <f>IFERROR(F16/H16,0)</f>
        <v>0.47139066539665259</v>
      </c>
      <c r="J16" s="48">
        <f t="shared" ca="1" si="50"/>
        <v>45817.141719961903</v>
      </c>
      <c r="K16" s="50">
        <f>IF(F16=0,"재고없음",IFERROR(VLOOKUP(B16,재고DB!H:BU,66,FALSE),0))</f>
        <v>46097</v>
      </c>
      <c r="L16" s="6">
        <v>28</v>
      </c>
      <c r="M16" s="48">
        <f t="shared" ca="1" si="51"/>
        <v>45831</v>
      </c>
      <c r="N16" s="76">
        <v>0.84389999999999998</v>
      </c>
      <c r="O16" s="160" t="str">
        <f t="shared" ca="1" si="56"/>
        <v>O</v>
      </c>
      <c r="P16" s="65">
        <v>1500</v>
      </c>
      <c r="Q16" s="65">
        <f t="shared" si="52"/>
        <v>1001.4636075949368</v>
      </c>
      <c r="R16" s="50">
        <f t="shared" ca="1" si="53"/>
        <v>45848.824981462218</v>
      </c>
      <c r="S16" s="46" t="str">
        <f t="shared" ca="1" si="32"/>
        <v>O</v>
      </c>
      <c r="T16" s="65" t="str">
        <f t="shared" ca="1" si="33"/>
        <v>A</v>
      </c>
      <c r="U16" s="65">
        <f t="shared" si="54"/>
        <v>0</v>
      </c>
      <c r="V16" s="78" t="str">
        <f t="shared" ca="1" si="55"/>
        <v>판매활성화</v>
      </c>
      <c r="W16" s="166"/>
      <c r="X16" s="167">
        <v>2000</v>
      </c>
      <c r="Y16" s="167">
        <v>2000</v>
      </c>
      <c r="Z16" s="167"/>
      <c r="AA16" s="167"/>
      <c r="AB16" s="167"/>
      <c r="AC16" s="167"/>
      <c r="AD16" s="167"/>
      <c r="AE16" s="167"/>
      <c r="AF16" s="167"/>
      <c r="AG16" s="167"/>
      <c r="AH16" s="168"/>
      <c r="AI16" s="26">
        <v>200</v>
      </c>
      <c r="AJ16" s="27">
        <v>492</v>
      </c>
      <c r="AK16" s="27">
        <v>901</v>
      </c>
      <c r="AL16" s="27">
        <v>1701</v>
      </c>
      <c r="AM16" s="27">
        <v>2268</v>
      </c>
      <c r="AN16" s="27">
        <v>1528</v>
      </c>
      <c r="AO16" s="27">
        <v>1394</v>
      </c>
      <c r="AP16" s="27">
        <v>1740</v>
      </c>
      <c r="AQ16" s="27">
        <v>1318</v>
      </c>
      <c r="AR16" s="27">
        <v>1604</v>
      </c>
      <c r="AS16" s="27">
        <v>1811</v>
      </c>
      <c r="AT16" s="28">
        <v>1194</v>
      </c>
      <c r="AU16" s="27">
        <v>1122</v>
      </c>
      <c r="AV16" s="27">
        <v>919</v>
      </c>
      <c r="AW16" s="27">
        <v>1134</v>
      </c>
      <c r="AX16" s="27">
        <v>838</v>
      </c>
      <c r="AY16" s="27"/>
      <c r="AZ16" s="27"/>
      <c r="BA16" s="27"/>
      <c r="BB16" s="27"/>
      <c r="BC16" s="27"/>
      <c r="BD16" s="27"/>
      <c r="BE16" s="27"/>
      <c r="BF16" s="27"/>
      <c r="BG16" s="26">
        <v>808</v>
      </c>
      <c r="BH16" s="27">
        <v>2094</v>
      </c>
      <c r="BI16" s="27">
        <v>1228</v>
      </c>
      <c r="BJ16" s="27">
        <v>2412</v>
      </c>
      <c r="BK16" s="27">
        <v>2944</v>
      </c>
      <c r="BL16" s="27">
        <v>2582</v>
      </c>
      <c r="BM16" s="27">
        <v>2216</v>
      </c>
      <c r="BN16" s="27">
        <v>2702</v>
      </c>
      <c r="BO16" s="27">
        <v>1381</v>
      </c>
      <c r="BP16" s="27">
        <v>1058</v>
      </c>
      <c r="BQ16" s="27">
        <v>2166</v>
      </c>
      <c r="BR16" s="28">
        <v>1932</v>
      </c>
      <c r="BS16" s="27">
        <v>1016</v>
      </c>
      <c r="BT16" s="27">
        <v>1558</v>
      </c>
      <c r="BU16" s="27">
        <v>1982</v>
      </c>
      <c r="BV16" s="27"/>
      <c r="BW16" s="27"/>
      <c r="BX16" s="27"/>
      <c r="BY16" s="27"/>
      <c r="BZ16" s="27"/>
      <c r="CA16" s="27"/>
      <c r="CB16" s="27"/>
      <c r="CC16" s="27"/>
      <c r="CD16" s="27"/>
      <c r="CE16" s="70">
        <f t="shared" si="34"/>
        <v>0.24752475247524752</v>
      </c>
      <c r="CF16" s="71">
        <f t="shared" si="35"/>
        <v>0.23495702005730659</v>
      </c>
      <c r="CG16" s="71">
        <f t="shared" si="36"/>
        <v>0.73371335504885993</v>
      </c>
      <c r="CH16" s="71">
        <f t="shared" si="37"/>
        <v>0.70522388059701491</v>
      </c>
      <c r="CI16" s="71">
        <f t="shared" si="38"/>
        <v>0.77038043478260865</v>
      </c>
      <c r="CJ16" s="71">
        <f t="shared" si="39"/>
        <v>0.59178931061192874</v>
      </c>
      <c r="CK16" s="71">
        <f t="shared" si="40"/>
        <v>0.62906137184115518</v>
      </c>
      <c r="CL16" s="71">
        <f t="shared" si="41"/>
        <v>0.64396743153219838</v>
      </c>
      <c r="CM16" s="71">
        <f t="shared" si="42"/>
        <v>0.95438088341781313</v>
      </c>
      <c r="CN16" s="71">
        <f t="shared" si="43"/>
        <v>1.5160680529300568</v>
      </c>
      <c r="CO16" s="71">
        <f t="shared" si="44"/>
        <v>0.83610341643582642</v>
      </c>
      <c r="CP16" s="72">
        <f t="shared" si="45"/>
        <v>0.61801242236024845</v>
      </c>
      <c r="CQ16" s="70">
        <f t="shared" si="46"/>
        <v>1.1043307086614174</v>
      </c>
      <c r="CR16" s="71">
        <f t="shared" si="47"/>
        <v>0.58985879332477531</v>
      </c>
      <c r="CS16" s="71">
        <f t="shared" si="47"/>
        <v>0.57214934409687179</v>
      </c>
      <c r="CT16" s="71"/>
      <c r="CU16" s="71"/>
      <c r="CV16" s="71"/>
      <c r="CW16" s="71"/>
      <c r="CX16" s="71"/>
      <c r="CY16" s="71"/>
      <c r="CZ16" s="71"/>
      <c r="DA16" s="71"/>
      <c r="DB16" s="72"/>
    </row>
    <row r="17" spans="1:106" ht="17.25" customHeight="1" x14ac:dyDescent="0.3">
      <c r="A17" s="21" t="s">
        <v>4</v>
      </c>
      <c r="B17" s="21">
        <v>334659</v>
      </c>
      <c r="C17" s="21" t="s">
        <v>12</v>
      </c>
      <c r="D17" s="61">
        <v>0.3</v>
      </c>
      <c r="E17" s="22">
        <f>IFERROR(VLOOKUP(B17,재고DB!H:AS,38,FALSE),0)</f>
        <v>2657</v>
      </c>
      <c r="F17" s="22">
        <f>SUMIF(재고DB!$H:$H,완제품!$B17,재고DB!$AB:$AB)</f>
        <v>675</v>
      </c>
      <c r="G17" s="22">
        <f t="shared" si="48"/>
        <v>1793475</v>
      </c>
      <c r="H17" s="6">
        <f>IFERROR(VLOOKUP(B17,출고량!$A:$D,4,FALSE),0)</f>
        <v>1.5483870967741935</v>
      </c>
      <c r="I17" s="63">
        <f t="shared" si="49"/>
        <v>435.9375</v>
      </c>
      <c r="J17" s="48">
        <f t="shared" ca="1" si="50"/>
        <v>58881.125</v>
      </c>
      <c r="K17" s="50">
        <f>IF(F17=0,"재고없음",IFERROR(VLOOKUP(B17,재고DB!H:BU,66,FALSE),0))</f>
        <v>45934</v>
      </c>
      <c r="L17" s="6">
        <v>42</v>
      </c>
      <c r="M17" s="48">
        <f t="shared" ca="1" si="51"/>
        <v>45845</v>
      </c>
      <c r="N17" s="76">
        <v>0.9</v>
      </c>
      <c r="O17" s="160" t="str">
        <f t="shared" ca="1" si="56"/>
        <v>X</v>
      </c>
      <c r="P17" s="65">
        <v>0</v>
      </c>
      <c r="Q17" s="65">
        <f t="shared" si="52"/>
        <v>0</v>
      </c>
      <c r="R17" s="50">
        <f t="shared" ca="1" si="53"/>
        <v>58881.125</v>
      </c>
      <c r="S17" s="46" t="str">
        <f t="shared" ca="1" si="32"/>
        <v>X</v>
      </c>
      <c r="T17" s="65" t="str">
        <f t="shared" ca="1" si="33"/>
        <v>C</v>
      </c>
      <c r="U17" s="65">
        <f t="shared" si="54"/>
        <v>4</v>
      </c>
      <c r="V17" s="78" t="str">
        <f t="shared" ca="1" si="55"/>
        <v>소진계획필요</v>
      </c>
      <c r="W17" s="166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8"/>
      <c r="AI17" s="26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91</v>
      </c>
      <c r="AS17" s="27">
        <v>2</v>
      </c>
      <c r="AT17" s="28">
        <v>80</v>
      </c>
      <c r="AU17" s="27">
        <v>11</v>
      </c>
      <c r="AV17" s="27">
        <v>2</v>
      </c>
      <c r="AW17" s="27">
        <v>4</v>
      </c>
      <c r="AX17" s="27">
        <v>6</v>
      </c>
      <c r="AY17" s="27"/>
      <c r="AZ17" s="27"/>
      <c r="BA17" s="27"/>
      <c r="BB17" s="27"/>
      <c r="BC17" s="27"/>
      <c r="BD17" s="27"/>
      <c r="BE17" s="27"/>
      <c r="BF17" s="27"/>
      <c r="BG17" s="26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798</v>
      </c>
      <c r="BQ17" s="27">
        <v>798</v>
      </c>
      <c r="BR17" s="28">
        <v>718</v>
      </c>
      <c r="BS17" s="27">
        <v>689</v>
      </c>
      <c r="BT17" s="27">
        <v>685</v>
      </c>
      <c r="BU17" s="27">
        <v>681</v>
      </c>
      <c r="BV17" s="27"/>
      <c r="BW17" s="27"/>
      <c r="BX17" s="27"/>
      <c r="BY17" s="27"/>
      <c r="BZ17" s="27"/>
      <c r="CA17" s="27"/>
      <c r="CB17" s="27"/>
      <c r="CC17" s="27"/>
      <c r="CD17" s="27"/>
      <c r="CE17" s="70" t="str">
        <f t="shared" si="34"/>
        <v>출시전</v>
      </c>
      <c r="CF17" s="71" t="str">
        <f t="shared" si="35"/>
        <v>출시전</v>
      </c>
      <c r="CG17" s="71" t="str">
        <f t="shared" si="36"/>
        <v>출시전</v>
      </c>
      <c r="CH17" s="71" t="str">
        <f t="shared" si="37"/>
        <v>출시전</v>
      </c>
      <c r="CI17" s="71" t="str">
        <f t="shared" si="38"/>
        <v>출시전</v>
      </c>
      <c r="CJ17" s="71" t="str">
        <f t="shared" si="39"/>
        <v>출시전</v>
      </c>
      <c r="CK17" s="71" t="str">
        <f t="shared" si="40"/>
        <v>출시전</v>
      </c>
      <c r="CL17" s="71" t="str">
        <f t="shared" si="41"/>
        <v>출시전</v>
      </c>
      <c r="CM17" s="71" t="str">
        <f t="shared" si="42"/>
        <v>출시전</v>
      </c>
      <c r="CN17" s="71">
        <f t="shared" si="43"/>
        <v>0.11403508771929824</v>
      </c>
      <c r="CO17" s="71">
        <f t="shared" si="44"/>
        <v>2.5062656641604009E-3</v>
      </c>
      <c r="CP17" s="72">
        <f t="shared" si="45"/>
        <v>0.11142061281337047</v>
      </c>
      <c r="CQ17" s="70">
        <f t="shared" si="46"/>
        <v>1.5965166908563134E-2</v>
      </c>
      <c r="CR17" s="71">
        <f t="shared" si="47"/>
        <v>2.9197080291970801E-3</v>
      </c>
      <c r="CS17" s="71">
        <f t="shared" si="47"/>
        <v>5.8737151248164461E-3</v>
      </c>
      <c r="CT17" s="71"/>
      <c r="CU17" s="71"/>
      <c r="CV17" s="71"/>
      <c r="CW17" s="71"/>
      <c r="CX17" s="71"/>
      <c r="CY17" s="71"/>
      <c r="CZ17" s="71"/>
      <c r="DA17" s="71"/>
      <c r="DB17" s="72"/>
    </row>
    <row r="18" spans="1:106" x14ac:dyDescent="0.3">
      <c r="A18" s="21" t="s">
        <v>4</v>
      </c>
      <c r="B18" s="21">
        <v>320471</v>
      </c>
      <c r="C18" s="21" t="s">
        <v>959</v>
      </c>
      <c r="D18" s="61">
        <v>1.08</v>
      </c>
      <c r="E18" s="22">
        <f>IFERROR(VLOOKUP(B18,재고DB!H:AS,38,FALSE),0)</f>
        <v>7776</v>
      </c>
      <c r="F18" s="22">
        <f>SUMIF(재고DB!$H:$H,완제품!$B18,재고DB!$AB:$AB)</f>
        <v>248</v>
      </c>
      <c r="G18" s="22">
        <f t="shared" si="48"/>
        <v>1928448</v>
      </c>
      <c r="H18" s="6">
        <f>IFERROR(VLOOKUP(B18,출고량!$A:$D,4,FALSE),0)</f>
        <v>721.19354838709683</v>
      </c>
      <c r="I18" s="63">
        <f>IFERROR(F18/H18,0)</f>
        <v>0.34387440175336581</v>
      </c>
      <c r="J18" s="48">
        <f t="shared" ca="1" si="50"/>
        <v>45813.316232052603</v>
      </c>
      <c r="K18" s="50">
        <f>IF(F18=0,"재고없음",IFERROR(VLOOKUP(B18,재고DB!H:BU,66,FALSE),0))</f>
        <v>46019</v>
      </c>
      <c r="L18" s="6">
        <v>28</v>
      </c>
      <c r="M18" s="48">
        <f t="shared" ca="1" si="51"/>
        <v>45831</v>
      </c>
      <c r="N18" s="76">
        <v>0.88</v>
      </c>
      <c r="O18" s="160" t="str">
        <f t="shared" ca="1" si="56"/>
        <v>O</v>
      </c>
      <c r="P18" s="65">
        <v>1500</v>
      </c>
      <c r="Q18" s="65">
        <f t="shared" si="52"/>
        <v>1222.2222222222219</v>
      </c>
      <c r="R18" s="50">
        <f t="shared" ca="1" si="53"/>
        <v>45864.157877473124</v>
      </c>
      <c r="S18" s="46" t="str">
        <f t="shared" ca="1" si="32"/>
        <v>O</v>
      </c>
      <c r="T18" s="65" t="str">
        <f t="shared" ca="1" si="33"/>
        <v>A</v>
      </c>
      <c r="U18" s="65">
        <f t="shared" si="54"/>
        <v>0</v>
      </c>
      <c r="V18" s="78" t="str">
        <f t="shared" ca="1" si="55"/>
        <v>판매활성화</v>
      </c>
      <c r="W18" s="166"/>
      <c r="X18" s="167"/>
      <c r="Y18" s="167"/>
      <c r="Z18" s="167"/>
      <c r="AA18" s="167">
        <v>1500</v>
      </c>
      <c r="AB18" s="167"/>
      <c r="AC18" s="167"/>
      <c r="AD18" s="167"/>
      <c r="AE18" s="167"/>
      <c r="AF18" s="167"/>
      <c r="AG18" s="167"/>
      <c r="AH18" s="168"/>
      <c r="AI18" s="26">
        <v>0</v>
      </c>
      <c r="AJ18" s="27">
        <v>0</v>
      </c>
      <c r="AK18" s="27">
        <v>1873</v>
      </c>
      <c r="AL18" s="27">
        <v>3955</v>
      </c>
      <c r="AM18" s="27">
        <v>3122</v>
      </c>
      <c r="AN18" s="27">
        <v>2242</v>
      </c>
      <c r="AO18" s="27">
        <v>1990</v>
      </c>
      <c r="AP18" s="27">
        <v>784</v>
      </c>
      <c r="AQ18" s="27">
        <v>927</v>
      </c>
      <c r="AR18" s="27">
        <v>673</v>
      </c>
      <c r="AS18" s="27">
        <v>610</v>
      </c>
      <c r="AT18" s="28">
        <v>1372</v>
      </c>
      <c r="AU18" s="27">
        <v>244</v>
      </c>
      <c r="AV18" s="27">
        <v>240</v>
      </c>
      <c r="AW18" s="27">
        <v>571</v>
      </c>
      <c r="AX18" s="27">
        <v>892</v>
      </c>
      <c r="AY18" s="27"/>
      <c r="AZ18" s="27"/>
      <c r="BA18" s="27"/>
      <c r="BB18" s="27"/>
      <c r="BC18" s="27"/>
      <c r="BD18" s="27"/>
      <c r="BE18" s="27"/>
      <c r="BF18" s="27"/>
      <c r="BG18" s="26">
        <v>0</v>
      </c>
      <c r="BH18" s="27">
        <v>1261</v>
      </c>
      <c r="BI18" s="27">
        <v>1105</v>
      </c>
      <c r="BJ18" s="27">
        <v>5545</v>
      </c>
      <c r="BK18" s="27">
        <v>5897</v>
      </c>
      <c r="BL18" s="27">
        <v>3896</v>
      </c>
      <c r="BM18" s="27">
        <v>3182</v>
      </c>
      <c r="BN18" s="27">
        <v>2420</v>
      </c>
      <c r="BO18" s="27">
        <v>1483</v>
      </c>
      <c r="BP18" s="27">
        <v>794</v>
      </c>
      <c r="BQ18" s="27">
        <v>2361</v>
      </c>
      <c r="BR18" s="28">
        <v>989</v>
      </c>
      <c r="BS18" s="27">
        <v>2310</v>
      </c>
      <c r="BT18" s="27">
        <v>2188</v>
      </c>
      <c r="BU18" s="27">
        <v>1593</v>
      </c>
      <c r="BV18" s="27"/>
      <c r="BW18" s="27"/>
      <c r="BX18" s="27"/>
      <c r="BY18" s="27"/>
      <c r="BZ18" s="27"/>
      <c r="CA18" s="27"/>
      <c r="CB18" s="27"/>
      <c r="CC18" s="27"/>
      <c r="CD18" s="27"/>
      <c r="CE18" s="70" t="str">
        <f t="shared" si="34"/>
        <v>출시전</v>
      </c>
      <c r="CF18" s="71" t="str">
        <f t="shared" si="35"/>
        <v>미출고</v>
      </c>
      <c r="CG18" s="71">
        <f t="shared" si="36"/>
        <v>1.6950226244343891</v>
      </c>
      <c r="CH18" s="71">
        <f t="shared" si="37"/>
        <v>0.71325518485121731</v>
      </c>
      <c r="CI18" s="71">
        <f t="shared" si="38"/>
        <v>0.52942173986772934</v>
      </c>
      <c r="CJ18" s="71">
        <f t="shared" si="39"/>
        <v>0.57546201232032856</v>
      </c>
      <c r="CK18" s="71">
        <f t="shared" si="40"/>
        <v>0.62539283469516027</v>
      </c>
      <c r="CL18" s="71">
        <f t="shared" si="41"/>
        <v>0.32396694214876032</v>
      </c>
      <c r="CM18" s="71">
        <f t="shared" si="42"/>
        <v>0.62508428860418075</v>
      </c>
      <c r="CN18" s="71">
        <f t="shared" si="43"/>
        <v>0.84760705289672544</v>
      </c>
      <c r="CO18" s="71">
        <f t="shared" si="44"/>
        <v>0.2583650995340957</v>
      </c>
      <c r="CP18" s="72">
        <f t="shared" si="45"/>
        <v>1.3872598584428717</v>
      </c>
      <c r="CQ18" s="70">
        <f t="shared" si="46"/>
        <v>0.10562770562770563</v>
      </c>
      <c r="CR18" s="71">
        <f t="shared" si="47"/>
        <v>0.10968921389396709</v>
      </c>
      <c r="CS18" s="71">
        <f t="shared" si="47"/>
        <v>0.35844318895166355</v>
      </c>
      <c r="CT18" s="71"/>
      <c r="CU18" s="71"/>
      <c r="CV18" s="71"/>
      <c r="CW18" s="71"/>
      <c r="CX18" s="71"/>
      <c r="CY18" s="71"/>
      <c r="CZ18" s="71"/>
      <c r="DA18" s="71"/>
      <c r="DB18" s="72"/>
    </row>
    <row r="19" spans="1:106" x14ac:dyDescent="0.3">
      <c r="A19" s="21" t="s">
        <v>4</v>
      </c>
      <c r="B19" s="21">
        <v>321310</v>
      </c>
      <c r="C19" s="21" t="s">
        <v>778</v>
      </c>
      <c r="D19" s="61">
        <v>0.2</v>
      </c>
      <c r="E19" s="22">
        <f>IFERROR(VLOOKUP(B19,재고DB!H:AS,38,FALSE),0)</f>
        <v>2180</v>
      </c>
      <c r="F19" s="22">
        <f>SUMIF(재고DB!$H:$H,완제품!$B19,재고DB!$AB:$AB)</f>
        <v>11983</v>
      </c>
      <c r="G19" s="22">
        <f t="shared" si="48"/>
        <v>26122940</v>
      </c>
      <c r="H19" s="6">
        <f>IFERROR(VLOOKUP(B19,출고량!$A:$D,4,FALSE),0)</f>
        <v>227.87096774193549</v>
      </c>
      <c r="I19" s="63">
        <f t="shared" si="49"/>
        <v>52.586778029445071</v>
      </c>
      <c r="J19" s="48">
        <f t="shared" ca="1" si="50"/>
        <v>47380.603340883354</v>
      </c>
      <c r="K19" s="50">
        <f>IF(F19=0,"재고없음",IFERROR(VLOOKUP(B19,재고DB!H:BU,66,FALSE),0))</f>
        <v>46239</v>
      </c>
      <c r="L19" s="6">
        <v>42</v>
      </c>
      <c r="M19" s="48">
        <f t="shared" ca="1" si="51"/>
        <v>45845</v>
      </c>
      <c r="N19" s="76">
        <v>0.98</v>
      </c>
      <c r="O19" s="160" t="str">
        <f t="shared" ca="1" si="56"/>
        <v>X</v>
      </c>
      <c r="P19" s="65">
        <v>0</v>
      </c>
      <c r="Q19" s="65">
        <f t="shared" si="52"/>
        <v>0</v>
      </c>
      <c r="R19" s="50">
        <f t="shared" ca="1" si="53"/>
        <v>47380.603340883354</v>
      </c>
      <c r="S19" s="46" t="str">
        <f t="shared" ca="1" si="32"/>
        <v>X</v>
      </c>
      <c r="T19" s="65" t="str">
        <f t="shared" ca="1" si="33"/>
        <v>C</v>
      </c>
      <c r="U19" s="65">
        <f t="shared" si="54"/>
        <v>7</v>
      </c>
      <c r="V19" s="78" t="str">
        <f t="shared" ca="1" si="55"/>
        <v>단산검토</v>
      </c>
      <c r="W19" s="166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26">
        <v>3608</v>
      </c>
      <c r="AJ19" s="27">
        <v>24</v>
      </c>
      <c r="AK19" s="27">
        <v>744</v>
      </c>
      <c r="AL19" s="27">
        <v>3242</v>
      </c>
      <c r="AM19" s="27">
        <v>1426</v>
      </c>
      <c r="AN19" s="27">
        <v>962</v>
      </c>
      <c r="AO19" s="27">
        <v>745</v>
      </c>
      <c r="AP19" s="27">
        <v>913</v>
      </c>
      <c r="AQ19" s="27">
        <v>1417</v>
      </c>
      <c r="AR19" s="27">
        <v>651</v>
      </c>
      <c r="AS19" s="27">
        <v>817</v>
      </c>
      <c r="AT19" s="28">
        <v>360</v>
      </c>
      <c r="AU19" s="27">
        <v>423</v>
      </c>
      <c r="AV19" s="27">
        <v>3178</v>
      </c>
      <c r="AW19" s="27">
        <v>552</v>
      </c>
      <c r="AX19" s="27">
        <v>480</v>
      </c>
      <c r="AY19" s="27"/>
      <c r="AZ19" s="27"/>
      <c r="BA19" s="27"/>
      <c r="BB19" s="27"/>
      <c r="BC19" s="27"/>
      <c r="BD19" s="27"/>
      <c r="BE19" s="27"/>
      <c r="BF19" s="27"/>
      <c r="BG19" s="26">
        <v>3816</v>
      </c>
      <c r="BH19" s="27">
        <v>15672</v>
      </c>
      <c r="BI19" s="27">
        <v>14928</v>
      </c>
      <c r="BJ19" s="27">
        <v>9351</v>
      </c>
      <c r="BK19" s="27">
        <v>8247</v>
      </c>
      <c r="BL19" s="27">
        <v>7623</v>
      </c>
      <c r="BM19" s="27">
        <v>6927</v>
      </c>
      <c r="BN19" s="27">
        <v>18151</v>
      </c>
      <c r="BO19" s="27">
        <v>16759</v>
      </c>
      <c r="BP19" s="27">
        <v>16183</v>
      </c>
      <c r="BQ19" s="27">
        <v>15439</v>
      </c>
      <c r="BR19" s="28">
        <v>15079</v>
      </c>
      <c r="BS19" s="27">
        <v>14695</v>
      </c>
      <c r="BT19" s="27">
        <v>13015</v>
      </c>
      <c r="BU19" s="27">
        <v>12559</v>
      </c>
      <c r="BV19" s="27"/>
      <c r="BW19" s="27"/>
      <c r="BX19" s="27"/>
      <c r="BY19" s="27"/>
      <c r="BZ19" s="27"/>
      <c r="CA19" s="27"/>
      <c r="CB19" s="27"/>
      <c r="CC19" s="27"/>
      <c r="CD19" s="27"/>
      <c r="CE19" s="70">
        <f t="shared" si="34"/>
        <v>0.9454926624737946</v>
      </c>
      <c r="CF19" s="71">
        <f t="shared" si="35"/>
        <v>1.5313935681470138E-3</v>
      </c>
      <c r="CG19" s="71">
        <f t="shared" si="36"/>
        <v>4.9839228295819937E-2</v>
      </c>
      <c r="CH19" s="71">
        <f t="shared" si="37"/>
        <v>0.34670088760560369</v>
      </c>
      <c r="CI19" s="71">
        <f t="shared" si="38"/>
        <v>0.17291136170728749</v>
      </c>
      <c r="CJ19" s="71">
        <f t="shared" si="39"/>
        <v>0.12619703528794438</v>
      </c>
      <c r="CK19" s="71">
        <f t="shared" si="40"/>
        <v>0.10755016601703479</v>
      </c>
      <c r="CL19" s="71">
        <f t="shared" si="41"/>
        <v>5.0300258938901436E-2</v>
      </c>
      <c r="CM19" s="71">
        <f t="shared" si="42"/>
        <v>8.4551584223402351E-2</v>
      </c>
      <c r="CN19" s="71">
        <f t="shared" si="43"/>
        <v>4.0227399122535992E-2</v>
      </c>
      <c r="CO19" s="71">
        <f t="shared" si="44"/>
        <v>5.2917935099423538E-2</v>
      </c>
      <c r="CP19" s="72">
        <f t="shared" si="45"/>
        <v>2.3874262218980039E-2</v>
      </c>
      <c r="CQ19" s="70">
        <f t="shared" si="46"/>
        <v>2.8785301122830894E-2</v>
      </c>
      <c r="CR19" s="71">
        <f t="shared" si="47"/>
        <v>0.24417979254706107</v>
      </c>
      <c r="CS19" s="71">
        <f t="shared" si="47"/>
        <v>4.3952543992356076E-2</v>
      </c>
      <c r="CT19" s="71"/>
      <c r="CU19" s="71"/>
      <c r="CV19" s="71"/>
      <c r="CW19" s="71"/>
      <c r="CX19" s="71"/>
      <c r="CY19" s="71"/>
      <c r="CZ19" s="71"/>
      <c r="DA19" s="71"/>
      <c r="DB19" s="72"/>
    </row>
    <row r="20" spans="1:106" x14ac:dyDescent="0.3">
      <c r="A20" s="21" t="s">
        <v>4</v>
      </c>
      <c r="B20" s="21">
        <v>323073</v>
      </c>
      <c r="C20" s="21" t="s">
        <v>779</v>
      </c>
      <c r="D20" s="61">
        <v>0.2</v>
      </c>
      <c r="E20" s="22">
        <f>IFERROR(VLOOKUP(B20,재고DB!H:AS,38,FALSE),0)</f>
        <v>7100</v>
      </c>
      <c r="F20" s="22">
        <f>SUMIF(재고DB!$H:$H,완제품!$B20,재고DB!$AB:$AB)</f>
        <v>3795</v>
      </c>
      <c r="G20" s="22">
        <f t="shared" si="48"/>
        <v>26944500</v>
      </c>
      <c r="H20" s="6">
        <f>IFERROR(VLOOKUP(B20,출고량!$A:$D,4,FALSE),0)</f>
        <v>13.870967741935484</v>
      </c>
      <c r="I20" s="63">
        <f t="shared" si="49"/>
        <v>273.59302325581393</v>
      </c>
      <c r="J20" s="48">
        <f t="shared" ca="1" si="50"/>
        <v>54010.79069767442</v>
      </c>
      <c r="K20" s="50">
        <f>IF(F20=0,"재고없음",IFERROR(VLOOKUP(B20,재고DB!H:BU,66,FALSE),0))</f>
        <v>46078</v>
      </c>
      <c r="L20" s="6">
        <v>42</v>
      </c>
      <c r="M20" s="48">
        <f t="shared" ca="1" si="51"/>
        <v>45845</v>
      </c>
      <c r="N20" s="76">
        <v>0.98</v>
      </c>
      <c r="O20" s="160" t="str">
        <f t="shared" ca="1" si="56"/>
        <v>X</v>
      </c>
      <c r="P20" s="65">
        <v>0</v>
      </c>
      <c r="Q20" s="65">
        <f t="shared" si="52"/>
        <v>0</v>
      </c>
      <c r="R20" s="50">
        <f t="shared" ca="1" si="53"/>
        <v>54010.79069767442</v>
      </c>
      <c r="S20" s="46" t="str">
        <f t="shared" ca="1" si="32"/>
        <v>X</v>
      </c>
      <c r="T20" s="65" t="str">
        <f t="shared" ca="1" si="33"/>
        <v>C</v>
      </c>
      <c r="U20" s="65">
        <f t="shared" si="54"/>
        <v>10</v>
      </c>
      <c r="V20" s="78" t="str">
        <f t="shared" ca="1" si="55"/>
        <v>단산검토</v>
      </c>
      <c r="W20" s="166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8"/>
      <c r="AI20" s="26">
        <v>0</v>
      </c>
      <c r="AJ20" s="27">
        <v>0</v>
      </c>
      <c r="AK20" s="27">
        <v>349</v>
      </c>
      <c r="AL20" s="27">
        <v>811</v>
      </c>
      <c r="AM20" s="27">
        <v>587</v>
      </c>
      <c r="AN20" s="27">
        <v>372</v>
      </c>
      <c r="AO20" s="27">
        <v>202</v>
      </c>
      <c r="AP20" s="27">
        <v>209</v>
      </c>
      <c r="AQ20" s="27">
        <v>54</v>
      </c>
      <c r="AR20" s="27">
        <v>52</v>
      </c>
      <c r="AS20" s="27">
        <v>11</v>
      </c>
      <c r="AT20" s="28">
        <v>69</v>
      </c>
      <c r="AU20" s="27">
        <v>15</v>
      </c>
      <c r="AV20" s="27">
        <v>49</v>
      </c>
      <c r="AW20" s="27">
        <v>82</v>
      </c>
      <c r="AX20" s="27">
        <v>15</v>
      </c>
      <c r="AY20" s="27"/>
      <c r="AZ20" s="27"/>
      <c r="BA20" s="27"/>
      <c r="BB20" s="27"/>
      <c r="BC20" s="27"/>
      <c r="BD20" s="27"/>
      <c r="BE20" s="27"/>
      <c r="BF20" s="27"/>
      <c r="BG20" s="26">
        <v>0</v>
      </c>
      <c r="BH20" s="27">
        <v>0</v>
      </c>
      <c r="BI20" s="27">
        <v>6208</v>
      </c>
      <c r="BJ20" s="27">
        <v>5140</v>
      </c>
      <c r="BK20" s="27">
        <v>4688</v>
      </c>
      <c r="BL20" s="27">
        <v>4397</v>
      </c>
      <c r="BM20" s="27">
        <v>4210</v>
      </c>
      <c r="BN20" s="27">
        <v>4067</v>
      </c>
      <c r="BO20" s="27">
        <v>4022</v>
      </c>
      <c r="BP20" s="27">
        <v>3977</v>
      </c>
      <c r="BQ20" s="27">
        <v>3975</v>
      </c>
      <c r="BR20" s="28">
        <v>3931</v>
      </c>
      <c r="BS20" s="27">
        <v>3881</v>
      </c>
      <c r="BT20" s="27">
        <v>3878</v>
      </c>
      <c r="BU20" s="27">
        <v>3802</v>
      </c>
      <c r="BV20" s="27"/>
      <c r="BW20" s="27"/>
      <c r="BX20" s="27"/>
      <c r="BY20" s="27"/>
      <c r="BZ20" s="27"/>
      <c r="CA20" s="27"/>
      <c r="CB20" s="27"/>
      <c r="CC20" s="27"/>
      <c r="CD20" s="27"/>
      <c r="CE20" s="70" t="str">
        <f t="shared" si="34"/>
        <v>출시전</v>
      </c>
      <c r="CF20" s="71" t="str">
        <f t="shared" si="35"/>
        <v>출시전</v>
      </c>
      <c r="CG20" s="71">
        <f t="shared" si="36"/>
        <v>5.6217783505154641E-2</v>
      </c>
      <c r="CH20" s="71">
        <f t="shared" si="37"/>
        <v>0.15778210116731517</v>
      </c>
      <c r="CI20" s="71">
        <f t="shared" si="38"/>
        <v>0.12521331058020477</v>
      </c>
      <c r="CJ20" s="71">
        <f t="shared" si="39"/>
        <v>8.4603138503525133E-2</v>
      </c>
      <c r="CK20" s="71">
        <f t="shared" si="40"/>
        <v>4.7980997624703085E-2</v>
      </c>
      <c r="CL20" s="71">
        <f t="shared" si="41"/>
        <v>5.1389230390951564E-2</v>
      </c>
      <c r="CM20" s="71">
        <f t="shared" si="42"/>
        <v>1.3426156141223273E-2</v>
      </c>
      <c r="CN20" s="71">
        <f t="shared" si="43"/>
        <v>1.3075182298214735E-2</v>
      </c>
      <c r="CO20" s="71">
        <f t="shared" si="44"/>
        <v>2.7672955974842768E-3</v>
      </c>
      <c r="CP20" s="72">
        <f t="shared" si="45"/>
        <v>1.7552785550750447E-2</v>
      </c>
      <c r="CQ20" s="70">
        <f t="shared" si="46"/>
        <v>3.8649832517392425E-3</v>
      </c>
      <c r="CR20" s="71">
        <f t="shared" si="47"/>
        <v>1.263537906137184E-2</v>
      </c>
      <c r="CS20" s="71">
        <f t="shared" si="47"/>
        <v>2.1567596002104155E-2</v>
      </c>
      <c r="CT20" s="71"/>
      <c r="CU20" s="71"/>
      <c r="CV20" s="71"/>
      <c r="CW20" s="71"/>
      <c r="CX20" s="71"/>
      <c r="CY20" s="71"/>
      <c r="CZ20" s="71"/>
      <c r="DA20" s="71"/>
      <c r="DB20" s="72"/>
    </row>
    <row r="21" spans="1:106" x14ac:dyDescent="0.3">
      <c r="A21" s="21" t="s">
        <v>4</v>
      </c>
      <c r="B21" s="21">
        <v>323769</v>
      </c>
      <c r="C21" s="21" t="s">
        <v>16</v>
      </c>
      <c r="D21" s="61">
        <v>1</v>
      </c>
      <c r="E21" s="22">
        <f>IFERROR(VLOOKUP(B21,재고DB!H:AS,38,FALSE),0)</f>
        <v>8300</v>
      </c>
      <c r="F21" s="22">
        <f>SUMIF(재고DB!$H:$H,완제품!$B21,재고DB!$AB:$AB)</f>
        <v>2027</v>
      </c>
      <c r="G21" s="22">
        <f t="shared" si="48"/>
        <v>16824100</v>
      </c>
      <c r="H21" s="6">
        <f>IFERROR(VLOOKUP(B21,출고량!$A:$D,4,FALSE),0)</f>
        <v>3.774193548387097</v>
      </c>
      <c r="I21" s="63">
        <f t="shared" si="49"/>
        <v>537.0683760683761</v>
      </c>
      <c r="J21" s="48">
        <f ca="1">IF(F21=0,"재고없음",IF(H21=0,"출고없음",$H$1+I21*30))</f>
        <v>61915.051282051281</v>
      </c>
      <c r="K21" s="50">
        <f>IF(F21=0,"재고없음",IFERROR(VLOOKUP(B21,재고DB!H:BU,66,FALSE),0))</f>
        <v>45911</v>
      </c>
      <c r="L21" s="6">
        <v>35</v>
      </c>
      <c r="M21" s="48">
        <f t="shared" ca="1" si="51"/>
        <v>45838</v>
      </c>
      <c r="N21" s="76">
        <v>0.95</v>
      </c>
      <c r="O21" s="160" t="str">
        <f t="shared" ca="1" si="56"/>
        <v>X</v>
      </c>
      <c r="P21" s="65">
        <v>0</v>
      </c>
      <c r="Q21" s="65">
        <f t="shared" si="52"/>
        <v>0</v>
      </c>
      <c r="R21" s="50">
        <f t="shared" ca="1" si="53"/>
        <v>61915.051282051281</v>
      </c>
      <c r="S21" s="46" t="str">
        <f t="shared" ca="1" si="32"/>
        <v>X</v>
      </c>
      <c r="T21" s="65" t="str">
        <f t="shared" ca="1" si="33"/>
        <v>C</v>
      </c>
      <c r="U21" s="65">
        <f t="shared" si="54"/>
        <v>11</v>
      </c>
      <c r="V21" s="78" t="str">
        <f t="shared" ca="1" si="55"/>
        <v>단산검토</v>
      </c>
      <c r="W21" s="166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8"/>
      <c r="AI21" s="26">
        <v>0</v>
      </c>
      <c r="AJ21" s="27">
        <v>0</v>
      </c>
      <c r="AK21" s="27">
        <v>293</v>
      </c>
      <c r="AL21" s="27">
        <v>156</v>
      </c>
      <c r="AM21" s="27">
        <v>21</v>
      </c>
      <c r="AN21" s="27">
        <v>39</v>
      </c>
      <c r="AO21" s="27">
        <v>368</v>
      </c>
      <c r="AP21" s="27">
        <v>56</v>
      </c>
      <c r="AQ21" s="27">
        <v>9</v>
      </c>
      <c r="AR21" s="27">
        <v>4</v>
      </c>
      <c r="AS21" s="27">
        <v>10</v>
      </c>
      <c r="AT21" s="28">
        <v>5</v>
      </c>
      <c r="AU21" s="27">
        <v>6</v>
      </c>
      <c r="AV21" s="27">
        <v>19</v>
      </c>
      <c r="AW21" s="27">
        <v>25</v>
      </c>
      <c r="AX21" s="27">
        <v>3</v>
      </c>
      <c r="AY21" s="27"/>
      <c r="AZ21" s="27"/>
      <c r="BA21" s="27"/>
      <c r="BB21" s="27"/>
      <c r="BC21" s="27"/>
      <c r="BD21" s="27"/>
      <c r="BE21" s="27"/>
      <c r="BF21" s="27"/>
      <c r="BG21" s="26">
        <v>0</v>
      </c>
      <c r="BH21" s="27">
        <v>0</v>
      </c>
      <c r="BI21" s="27">
        <v>2752</v>
      </c>
      <c r="BJ21" s="27">
        <v>2596</v>
      </c>
      <c r="BK21" s="27">
        <v>2575</v>
      </c>
      <c r="BL21" s="27">
        <v>2537</v>
      </c>
      <c r="BM21" s="27">
        <v>2168</v>
      </c>
      <c r="BN21" s="27">
        <v>2112</v>
      </c>
      <c r="BO21" s="27">
        <v>2103</v>
      </c>
      <c r="BP21" s="27">
        <v>2099</v>
      </c>
      <c r="BQ21" s="27">
        <v>2089</v>
      </c>
      <c r="BR21" s="28">
        <v>2084</v>
      </c>
      <c r="BS21" s="27">
        <v>2078</v>
      </c>
      <c r="BT21" s="27">
        <v>2058</v>
      </c>
      <c r="BU21" s="27">
        <v>2033</v>
      </c>
      <c r="BV21" s="27"/>
      <c r="BW21" s="27"/>
      <c r="BX21" s="27"/>
      <c r="BY21" s="27"/>
      <c r="BZ21" s="27"/>
      <c r="CA21" s="27"/>
      <c r="CB21" s="27"/>
      <c r="CC21" s="27"/>
      <c r="CD21" s="27"/>
      <c r="CE21" s="70" t="str">
        <f t="shared" si="34"/>
        <v>출시전</v>
      </c>
      <c r="CF21" s="71" t="str">
        <f t="shared" si="35"/>
        <v>출시전</v>
      </c>
      <c r="CG21" s="71">
        <f t="shared" si="36"/>
        <v>0.10646802325581395</v>
      </c>
      <c r="CH21" s="71">
        <f t="shared" si="37"/>
        <v>6.0092449922958396E-2</v>
      </c>
      <c r="CI21" s="71">
        <f t="shared" si="38"/>
        <v>8.1553398058252426E-3</v>
      </c>
      <c r="CJ21" s="71">
        <f t="shared" si="39"/>
        <v>1.5372487189594008E-2</v>
      </c>
      <c r="CK21" s="71">
        <f t="shared" si="40"/>
        <v>0.16974169741697417</v>
      </c>
      <c r="CL21" s="71">
        <f t="shared" si="41"/>
        <v>2.6515151515151516E-2</v>
      </c>
      <c r="CM21" s="71">
        <f t="shared" si="42"/>
        <v>4.2796005706134095E-3</v>
      </c>
      <c r="CN21" s="71">
        <f t="shared" si="43"/>
        <v>1.9056693663649356E-3</v>
      </c>
      <c r="CO21" s="71">
        <f t="shared" si="44"/>
        <v>4.7869794159885112E-3</v>
      </c>
      <c r="CP21" s="72">
        <f t="shared" si="45"/>
        <v>2.3992322456813818E-3</v>
      </c>
      <c r="CQ21" s="70">
        <f t="shared" si="46"/>
        <v>2.8873917228103944E-3</v>
      </c>
      <c r="CR21" s="71">
        <f t="shared" si="47"/>
        <v>9.23226433430515E-3</v>
      </c>
      <c r="CS21" s="71">
        <f t="shared" si="47"/>
        <v>1.2297097884899164E-2</v>
      </c>
      <c r="CT21" s="71"/>
      <c r="CU21" s="71"/>
      <c r="CV21" s="71"/>
      <c r="CW21" s="71"/>
      <c r="CX21" s="71"/>
      <c r="CY21" s="71"/>
      <c r="CZ21" s="71"/>
      <c r="DA21" s="71"/>
      <c r="DB21" s="72"/>
    </row>
    <row r="22" spans="1:106" ht="17.25" customHeight="1" x14ac:dyDescent="0.3">
      <c r="A22" s="21" t="s">
        <v>4</v>
      </c>
      <c r="B22" s="21">
        <v>326552</v>
      </c>
      <c r="C22" s="21" t="s">
        <v>1012</v>
      </c>
      <c r="D22" s="61">
        <v>1</v>
      </c>
      <c r="E22" s="22">
        <f>IFERROR(VLOOKUP(B22,재고DB!H:AS,38,FALSE),0)</f>
        <v>0</v>
      </c>
      <c r="F22" s="22">
        <f>SUMIF(재고DB!$H:$H,완제품!$B22,재고DB!$AB:$AB)</f>
        <v>0</v>
      </c>
      <c r="G22" s="22">
        <f t="shared" si="48"/>
        <v>0</v>
      </c>
      <c r="H22" s="6">
        <f>IFERROR(VLOOKUP(B22,출고량!$A:$D,4,FALSE),0)</f>
        <v>0</v>
      </c>
      <c r="I22" s="63">
        <f t="shared" si="49"/>
        <v>0</v>
      </c>
      <c r="J22" s="48" t="str">
        <f t="shared" si="50"/>
        <v>재고없음</v>
      </c>
      <c r="K22" s="50" t="str">
        <f>IF(F22=0,"재고없음",IFERROR(VLOOKUP(B22,재고DB!H:BU,66,FALSE),0))</f>
        <v>재고없음</v>
      </c>
      <c r="L22" s="6">
        <v>0</v>
      </c>
      <c r="M22" s="48">
        <f t="shared" ca="1" si="51"/>
        <v>45803</v>
      </c>
      <c r="N22" s="76">
        <v>0.95</v>
      </c>
      <c r="O22" s="160" t="str">
        <f t="shared" ca="1" si="56"/>
        <v>없음</v>
      </c>
      <c r="P22" s="65">
        <v>0</v>
      </c>
      <c r="Q22" s="65">
        <f t="shared" si="52"/>
        <v>0</v>
      </c>
      <c r="R22" s="50" t="str">
        <f t="shared" ca="1" si="53"/>
        <v>없음</v>
      </c>
      <c r="S22" s="46">
        <f t="shared" si="32"/>
        <v>0</v>
      </c>
      <c r="T22" s="65" t="str">
        <f t="shared" si="33"/>
        <v>-</v>
      </c>
      <c r="U22" s="65">
        <f t="shared" si="54"/>
        <v>4</v>
      </c>
      <c r="V22" s="78" t="str">
        <f t="shared" si="55"/>
        <v>판매활성화</v>
      </c>
      <c r="W22" s="166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8"/>
      <c r="AI22" s="26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22</v>
      </c>
      <c r="AO22" s="27">
        <v>10</v>
      </c>
      <c r="AP22" s="27">
        <v>0</v>
      </c>
      <c r="AQ22" s="27">
        <v>0</v>
      </c>
      <c r="AR22" s="27">
        <v>0</v>
      </c>
      <c r="AS22" s="27">
        <v>0</v>
      </c>
      <c r="AT22" s="28">
        <v>0</v>
      </c>
      <c r="AU22" s="27">
        <v>0</v>
      </c>
      <c r="AV22" s="27">
        <v>0</v>
      </c>
      <c r="AW22" s="27">
        <v>0</v>
      </c>
      <c r="AX22" s="27">
        <v>0</v>
      </c>
      <c r="AY22" s="27"/>
      <c r="AZ22" s="27"/>
      <c r="BA22" s="27"/>
      <c r="BB22" s="27"/>
      <c r="BC22" s="27"/>
      <c r="BD22" s="27"/>
      <c r="BE22" s="27"/>
      <c r="BF22" s="27"/>
      <c r="BG22" s="26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538</v>
      </c>
      <c r="BM22" s="27">
        <v>528</v>
      </c>
      <c r="BN22" s="27">
        <v>528</v>
      </c>
      <c r="BO22" s="27">
        <v>528</v>
      </c>
      <c r="BP22" s="27"/>
      <c r="BQ22" s="27"/>
      <c r="BR22" s="28">
        <v>0</v>
      </c>
      <c r="BS22" s="27">
        <v>0</v>
      </c>
      <c r="BT22" s="27">
        <v>0</v>
      </c>
      <c r="BU22" s="27">
        <v>0</v>
      </c>
      <c r="BV22" s="27"/>
      <c r="BW22" s="27"/>
      <c r="BX22" s="27"/>
      <c r="BY22" s="27"/>
      <c r="BZ22" s="27"/>
      <c r="CA22" s="27"/>
      <c r="CB22" s="27"/>
      <c r="CC22" s="27"/>
      <c r="CD22" s="27"/>
      <c r="CE22" s="70" t="str">
        <f t="shared" si="34"/>
        <v>출시전</v>
      </c>
      <c r="CF22" s="71" t="str">
        <f t="shared" si="35"/>
        <v>출시전</v>
      </c>
      <c r="CG22" s="71" t="str">
        <f t="shared" si="36"/>
        <v>출시전</v>
      </c>
      <c r="CH22" s="71" t="str">
        <f t="shared" si="37"/>
        <v>출시전</v>
      </c>
      <c r="CI22" s="71" t="str">
        <f t="shared" si="38"/>
        <v>출시전</v>
      </c>
      <c r="CJ22" s="71">
        <f t="shared" si="39"/>
        <v>4.0892193308550186E-2</v>
      </c>
      <c r="CK22" s="71">
        <f t="shared" si="40"/>
        <v>1.893939393939394E-2</v>
      </c>
      <c r="CL22" s="71" t="str">
        <f t="shared" si="41"/>
        <v>미출고</v>
      </c>
      <c r="CM22" s="71" t="str">
        <f t="shared" si="42"/>
        <v>미출고</v>
      </c>
      <c r="CN22" s="71" t="str">
        <f t="shared" si="43"/>
        <v>출시전</v>
      </c>
      <c r="CO22" s="71" t="str">
        <f t="shared" si="44"/>
        <v>출시전</v>
      </c>
      <c r="CP22" s="72" t="str">
        <f t="shared" si="45"/>
        <v>출시전</v>
      </c>
      <c r="CQ22" s="70" t="str">
        <f t="shared" si="46"/>
        <v>출시전</v>
      </c>
      <c r="CR22" s="71" t="str">
        <f t="shared" si="47"/>
        <v>출시전</v>
      </c>
      <c r="CS22" s="71" t="str">
        <f t="shared" si="47"/>
        <v>출시전</v>
      </c>
      <c r="CT22" s="71"/>
      <c r="CU22" s="71"/>
      <c r="CV22" s="71"/>
      <c r="CW22" s="71"/>
      <c r="CX22" s="71"/>
      <c r="CY22" s="71"/>
      <c r="CZ22" s="71"/>
      <c r="DA22" s="71"/>
      <c r="DB22" s="72"/>
    </row>
    <row r="23" spans="1:106" x14ac:dyDescent="0.3">
      <c r="A23" s="21" t="s">
        <v>4</v>
      </c>
      <c r="B23" s="21">
        <v>316950</v>
      </c>
      <c r="C23" s="21" t="s">
        <v>958</v>
      </c>
      <c r="D23" s="61">
        <v>1</v>
      </c>
      <c r="E23" s="22">
        <f>IFERROR(VLOOKUP(B23,재고DB!H:AS,38,FALSE),0)</f>
        <v>0</v>
      </c>
      <c r="F23" s="22">
        <f>SUMIF(재고DB!$H:$H,완제품!$B23,재고DB!$AB:$AB)</f>
        <v>0</v>
      </c>
      <c r="G23" s="22">
        <f t="shared" si="48"/>
        <v>0</v>
      </c>
      <c r="H23" s="6">
        <f>IFERROR(VLOOKUP(B23,출고량!$A:$D,4,FALSE),0)</f>
        <v>30.709677419354836</v>
      </c>
      <c r="I23" s="63">
        <f t="shared" si="49"/>
        <v>0</v>
      </c>
      <c r="J23" s="48" t="str">
        <f t="shared" si="50"/>
        <v>재고없음</v>
      </c>
      <c r="K23" s="50" t="str">
        <f>IF(F23=0,"재고없음",IFERROR(VLOOKUP(B23,재고DB!H:BU,66,FALSE),0))</f>
        <v>재고없음</v>
      </c>
      <c r="L23" s="6">
        <v>35</v>
      </c>
      <c r="M23" s="48">
        <f t="shared" ca="1" si="51"/>
        <v>45838</v>
      </c>
      <c r="N23" s="76">
        <v>0.95</v>
      </c>
      <c r="O23" s="160" t="str">
        <f t="shared" ca="1" si="56"/>
        <v>없음</v>
      </c>
      <c r="P23" s="65">
        <v>0</v>
      </c>
      <c r="Q23" s="65">
        <f t="shared" si="52"/>
        <v>0</v>
      </c>
      <c r="R23" s="50">
        <f t="shared" ca="1" si="53"/>
        <v>45803</v>
      </c>
      <c r="S23" s="46">
        <f t="shared" si="32"/>
        <v>0</v>
      </c>
      <c r="T23" s="65" t="str">
        <f t="shared" si="33"/>
        <v>-</v>
      </c>
      <c r="U23" s="65">
        <f t="shared" si="54"/>
        <v>8</v>
      </c>
      <c r="V23" s="78" t="str">
        <f t="shared" si="55"/>
        <v>판매활성화</v>
      </c>
      <c r="W23" s="166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8"/>
      <c r="AI23" s="26">
        <v>7</v>
      </c>
      <c r="AJ23" s="27">
        <v>259</v>
      </c>
      <c r="AK23" s="27">
        <v>88</v>
      </c>
      <c r="AL23" s="27">
        <v>100</v>
      </c>
      <c r="AM23" s="27">
        <v>58</v>
      </c>
      <c r="AN23" s="27">
        <v>8</v>
      </c>
      <c r="AO23" s="27">
        <v>230</v>
      </c>
      <c r="AP23" s="27">
        <v>23</v>
      </c>
      <c r="AQ23" s="27">
        <v>127</v>
      </c>
      <c r="AR23" s="27">
        <v>2</v>
      </c>
      <c r="AS23" s="27">
        <v>2</v>
      </c>
      <c r="AT23" s="28">
        <v>265</v>
      </c>
      <c r="AU23" s="27">
        <v>10</v>
      </c>
      <c r="AV23" s="27">
        <v>7</v>
      </c>
      <c r="AW23" s="27">
        <v>7</v>
      </c>
      <c r="AX23" s="27">
        <v>119</v>
      </c>
      <c r="AY23" s="27"/>
      <c r="AZ23" s="27"/>
      <c r="BA23" s="27"/>
      <c r="BB23" s="27"/>
      <c r="BC23" s="27"/>
      <c r="BD23" s="27"/>
      <c r="BE23" s="27"/>
      <c r="BF23" s="27"/>
      <c r="BG23" s="26">
        <v>447</v>
      </c>
      <c r="BH23" s="27">
        <v>188</v>
      </c>
      <c r="BI23" s="27">
        <v>100</v>
      </c>
      <c r="BJ23" s="27">
        <v>100</v>
      </c>
      <c r="BK23" s="27">
        <v>792</v>
      </c>
      <c r="BL23" s="27">
        <v>784</v>
      </c>
      <c r="BM23" s="27">
        <v>559</v>
      </c>
      <c r="BN23" s="27">
        <v>547</v>
      </c>
      <c r="BO23" s="27">
        <v>404</v>
      </c>
      <c r="BP23" s="27">
        <v>401</v>
      </c>
      <c r="BQ23" s="27">
        <v>399</v>
      </c>
      <c r="BR23" s="28">
        <v>134</v>
      </c>
      <c r="BS23" s="27">
        <v>121</v>
      </c>
      <c r="BT23" s="27">
        <v>117</v>
      </c>
      <c r="BU23" s="27">
        <v>110</v>
      </c>
      <c r="BV23" s="27"/>
      <c r="BW23" s="27"/>
      <c r="BX23" s="27"/>
      <c r="BY23" s="27"/>
      <c r="BZ23" s="27"/>
      <c r="CA23" s="27"/>
      <c r="CB23" s="27"/>
      <c r="CC23" s="27"/>
      <c r="CD23" s="27"/>
      <c r="CE23" s="70">
        <f t="shared" si="34"/>
        <v>1.5659955257270694E-2</v>
      </c>
      <c r="CF23" s="71">
        <f t="shared" si="35"/>
        <v>1.3776595744680851</v>
      </c>
      <c r="CG23" s="71">
        <f t="shared" si="36"/>
        <v>0.88</v>
      </c>
      <c r="CH23" s="71">
        <f t="shared" si="37"/>
        <v>1</v>
      </c>
      <c r="CI23" s="71">
        <f t="shared" si="38"/>
        <v>7.3232323232323232E-2</v>
      </c>
      <c r="CJ23" s="71">
        <f t="shared" si="39"/>
        <v>1.020408163265306E-2</v>
      </c>
      <c r="CK23" s="71">
        <f t="shared" si="40"/>
        <v>0.41144901610017887</v>
      </c>
      <c r="CL23" s="71">
        <f t="shared" si="41"/>
        <v>4.2047531992687383E-2</v>
      </c>
      <c r="CM23" s="71">
        <f t="shared" si="42"/>
        <v>0.31435643564356436</v>
      </c>
      <c r="CN23" s="71">
        <f t="shared" si="43"/>
        <v>4.9875311720698253E-3</v>
      </c>
      <c r="CO23" s="71">
        <f t="shared" si="44"/>
        <v>5.0125313283208017E-3</v>
      </c>
      <c r="CP23" s="72">
        <f t="shared" si="45"/>
        <v>1.9776119402985075</v>
      </c>
      <c r="CQ23" s="70">
        <f t="shared" si="46"/>
        <v>8.2644628099173556E-2</v>
      </c>
      <c r="CR23" s="71">
        <f t="shared" si="47"/>
        <v>5.9829059829059832E-2</v>
      </c>
      <c r="CS23" s="71">
        <f t="shared" si="47"/>
        <v>6.363636363636363E-2</v>
      </c>
      <c r="CT23" s="71"/>
      <c r="CU23" s="71"/>
      <c r="CV23" s="71"/>
      <c r="CW23" s="71"/>
      <c r="CX23" s="71"/>
      <c r="CY23" s="71"/>
      <c r="CZ23" s="71"/>
      <c r="DA23" s="71"/>
      <c r="DB23" s="72"/>
    </row>
    <row r="24" spans="1:106" x14ac:dyDescent="0.3">
      <c r="A24" s="21" t="s">
        <v>4</v>
      </c>
      <c r="B24" s="21">
        <v>316953</v>
      </c>
      <c r="C24" s="21" t="s">
        <v>912</v>
      </c>
      <c r="D24" s="61">
        <v>0.2</v>
      </c>
      <c r="E24" s="22">
        <f>IFERROR(VLOOKUP(B24,재고DB!H:AS,38,FALSE),0)</f>
        <v>0</v>
      </c>
      <c r="F24" s="22">
        <f>SUMIF(재고DB!$H:$H,완제품!$B24,재고DB!$AB:$AB)</f>
        <v>0</v>
      </c>
      <c r="G24" s="22">
        <f t="shared" si="48"/>
        <v>0</v>
      </c>
      <c r="H24" s="6">
        <f>IFERROR(VLOOKUP(B24,출고량!$A:$D,4,FALSE),0)</f>
        <v>2.5806451612903225</v>
      </c>
      <c r="I24" s="63">
        <f t="shared" si="49"/>
        <v>0</v>
      </c>
      <c r="J24" s="48" t="str">
        <f t="shared" si="50"/>
        <v>재고없음</v>
      </c>
      <c r="K24" s="50" t="str">
        <f>IF(F24=0,"재고없음",IFERROR(VLOOKUP(B24,재고DB!H:BU,66,FALSE),0))</f>
        <v>재고없음</v>
      </c>
      <c r="L24" s="6">
        <v>35</v>
      </c>
      <c r="M24" s="48">
        <f t="shared" ca="1" si="51"/>
        <v>45838</v>
      </c>
      <c r="N24" s="76">
        <v>0.95</v>
      </c>
      <c r="O24" s="160" t="str">
        <f t="shared" ca="1" si="56"/>
        <v>없음</v>
      </c>
      <c r="P24" s="65">
        <v>0</v>
      </c>
      <c r="Q24" s="65">
        <f t="shared" si="52"/>
        <v>0</v>
      </c>
      <c r="R24" s="50">
        <f t="shared" ca="1" si="53"/>
        <v>45803</v>
      </c>
      <c r="S24" s="46">
        <f t="shared" si="32"/>
        <v>0</v>
      </c>
      <c r="T24" s="65" t="str">
        <f t="shared" si="33"/>
        <v>-</v>
      </c>
      <c r="U24" s="65">
        <f t="shared" si="54"/>
        <v>11</v>
      </c>
      <c r="V24" s="78" t="str">
        <f t="shared" si="55"/>
        <v>판매활성화</v>
      </c>
      <c r="W24" s="166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8"/>
      <c r="AI24" s="26">
        <v>0</v>
      </c>
      <c r="AJ24" s="27">
        <v>1061</v>
      </c>
      <c r="AK24" s="27">
        <v>0</v>
      </c>
      <c r="AL24" s="27">
        <v>2608</v>
      </c>
      <c r="AM24" s="27">
        <v>5</v>
      </c>
      <c r="AN24" s="27">
        <v>1</v>
      </c>
      <c r="AO24" s="27">
        <v>5</v>
      </c>
      <c r="AP24" s="27">
        <v>25</v>
      </c>
      <c r="AQ24" s="27">
        <v>0</v>
      </c>
      <c r="AR24" s="27">
        <v>3</v>
      </c>
      <c r="AS24" s="27">
        <v>0</v>
      </c>
      <c r="AT24" s="28">
        <v>6</v>
      </c>
      <c r="AU24" s="27">
        <v>5</v>
      </c>
      <c r="AV24" s="27">
        <v>0</v>
      </c>
      <c r="AW24" s="27">
        <v>4</v>
      </c>
      <c r="AX24" s="27">
        <v>10</v>
      </c>
      <c r="AY24" s="27"/>
      <c r="AZ24" s="27"/>
      <c r="BA24" s="27"/>
      <c r="BB24" s="27"/>
      <c r="BC24" s="27"/>
      <c r="BD24" s="27"/>
      <c r="BE24" s="27"/>
      <c r="BF24" s="27"/>
      <c r="BG24" s="26">
        <v>0</v>
      </c>
      <c r="BH24" s="27">
        <v>1061</v>
      </c>
      <c r="BI24" s="27">
        <v>0</v>
      </c>
      <c r="BJ24" s="27">
        <v>1200</v>
      </c>
      <c r="BK24" s="27">
        <v>1195</v>
      </c>
      <c r="BL24" s="27">
        <v>1194</v>
      </c>
      <c r="BM24" s="27">
        <v>1194</v>
      </c>
      <c r="BN24" s="27">
        <v>1164</v>
      </c>
      <c r="BO24" s="27">
        <v>1164</v>
      </c>
      <c r="BP24" s="27">
        <v>1161</v>
      </c>
      <c r="BQ24" s="27">
        <v>1161</v>
      </c>
      <c r="BR24" s="28">
        <v>1155</v>
      </c>
      <c r="BS24" s="27">
        <v>1150</v>
      </c>
      <c r="BT24" s="27">
        <v>1150</v>
      </c>
      <c r="BU24" s="27">
        <v>1146</v>
      </c>
      <c r="BV24" s="27"/>
      <c r="BW24" s="27"/>
      <c r="BX24" s="27"/>
      <c r="BY24" s="27"/>
      <c r="BZ24" s="27"/>
      <c r="CA24" s="27"/>
      <c r="CB24" s="27"/>
      <c r="CC24" s="27"/>
      <c r="CD24" s="27"/>
      <c r="CE24" s="70" t="str">
        <f t="shared" si="34"/>
        <v>출시전</v>
      </c>
      <c r="CF24" s="71">
        <f t="shared" si="35"/>
        <v>1</v>
      </c>
      <c r="CG24" s="71" t="str">
        <f t="shared" si="36"/>
        <v>출시전</v>
      </c>
      <c r="CH24" s="71">
        <f t="shared" si="37"/>
        <v>2.1733333333333333</v>
      </c>
      <c r="CI24" s="71">
        <f t="shared" si="38"/>
        <v>4.1841004184100415E-3</v>
      </c>
      <c r="CJ24" s="71">
        <f t="shared" si="39"/>
        <v>8.375209380234506E-4</v>
      </c>
      <c r="CK24" s="71">
        <f t="shared" si="40"/>
        <v>4.1876046901172526E-3</v>
      </c>
      <c r="CL24" s="71">
        <f t="shared" si="41"/>
        <v>2.147766323024055E-2</v>
      </c>
      <c r="CM24" s="71" t="str">
        <f t="shared" si="42"/>
        <v>미출고</v>
      </c>
      <c r="CN24" s="71">
        <f t="shared" si="43"/>
        <v>2.5839793281653748E-3</v>
      </c>
      <c r="CO24" s="71" t="str">
        <f t="shared" si="44"/>
        <v>미출고</v>
      </c>
      <c r="CP24" s="72">
        <f t="shared" si="45"/>
        <v>5.1948051948051948E-3</v>
      </c>
      <c r="CQ24" s="70">
        <f t="shared" si="46"/>
        <v>4.3478260869565218E-3</v>
      </c>
      <c r="CR24" s="71" t="str">
        <f t="shared" si="47"/>
        <v>미출고</v>
      </c>
      <c r="CS24" s="71">
        <f t="shared" si="47"/>
        <v>3.4904013961605585E-3</v>
      </c>
      <c r="CT24" s="71"/>
      <c r="CU24" s="71"/>
      <c r="CV24" s="71"/>
      <c r="CW24" s="71"/>
      <c r="CX24" s="71"/>
      <c r="CY24" s="71"/>
      <c r="CZ24" s="71"/>
      <c r="DA24" s="71"/>
      <c r="DB24" s="72"/>
    </row>
    <row r="25" spans="1:106" x14ac:dyDescent="0.3">
      <c r="A25" s="21" t="s">
        <v>4</v>
      </c>
      <c r="B25" s="21">
        <v>321093</v>
      </c>
      <c r="C25" s="21" t="s">
        <v>913</v>
      </c>
      <c r="D25" s="61">
        <v>0.17</v>
      </c>
      <c r="E25" s="22">
        <f>IFERROR(VLOOKUP(B25,재고DB!H:AS,38,FALSE),0)</f>
        <v>0</v>
      </c>
      <c r="F25" s="22">
        <f>SUMIF(재고DB!$H:$H,완제품!$B25,재고DB!$AB:$AB)</f>
        <v>0</v>
      </c>
      <c r="G25" s="22">
        <f t="shared" si="48"/>
        <v>0</v>
      </c>
      <c r="H25" s="6">
        <f>IFERROR(VLOOKUP(B25,출고량!$A:$D,4,FALSE),0)</f>
        <v>9.2903225806451601</v>
      </c>
      <c r="I25" s="63">
        <f>IFERROR(F25/H25,0)</f>
        <v>0</v>
      </c>
      <c r="J25" s="48" t="str">
        <f t="shared" si="50"/>
        <v>재고없음</v>
      </c>
      <c r="K25" s="50" t="str">
        <f>IF(F25=0,"재고없음",IFERROR(VLOOKUP(B25,재고DB!H:BU,66,FALSE),0))</f>
        <v>재고없음</v>
      </c>
      <c r="L25" s="6">
        <v>35</v>
      </c>
      <c r="M25" s="48">
        <f t="shared" ca="1" si="51"/>
        <v>45838</v>
      </c>
      <c r="N25" s="76">
        <v>1</v>
      </c>
      <c r="O25" s="160" t="str">
        <f t="shared" ca="1" si="56"/>
        <v>없음</v>
      </c>
      <c r="P25" s="65"/>
      <c r="Q25" s="65">
        <f t="shared" si="52"/>
        <v>0</v>
      </c>
      <c r="R25" s="50">
        <f t="shared" ca="1" si="53"/>
        <v>45803</v>
      </c>
      <c r="S25" s="46">
        <f t="shared" si="32"/>
        <v>0</v>
      </c>
      <c r="T25" s="65" t="str">
        <f t="shared" si="33"/>
        <v>-</v>
      </c>
      <c r="U25" s="65">
        <f t="shared" si="54"/>
        <v>1</v>
      </c>
      <c r="V25" s="78" t="str">
        <f t="shared" si="55"/>
        <v>판매활성화</v>
      </c>
      <c r="W25" s="166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8"/>
      <c r="AI25" s="26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843</v>
      </c>
      <c r="AO25" s="27">
        <v>958</v>
      </c>
      <c r="AP25" s="27">
        <v>8185</v>
      </c>
      <c r="AQ25" s="27">
        <v>2066</v>
      </c>
      <c r="AR25" s="27">
        <v>2984</v>
      </c>
      <c r="AS25" s="27">
        <v>2554</v>
      </c>
      <c r="AT25" s="28">
        <v>1464</v>
      </c>
      <c r="AU25" s="27">
        <v>1216</v>
      </c>
      <c r="AV25" s="27">
        <v>1571</v>
      </c>
      <c r="AW25" s="27">
        <v>816</v>
      </c>
      <c r="AX25" s="27">
        <v>36</v>
      </c>
      <c r="AY25" s="27"/>
      <c r="AZ25" s="27"/>
      <c r="BA25" s="27"/>
      <c r="BB25" s="27"/>
      <c r="BC25" s="27"/>
      <c r="BD25" s="27"/>
      <c r="BE25" s="27"/>
      <c r="BF25" s="27"/>
      <c r="BG25" s="26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4656</v>
      </c>
      <c r="BM25" s="27">
        <v>12376</v>
      </c>
      <c r="BN25" s="27">
        <v>4347</v>
      </c>
      <c r="BO25" s="27">
        <v>2234</v>
      </c>
      <c r="BP25" s="27">
        <v>7472</v>
      </c>
      <c r="BQ25" s="27">
        <v>5041</v>
      </c>
      <c r="BR25" s="28">
        <v>3355</v>
      </c>
      <c r="BS25" s="27">
        <v>1686</v>
      </c>
      <c r="BT25" s="27">
        <v>495</v>
      </c>
      <c r="BU25" s="27">
        <f>+BT25</f>
        <v>495</v>
      </c>
      <c r="BV25" s="27"/>
      <c r="BW25" s="27"/>
      <c r="BX25" s="27"/>
      <c r="BY25" s="27"/>
      <c r="BZ25" s="27"/>
      <c r="CA25" s="27"/>
      <c r="CB25" s="27"/>
      <c r="CC25" s="27"/>
      <c r="CD25" s="27"/>
      <c r="CE25" s="70" t="str">
        <f t="shared" si="34"/>
        <v>출시전</v>
      </c>
      <c r="CF25" s="71" t="str">
        <f t="shared" si="35"/>
        <v>출시전</v>
      </c>
      <c r="CG25" s="71" t="str">
        <f t="shared" si="36"/>
        <v>출시전</v>
      </c>
      <c r="CH25" s="71" t="str">
        <f t="shared" si="37"/>
        <v>출시전</v>
      </c>
      <c r="CI25" s="71" t="str">
        <f t="shared" si="38"/>
        <v>출시전</v>
      </c>
      <c r="CJ25" s="71">
        <f t="shared" si="39"/>
        <v>0.18105670103092783</v>
      </c>
      <c r="CK25" s="71">
        <f t="shared" si="40"/>
        <v>7.7407886231415646E-2</v>
      </c>
      <c r="CL25" s="71">
        <f t="shared" si="41"/>
        <v>1.8829077524729698</v>
      </c>
      <c r="CM25" s="71">
        <f t="shared" si="42"/>
        <v>0.9247985675917636</v>
      </c>
      <c r="CN25" s="71">
        <f t="shared" si="43"/>
        <v>0.39935760171306212</v>
      </c>
      <c r="CO25" s="71">
        <f t="shared" si="44"/>
        <v>0.50664550684388021</v>
      </c>
      <c r="CP25" s="72">
        <f t="shared" si="45"/>
        <v>0.43636363636363634</v>
      </c>
      <c r="CQ25" s="70">
        <f t="shared" si="46"/>
        <v>0.72123368920521946</v>
      </c>
      <c r="CR25" s="71">
        <f t="shared" si="47"/>
        <v>3.1737373737373735</v>
      </c>
      <c r="CS25" s="71">
        <f t="shared" si="47"/>
        <v>1.6484848484848484</v>
      </c>
      <c r="CT25" s="71"/>
      <c r="CU25" s="71"/>
      <c r="CV25" s="71"/>
      <c r="CW25" s="71"/>
      <c r="CX25" s="71"/>
      <c r="CY25" s="71"/>
      <c r="CZ25" s="71"/>
      <c r="DA25" s="71"/>
      <c r="DB25" s="72"/>
    </row>
    <row r="26" spans="1:106" x14ac:dyDescent="0.3">
      <c r="A26" s="21" t="s">
        <v>4</v>
      </c>
      <c r="B26" s="21">
        <v>331934</v>
      </c>
      <c r="C26" s="21" t="s">
        <v>20</v>
      </c>
      <c r="D26" s="61">
        <v>1</v>
      </c>
      <c r="E26" s="22">
        <f>IFERROR(VLOOKUP(B26,재고DB!H:AS,38,FALSE),0)</f>
        <v>2900</v>
      </c>
      <c r="F26" s="22">
        <f>SUMIF(재고DB!$H:$H,완제품!$B26,재고DB!$AB:$AB)</f>
        <v>9208</v>
      </c>
      <c r="G26" s="22">
        <f t="shared" si="48"/>
        <v>26703200</v>
      </c>
      <c r="H26" s="6">
        <f>IFERROR(VLOOKUP(B26,출고량!$A:$D,4,FALSE),0)</f>
        <v>4614.0967741935483</v>
      </c>
      <c r="I26" s="63">
        <f t="shared" si="49"/>
        <v>1.995623510000909</v>
      </c>
      <c r="J26" s="48">
        <f t="shared" ca="1" si="50"/>
        <v>45862.868705300025</v>
      </c>
      <c r="K26" s="50">
        <f>IF(F26=0,"재고없음",IFERROR(VLOOKUP(B26,재고DB!H:BU,66,FALSE),0))</f>
        <v>45875</v>
      </c>
      <c r="L26" s="6">
        <f>14+7</f>
        <v>21</v>
      </c>
      <c r="M26" s="48">
        <f t="shared" ca="1" si="51"/>
        <v>45824</v>
      </c>
      <c r="N26" s="76">
        <v>0.9</v>
      </c>
      <c r="O26" s="160" t="str">
        <f t="shared" ca="1" si="56"/>
        <v>X</v>
      </c>
      <c r="P26" s="65"/>
      <c r="Q26" s="65">
        <f t="shared" si="52"/>
        <v>0</v>
      </c>
      <c r="R26" s="50">
        <f t="shared" ca="1" si="53"/>
        <v>45862.868705300025</v>
      </c>
      <c r="S26" s="46" t="str">
        <f t="shared" ca="1" si="32"/>
        <v>O</v>
      </c>
      <c r="T26" s="65" t="str">
        <f t="shared" ca="1" si="33"/>
        <v>B</v>
      </c>
      <c r="U26" s="65">
        <f t="shared" si="54"/>
        <v>0</v>
      </c>
      <c r="V26" s="78" t="str">
        <f t="shared" ca="1" si="55"/>
        <v>판매활성화</v>
      </c>
      <c r="W26" s="166">
        <v>15000</v>
      </c>
      <c r="X26" s="167">
        <v>20000</v>
      </c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26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2161</v>
      </c>
      <c r="AO26" s="27">
        <v>2316</v>
      </c>
      <c r="AP26" s="27">
        <v>2529</v>
      </c>
      <c r="AQ26" s="27">
        <v>4810</v>
      </c>
      <c r="AR26" s="27">
        <v>3940</v>
      </c>
      <c r="AS26" s="27">
        <v>1620</v>
      </c>
      <c r="AT26" s="28">
        <v>5037</v>
      </c>
      <c r="AU26" s="27">
        <v>9046</v>
      </c>
      <c r="AV26" s="27">
        <v>4059</v>
      </c>
      <c r="AW26" s="27">
        <v>6010</v>
      </c>
      <c r="AX26" s="27">
        <v>3670</v>
      </c>
      <c r="AY26" s="27"/>
      <c r="AZ26" s="27"/>
      <c r="BA26" s="27"/>
      <c r="BB26" s="27"/>
      <c r="BC26" s="27"/>
      <c r="BD26" s="27"/>
      <c r="BE26" s="27"/>
      <c r="BF26" s="27"/>
      <c r="BG26" s="26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2289</v>
      </c>
      <c r="BM26" s="27">
        <v>4581</v>
      </c>
      <c r="BN26" s="27">
        <v>2128</v>
      </c>
      <c r="BO26" s="27">
        <v>2220</v>
      </c>
      <c r="BP26" s="27">
        <v>11451</v>
      </c>
      <c r="BQ26" s="27">
        <v>9963</v>
      </c>
      <c r="BR26" s="28">
        <v>4926</v>
      </c>
      <c r="BS26" s="27">
        <v>7843</v>
      </c>
      <c r="BT26" s="27">
        <v>20994</v>
      </c>
      <c r="BU26" s="27">
        <v>16539</v>
      </c>
      <c r="BV26" s="27"/>
      <c r="BW26" s="27"/>
      <c r="BX26" s="27"/>
      <c r="BY26" s="27"/>
      <c r="BZ26" s="27"/>
      <c r="CA26" s="27"/>
      <c r="CB26" s="27"/>
      <c r="CC26" s="27"/>
      <c r="CD26" s="27"/>
      <c r="CE26" s="70" t="str">
        <f t="shared" si="34"/>
        <v>출시전</v>
      </c>
      <c r="CF26" s="71" t="str">
        <f t="shared" si="35"/>
        <v>출시전</v>
      </c>
      <c r="CG26" s="71" t="str">
        <f t="shared" si="36"/>
        <v>출시전</v>
      </c>
      <c r="CH26" s="71" t="str">
        <f t="shared" si="37"/>
        <v>출시전</v>
      </c>
      <c r="CI26" s="71" t="str">
        <f t="shared" si="38"/>
        <v>출시전</v>
      </c>
      <c r="CJ26" s="71">
        <f t="shared" si="39"/>
        <v>0.94408038444735698</v>
      </c>
      <c r="CK26" s="71">
        <f t="shared" si="40"/>
        <v>0.50556647020301249</v>
      </c>
      <c r="CL26" s="71">
        <f t="shared" si="41"/>
        <v>1.1884398496240602</v>
      </c>
      <c r="CM26" s="71">
        <f t="shared" si="42"/>
        <v>2.1666666666666665</v>
      </c>
      <c r="CN26" s="71">
        <f t="shared" si="43"/>
        <v>0.34407475329665532</v>
      </c>
      <c r="CO26" s="71">
        <f t="shared" si="44"/>
        <v>0.16260162601626016</v>
      </c>
      <c r="CP26" s="72">
        <f t="shared" si="45"/>
        <v>1.0225334957369061</v>
      </c>
      <c r="CQ26" s="70">
        <f t="shared" si="46"/>
        <v>1.1533851842407241</v>
      </c>
      <c r="CR26" s="71">
        <f t="shared" si="47"/>
        <v>0.19334095455844527</v>
      </c>
      <c r="CS26" s="71">
        <f t="shared" si="47"/>
        <v>0.36338351774593386</v>
      </c>
      <c r="CT26" s="71"/>
      <c r="CU26" s="71"/>
      <c r="CV26" s="71"/>
      <c r="CW26" s="71"/>
      <c r="CX26" s="71"/>
      <c r="CY26" s="71"/>
      <c r="CZ26" s="71"/>
      <c r="DA26" s="71"/>
      <c r="DB26" s="72"/>
    </row>
    <row r="27" spans="1:106" x14ac:dyDescent="0.3">
      <c r="A27" s="21" t="s">
        <v>4</v>
      </c>
      <c r="B27" s="21">
        <v>340495</v>
      </c>
      <c r="C27" s="21" t="s">
        <v>970</v>
      </c>
      <c r="D27" s="61">
        <v>1</v>
      </c>
      <c r="E27" s="22">
        <f>IFERROR(VLOOKUP(B27,재고DB!H:AS,38,FALSE),0)</f>
        <v>2150</v>
      </c>
      <c r="F27" s="22">
        <f>SUMIF(재고DB!$H:$H,완제품!$B27,재고DB!$AB:$AB)</f>
        <v>3804</v>
      </c>
      <c r="G27" s="22">
        <f t="shared" ref="G27" si="57">+E27*F27</f>
        <v>8178600</v>
      </c>
      <c r="H27" s="6">
        <f>IFERROR(VLOOKUP(B27,출고량!$A:$D,4,FALSE),0)</f>
        <v>66</v>
      </c>
      <c r="I27" s="63">
        <f t="shared" ref="I27" si="58">IFERROR(F27/H27,0)</f>
        <v>57.636363636363633</v>
      </c>
      <c r="J27" s="48">
        <f t="shared" ref="J27" ca="1" si="59">IF(F27=0,"재고없음",IF(H27=0,"출고없음",$H$1+I27*30))</f>
        <v>47532.090909090912</v>
      </c>
      <c r="K27" s="50">
        <f>IF(F27=0,"재고없음",IFERROR(VLOOKUP(B27,재고DB!H:BU,66,FALSE),0))</f>
        <v>45952</v>
      </c>
      <c r="L27" s="6">
        <f>14+7</f>
        <v>21</v>
      </c>
      <c r="M27" s="48">
        <f t="shared" ref="M27" ca="1" si="60">+L27+$H$1</f>
        <v>45824</v>
      </c>
      <c r="N27" s="76">
        <v>0.9</v>
      </c>
      <c r="O27" s="160" t="str">
        <f t="shared" ref="O27" ca="1" si="61">IFERROR(IF(M27-J27&gt;0,"O","X"),"없음")</f>
        <v>X</v>
      </c>
      <c r="P27" s="65"/>
      <c r="Q27" s="65">
        <f t="shared" ref="Q27" si="62">+P27/D27*N27</f>
        <v>0</v>
      </c>
      <c r="R27" s="50">
        <f t="shared" ref="R27" ca="1" si="63">IFERROR((Q27+F27)/H27*30+$H$1,"없음")</f>
        <v>47532.090909090912</v>
      </c>
      <c r="S27" s="46" t="str">
        <f t="shared" ref="S27" ca="1" si="64">IFERROR(IF(J27="출고없음","X",IF(K27-J27&gt;0,"O","X")),0)</f>
        <v>X</v>
      </c>
      <c r="T27" s="65" t="str">
        <f t="shared" ref="T27" ca="1" si="65">IF(J27="출고없음",$V$2,IF(I27=0,"-",IF(I27&lt;=1,$S$2,IF(AND(I27&gt;1,I27&lt;=4),$T$2,$V$2))))</f>
        <v>C</v>
      </c>
      <c r="U27" s="65">
        <f t="shared" ref="U27" si="66">COUNTIF(CH27:CS27,"&lt;0.1")+COUNTIF(CH27:CS27,"=미출고")</f>
        <v>0</v>
      </c>
      <c r="V27" s="78" t="str">
        <f t="shared" ref="V27" ca="1" si="67">IF(AND(S27="X",T27="C",U27&gt;4),"단산검토",IF(AND(S27="X",T27="C"),"소진계획필요","판매활성화"))</f>
        <v>소진계획필요</v>
      </c>
      <c r="W27" s="166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8"/>
      <c r="AI27" s="26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8">
        <v>0</v>
      </c>
      <c r="AU27" s="27">
        <v>0</v>
      </c>
      <c r="AV27" s="27">
        <v>0</v>
      </c>
      <c r="AW27" s="27">
        <v>0</v>
      </c>
      <c r="AX27" s="27">
        <v>0</v>
      </c>
      <c r="AY27" s="27"/>
      <c r="AZ27" s="27"/>
      <c r="BA27" s="27"/>
      <c r="BB27" s="27"/>
      <c r="BC27" s="27"/>
      <c r="BD27" s="27"/>
      <c r="BE27" s="27"/>
      <c r="BF27" s="27"/>
      <c r="BG27" s="26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  <c r="BQ27" s="27">
        <v>0</v>
      </c>
      <c r="BR27" s="28">
        <v>0</v>
      </c>
      <c r="BS27" s="27">
        <v>0</v>
      </c>
      <c r="BT27" s="27">
        <v>0</v>
      </c>
      <c r="BU27" s="27">
        <v>0</v>
      </c>
      <c r="BV27" s="27"/>
      <c r="BW27" s="27"/>
      <c r="BX27" s="27"/>
      <c r="BY27" s="27"/>
      <c r="BZ27" s="27"/>
      <c r="CA27" s="27"/>
      <c r="CB27" s="27"/>
      <c r="CC27" s="27"/>
      <c r="CD27" s="27"/>
      <c r="CE27" s="70" t="str">
        <f t="shared" ref="CE27" si="68">IF(AND(AI27=0,BG27=0),"출시전",IF(AND(AI27=0,BG27&gt;0),"미출고",AI27/BG27))</f>
        <v>출시전</v>
      </c>
      <c r="CF27" s="71" t="str">
        <f t="shared" ref="CF27" si="69">IF(AND(AJ27=0,BH27=0),"출시전",IF(AND(AJ27=0,BH27&gt;0),"미출고",AJ27/BH27))</f>
        <v>출시전</v>
      </c>
      <c r="CG27" s="71" t="str">
        <f t="shared" ref="CG27" si="70">IF(AND(AK27=0,BI27=0),"출시전",IF(AND(AK27=0,BI27&gt;0),"미출고",AK27/BI27))</f>
        <v>출시전</v>
      </c>
      <c r="CH27" s="71" t="str">
        <f t="shared" ref="CH27" si="71">IF(AND(AL27=0,BJ27=0),"출시전",IF(AND(AL27=0,BJ27&gt;0),"미출고",AL27/BJ27))</f>
        <v>출시전</v>
      </c>
      <c r="CI27" s="71" t="str">
        <f t="shared" ref="CI27" si="72">IF(AND(AM27=0,BK27=0),"출시전",IF(AND(AM27=0,BK27&gt;0),"미출고",AM27/BK27))</f>
        <v>출시전</v>
      </c>
      <c r="CJ27" s="71" t="str">
        <f>IF(AND(AN27=0,BL27=0),"출시전",IF(AND(AN27=0,BL27&gt;0),"미출고",AN27/BL27))</f>
        <v>출시전</v>
      </c>
      <c r="CK27" s="71" t="str">
        <f t="shared" ref="CK27" si="73">IF(AND(AO27=0,BM27=0),"출시전",IF(AND(AO27=0,BM27&gt;0),"미출고",AO27/BM27))</f>
        <v>출시전</v>
      </c>
      <c r="CL27" s="71" t="str">
        <f t="shared" ref="CL27" si="74">IF(AND(AP27=0,BN27=0),"출시전",IF(AND(AP27=0,BN27&gt;0),"미출고",AP27/BN27))</f>
        <v>출시전</v>
      </c>
      <c r="CM27" s="71" t="str">
        <f t="shared" ref="CM27" si="75">IF(AND(AQ27=0,BO27=0),"출시전",IF(AND(AQ27=0,BO27&gt;0),"미출고",AQ27/BO27))</f>
        <v>출시전</v>
      </c>
      <c r="CN27" s="71" t="str">
        <f t="shared" ref="CN27" si="76">IF(AND(AR27=0,BP27=0),"출시전",IF(AND(AR27=0,BP27&gt;0),"미출고",AR27/BP27))</f>
        <v>출시전</v>
      </c>
      <c r="CO27" s="71" t="str">
        <f t="shared" ref="CO27" si="77">IF(AND(AS27=0,BQ27=0),"출시전",IF(AND(AS27=0,BQ27&gt;0),"미출고",AS27/BQ27))</f>
        <v>출시전</v>
      </c>
      <c r="CP27" s="72" t="str">
        <f t="shared" ref="CP27" si="78">IF(AND(AT27=0,BR27=0),"출시전",IF(AND(AT27=0,BR27&gt;0),"미출고",AT27/BR27))</f>
        <v>출시전</v>
      </c>
      <c r="CQ27" s="70" t="str">
        <f t="shared" ref="CQ27" si="79">IF(AND(AU27=0,BS27=0),"출시전",IF(AND(AU27=0,BS27&gt;0),"미출고",AU27/BS27))</f>
        <v>출시전</v>
      </c>
      <c r="CR27" s="71" t="str">
        <f t="shared" ref="CR27" si="80">IF(AND(AV27=0,BT27=0),"출시전",IF(AND(AV27=0,BT27&gt;0),"미출고",AV27/BT27))</f>
        <v>출시전</v>
      </c>
      <c r="CS27" s="71" t="str">
        <f t="shared" ref="CS27" si="81">IF(AND(AW27=0,BU27=0),"출시전",IF(AND(AW27=0,BU27&gt;0),"미출고",AW27/BU27))</f>
        <v>출시전</v>
      </c>
      <c r="CT27" s="71"/>
      <c r="CU27" s="71"/>
      <c r="CV27" s="71"/>
      <c r="CW27" s="71"/>
      <c r="CX27" s="71"/>
      <c r="CY27" s="71"/>
      <c r="CZ27" s="71"/>
      <c r="DA27" s="71"/>
      <c r="DB27" s="72"/>
    </row>
    <row r="28" spans="1:106" x14ac:dyDescent="0.3">
      <c r="A28" s="21" t="s">
        <v>4</v>
      </c>
      <c r="B28" s="21">
        <v>326263</v>
      </c>
      <c r="C28" s="21" t="s">
        <v>1095</v>
      </c>
      <c r="D28" s="61">
        <v>1</v>
      </c>
      <c r="E28" s="22">
        <f>IFERROR(VLOOKUP(B28,재고DB!H:AS,38,FALSE),0)</f>
        <v>1718</v>
      </c>
      <c r="F28" s="22">
        <f>SUMIF(재고DB!$H:$H,완제품!$B28,재고DB!$AB:$AB)</f>
        <v>6612</v>
      </c>
      <c r="G28" s="22">
        <f t="shared" si="48"/>
        <v>11359416</v>
      </c>
      <c r="H28" s="6">
        <f>IFERROR(VLOOKUP(B28,출고량!$A:$D,4,FALSE),0)</f>
        <v>10091.967741935485</v>
      </c>
      <c r="I28" s="63">
        <f t="shared" si="49"/>
        <v>0.65517450799262267</v>
      </c>
      <c r="J28" s="48">
        <f t="shared" ca="1" si="50"/>
        <v>45822.655235239778</v>
      </c>
      <c r="K28" s="50">
        <f>IF(F28=0,"재고없음",IFERROR(VLOOKUP(B28,재고DB!H:BU,66,FALSE),0))</f>
        <v>46011</v>
      </c>
      <c r="L28" s="6">
        <f>7*5</f>
        <v>35</v>
      </c>
      <c r="M28" s="48">
        <f t="shared" ca="1" si="51"/>
        <v>45838</v>
      </c>
      <c r="N28" s="76">
        <v>0.9</v>
      </c>
      <c r="O28" s="160" t="str">
        <f t="shared" ca="1" si="56"/>
        <v>O</v>
      </c>
      <c r="P28" s="65">
        <v>15000</v>
      </c>
      <c r="Q28" s="65">
        <f t="shared" si="52"/>
        <v>13500</v>
      </c>
      <c r="R28" s="50">
        <f ca="1">IFERROR((Q28+F28)/H28*30+$H$1,"없음")</f>
        <v>45862.786160184878</v>
      </c>
      <c r="S28" s="46" t="str">
        <f t="shared" ca="1" si="32"/>
        <v>O</v>
      </c>
      <c r="T28" s="65" t="str">
        <f t="shared" ca="1" si="33"/>
        <v>A</v>
      </c>
      <c r="U28" s="65">
        <f t="shared" si="54"/>
        <v>0</v>
      </c>
      <c r="V28" s="78" t="str">
        <f t="shared" ca="1" si="55"/>
        <v>판매활성화</v>
      </c>
      <c r="W28" s="166">
        <v>15000</v>
      </c>
      <c r="X28" s="167">
        <v>20000</v>
      </c>
      <c r="Y28" s="167">
        <v>20000</v>
      </c>
      <c r="Z28" s="167"/>
      <c r="AA28" s="167"/>
      <c r="AB28" s="167"/>
      <c r="AC28" s="167"/>
      <c r="AD28" s="167"/>
      <c r="AE28" s="167"/>
      <c r="AF28" s="167"/>
      <c r="AG28" s="167"/>
      <c r="AH28" s="168"/>
      <c r="AI28" s="26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980</v>
      </c>
      <c r="AP28" s="27">
        <v>5543</v>
      </c>
      <c r="AQ28" s="27">
        <v>17453</v>
      </c>
      <c r="AR28" s="27">
        <v>23926</v>
      </c>
      <c r="AS28" s="27">
        <v>17313</v>
      </c>
      <c r="AT28" s="28">
        <v>10761</v>
      </c>
      <c r="AU28" s="27">
        <v>9618</v>
      </c>
      <c r="AV28" s="27">
        <v>7974</v>
      </c>
      <c r="AW28" s="27">
        <v>11538</v>
      </c>
      <c r="AX28" s="27">
        <v>10412</v>
      </c>
      <c r="AY28" s="27"/>
      <c r="AZ28" s="27"/>
      <c r="BA28" s="27"/>
      <c r="BB28" s="27"/>
      <c r="BC28" s="27"/>
      <c r="BD28" s="27"/>
      <c r="BE28" s="27"/>
      <c r="BF28" s="27"/>
      <c r="BG28" s="26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8643</v>
      </c>
      <c r="BN28" s="27">
        <v>14679</v>
      </c>
      <c r="BO28" s="27">
        <v>31543</v>
      </c>
      <c r="BP28" s="27">
        <v>23605</v>
      </c>
      <c r="BQ28" s="27">
        <v>23687</v>
      </c>
      <c r="BR28" s="28">
        <v>9782</v>
      </c>
      <c r="BS28" s="27">
        <v>11008</v>
      </c>
      <c r="BT28" s="27">
        <v>2442</v>
      </c>
      <c r="BU28" s="27">
        <v>6961</v>
      </c>
      <c r="BV28" s="27"/>
      <c r="BW28" s="27"/>
      <c r="BX28" s="27"/>
      <c r="BY28" s="27"/>
      <c r="BZ28" s="27"/>
      <c r="CA28" s="27"/>
      <c r="CB28" s="27"/>
      <c r="CC28" s="27"/>
      <c r="CD28" s="27"/>
      <c r="CE28" s="70" t="str">
        <f t="shared" si="34"/>
        <v>출시전</v>
      </c>
      <c r="CF28" s="71" t="str">
        <f t="shared" si="35"/>
        <v>출시전</v>
      </c>
      <c r="CG28" s="71" t="str">
        <f t="shared" si="36"/>
        <v>출시전</v>
      </c>
      <c r="CH28" s="71" t="str">
        <f t="shared" si="37"/>
        <v>출시전</v>
      </c>
      <c r="CI28" s="71" t="str">
        <f t="shared" si="38"/>
        <v>출시전</v>
      </c>
      <c r="CJ28" s="71" t="str">
        <f t="shared" si="39"/>
        <v>출시전</v>
      </c>
      <c r="CK28" s="71">
        <f t="shared" si="40"/>
        <v>0.11338655559412242</v>
      </c>
      <c r="CL28" s="71">
        <f t="shared" si="41"/>
        <v>0.37761427890183252</v>
      </c>
      <c r="CM28" s="71">
        <f t="shared" si="42"/>
        <v>0.55330818248105762</v>
      </c>
      <c r="CN28" s="71">
        <f t="shared" si="43"/>
        <v>1.0135988138106333</v>
      </c>
      <c r="CO28" s="71">
        <f t="shared" si="44"/>
        <v>0.73090724870181956</v>
      </c>
      <c r="CP28" s="72">
        <f t="shared" si="45"/>
        <v>1.1000817828664895</v>
      </c>
      <c r="CQ28" s="70">
        <f t="shared" si="46"/>
        <v>0.87372819767441856</v>
      </c>
      <c r="CR28" s="71">
        <f t="shared" si="47"/>
        <v>3.2653562653562656</v>
      </c>
      <c r="CS28" s="71">
        <f t="shared" si="47"/>
        <v>1.6575204711966671</v>
      </c>
      <c r="CT28" s="71"/>
      <c r="CU28" s="71"/>
      <c r="CV28" s="71"/>
      <c r="CW28" s="71"/>
      <c r="CX28" s="71"/>
      <c r="CY28" s="71"/>
      <c r="CZ28" s="71"/>
      <c r="DA28" s="71"/>
      <c r="DB28" s="72"/>
    </row>
    <row r="29" spans="1:106" x14ac:dyDescent="0.3">
      <c r="A29" s="21" t="s">
        <v>4</v>
      </c>
      <c r="B29" s="21">
        <v>336755</v>
      </c>
      <c r="C29" s="21" t="s">
        <v>910</v>
      </c>
      <c r="D29" s="61">
        <v>10</v>
      </c>
      <c r="E29" s="22">
        <v>17080</v>
      </c>
      <c r="F29" s="22">
        <v>1225</v>
      </c>
      <c r="G29" s="22">
        <f t="shared" si="48"/>
        <v>20923000</v>
      </c>
      <c r="H29" s="6">
        <f>IFERROR(VLOOKUP(B29,출고량!$A:$D,4,FALSE),0)</f>
        <v>315.87096774193549</v>
      </c>
      <c r="I29" s="63">
        <f t="shared" si="49"/>
        <v>3.8781658496732025</v>
      </c>
      <c r="J29" s="48">
        <f t="shared" ca="1" si="50"/>
        <v>45919.344975490196</v>
      </c>
      <c r="K29" s="50">
        <v>46061</v>
      </c>
      <c r="L29" s="6">
        <f>7*5</f>
        <v>35</v>
      </c>
      <c r="M29" s="48">
        <f t="shared" ca="1" si="51"/>
        <v>45838</v>
      </c>
      <c r="N29" s="76">
        <v>0.9</v>
      </c>
      <c r="O29" s="160" t="str">
        <f t="shared" ca="1" si="56"/>
        <v>X</v>
      </c>
      <c r="P29" s="65">
        <v>17000</v>
      </c>
      <c r="Q29" s="65">
        <f t="shared" si="52"/>
        <v>1530</v>
      </c>
      <c r="R29" s="50">
        <f t="shared" ca="1" si="53"/>
        <v>46064.657475490196</v>
      </c>
      <c r="S29" s="46" t="str">
        <f t="shared" ca="1" si="32"/>
        <v>O</v>
      </c>
      <c r="T29" s="65" t="str">
        <f t="shared" ca="1" si="33"/>
        <v>B</v>
      </c>
      <c r="U29" s="65">
        <f t="shared" si="54"/>
        <v>0</v>
      </c>
      <c r="V29" s="78" t="str">
        <f t="shared" ca="1" si="55"/>
        <v>판매활성화</v>
      </c>
      <c r="W29" s="166">
        <v>15000</v>
      </c>
      <c r="X29" s="167">
        <v>20000</v>
      </c>
      <c r="Y29" s="167"/>
      <c r="Z29" s="167">
        <v>20000</v>
      </c>
      <c r="AA29" s="167"/>
      <c r="AB29" s="167"/>
      <c r="AC29" s="167"/>
      <c r="AD29" s="167"/>
      <c r="AE29" s="167"/>
      <c r="AF29" s="167"/>
      <c r="AG29" s="167"/>
      <c r="AH29" s="168"/>
      <c r="AI29" s="26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8">
        <v>1360</v>
      </c>
      <c r="AU29" s="27">
        <v>1224</v>
      </c>
      <c r="AV29" s="27">
        <v>1224</v>
      </c>
      <c r="AW29" s="27">
        <v>1224</v>
      </c>
      <c r="AX29" s="27">
        <v>1224</v>
      </c>
      <c r="AY29" s="27"/>
      <c r="AZ29" s="27"/>
      <c r="BA29" s="27"/>
      <c r="BB29" s="27"/>
      <c r="BC29" s="27"/>
      <c r="BD29" s="27"/>
      <c r="BE29" s="27"/>
      <c r="BF29" s="27"/>
      <c r="BG29" s="26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  <c r="BQ29" s="27">
        <v>0</v>
      </c>
      <c r="BR29" s="28">
        <v>936</v>
      </c>
      <c r="BS29" s="27">
        <v>2898</v>
      </c>
      <c r="BT29" s="27">
        <v>1745</v>
      </c>
      <c r="BU29" s="27">
        <v>2664</v>
      </c>
      <c r="BV29" s="27"/>
      <c r="BW29" s="27"/>
      <c r="BX29" s="27"/>
      <c r="BY29" s="27"/>
      <c r="BZ29" s="27"/>
      <c r="CA29" s="27"/>
      <c r="CB29" s="27"/>
      <c r="CC29" s="27"/>
      <c r="CD29" s="27"/>
      <c r="CE29" s="70" t="str">
        <f t="shared" si="34"/>
        <v>출시전</v>
      </c>
      <c r="CF29" s="71" t="str">
        <f t="shared" si="35"/>
        <v>출시전</v>
      </c>
      <c r="CG29" s="71" t="str">
        <f t="shared" si="36"/>
        <v>출시전</v>
      </c>
      <c r="CH29" s="71" t="str">
        <f t="shared" si="37"/>
        <v>출시전</v>
      </c>
      <c r="CI29" s="71" t="str">
        <f t="shared" si="38"/>
        <v>출시전</v>
      </c>
      <c r="CJ29" s="71" t="str">
        <f t="shared" si="39"/>
        <v>출시전</v>
      </c>
      <c r="CK29" s="71" t="str">
        <f t="shared" si="40"/>
        <v>출시전</v>
      </c>
      <c r="CL29" s="71" t="str">
        <f t="shared" si="41"/>
        <v>출시전</v>
      </c>
      <c r="CM29" s="71" t="str">
        <f t="shared" si="42"/>
        <v>출시전</v>
      </c>
      <c r="CN29" s="71" t="str">
        <f t="shared" si="43"/>
        <v>출시전</v>
      </c>
      <c r="CO29" s="71" t="str">
        <f t="shared" si="44"/>
        <v>출시전</v>
      </c>
      <c r="CP29" s="72">
        <f t="shared" si="45"/>
        <v>1.4529914529914529</v>
      </c>
      <c r="CQ29" s="70">
        <f t="shared" si="46"/>
        <v>0.42236024844720499</v>
      </c>
      <c r="CR29" s="71">
        <f t="shared" si="47"/>
        <v>0.70143266475644694</v>
      </c>
      <c r="CS29" s="71">
        <f t="shared" si="47"/>
        <v>0.45945945945945948</v>
      </c>
      <c r="CT29" s="71"/>
      <c r="CU29" s="71"/>
      <c r="CV29" s="71"/>
      <c r="CW29" s="71"/>
      <c r="CX29" s="71"/>
      <c r="CY29" s="71"/>
      <c r="CZ29" s="71"/>
      <c r="DA29" s="71"/>
      <c r="DB29" s="72"/>
    </row>
    <row r="30" spans="1:106" x14ac:dyDescent="0.3">
      <c r="A30" s="21" t="s">
        <v>4</v>
      </c>
      <c r="B30" s="21">
        <v>332805</v>
      </c>
      <c r="C30" s="21" t="s">
        <v>963</v>
      </c>
      <c r="D30" s="61">
        <v>0.2</v>
      </c>
      <c r="E30" s="22">
        <f>IFERROR(VLOOKUP(B30,재고DB!H:AS,38,FALSE),0)/24</f>
        <v>342</v>
      </c>
      <c r="F30" s="22">
        <f>SUMIF(재고DB!$H:$H,완제품!$B30,재고DB!$AB:$AB)*24</f>
        <v>64272</v>
      </c>
      <c r="G30" s="22">
        <f t="shared" si="48"/>
        <v>21981024</v>
      </c>
      <c r="H30" s="6">
        <f>IFERROR(VLOOKUP(B30,출고량!$A:$D,4,FALSE),0)</f>
        <v>14714.322580645161</v>
      </c>
      <c r="I30" s="63">
        <f t="shared" si="49"/>
        <v>4.3679890560875512</v>
      </c>
      <c r="J30" s="48">
        <f t="shared" ca="1" si="50"/>
        <v>45934.039671682629</v>
      </c>
      <c r="K30" s="50">
        <f>IF(F30=0,"재고없음",IFERROR(VLOOKUP(B30,재고DB!H:BU,66,FALSE),0))</f>
        <v>46049</v>
      </c>
      <c r="L30" s="6">
        <f>7*5</f>
        <v>35</v>
      </c>
      <c r="M30" s="48">
        <f t="shared" ca="1" si="51"/>
        <v>45838</v>
      </c>
      <c r="N30" s="76">
        <v>0.85</v>
      </c>
      <c r="O30" s="160" t="str">
        <f t="shared" ca="1" si="56"/>
        <v>X</v>
      </c>
      <c r="P30" s="65">
        <v>20000</v>
      </c>
      <c r="Q30" s="65">
        <f t="shared" si="52"/>
        <v>85000</v>
      </c>
      <c r="R30" s="50">
        <f t="shared" ca="1" si="53"/>
        <v>46107.340208355257</v>
      </c>
      <c r="S30" s="46" t="str">
        <f t="shared" ca="1" si="32"/>
        <v>O</v>
      </c>
      <c r="T30" s="65" t="str">
        <f t="shared" ca="1" si="33"/>
        <v>C</v>
      </c>
      <c r="U30" s="65">
        <f>COUNTIF(CH30:CS30,"&lt;0.1")+COUNTIF(CH30:CS30,"=미출고")</f>
        <v>0</v>
      </c>
      <c r="V30" s="78" t="str">
        <f t="shared" ca="1" si="55"/>
        <v>판매활성화</v>
      </c>
      <c r="W30" s="166"/>
      <c r="X30" s="167"/>
      <c r="Y30" s="167"/>
      <c r="Z30" s="167">
        <v>15000</v>
      </c>
      <c r="AA30" s="167"/>
      <c r="AB30" s="167"/>
      <c r="AC30" s="167"/>
      <c r="AD30" s="167"/>
      <c r="AE30" s="167"/>
      <c r="AF30" s="167"/>
      <c r="AG30" s="167"/>
      <c r="AH30" s="168"/>
      <c r="AI30" s="26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f>460*24</f>
        <v>11040</v>
      </c>
      <c r="AR30" s="27">
        <f>1551*24</f>
        <v>37224</v>
      </c>
      <c r="AS30" s="27">
        <f>1604*24</f>
        <v>38496</v>
      </c>
      <c r="AT30" s="28">
        <v>35688</v>
      </c>
      <c r="AU30" s="27">
        <v>22104</v>
      </c>
      <c r="AV30" s="27">
        <v>14952</v>
      </c>
      <c r="AW30" s="27">
        <v>15504</v>
      </c>
      <c r="AX30" s="27">
        <v>19632</v>
      </c>
      <c r="AY30" s="27"/>
      <c r="AZ30" s="27"/>
      <c r="BA30" s="27"/>
      <c r="BB30" s="27"/>
      <c r="BC30" s="27"/>
      <c r="BD30" s="27"/>
      <c r="BE30" s="27"/>
      <c r="BF30" s="27"/>
      <c r="BG30" s="26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f>1128*24</f>
        <v>27072</v>
      </c>
      <c r="BP30" s="27">
        <f>2789*24</f>
        <v>66936</v>
      </c>
      <c r="BQ30" s="27">
        <f>1063*24</f>
        <v>25512</v>
      </c>
      <c r="BR30" s="28">
        <v>77760</v>
      </c>
      <c r="BS30" s="27">
        <v>52536</v>
      </c>
      <c r="BT30" s="27">
        <v>41592</v>
      </c>
      <c r="BU30" s="27">
        <v>25272</v>
      </c>
      <c r="BV30" s="27"/>
      <c r="BW30" s="27"/>
      <c r="BX30" s="27"/>
      <c r="BY30" s="27"/>
      <c r="BZ30" s="27"/>
      <c r="CA30" s="27"/>
      <c r="CB30" s="27"/>
      <c r="CC30" s="27"/>
      <c r="CD30" s="27"/>
      <c r="CE30" s="70" t="str">
        <f t="shared" si="34"/>
        <v>출시전</v>
      </c>
      <c r="CF30" s="71" t="str">
        <f t="shared" si="35"/>
        <v>출시전</v>
      </c>
      <c r="CG30" s="71" t="str">
        <f t="shared" si="36"/>
        <v>출시전</v>
      </c>
      <c r="CH30" s="71" t="str">
        <f t="shared" si="37"/>
        <v>출시전</v>
      </c>
      <c r="CI30" s="71" t="str">
        <f t="shared" si="38"/>
        <v>출시전</v>
      </c>
      <c r="CJ30" s="71" t="str">
        <f t="shared" si="39"/>
        <v>출시전</v>
      </c>
      <c r="CK30" s="71" t="str">
        <f t="shared" si="40"/>
        <v>출시전</v>
      </c>
      <c r="CL30" s="71" t="str">
        <f t="shared" si="41"/>
        <v>출시전</v>
      </c>
      <c r="CM30" s="71">
        <f t="shared" si="42"/>
        <v>0.40780141843971629</v>
      </c>
      <c r="CN30" s="71">
        <f t="shared" si="43"/>
        <v>0.55611330225887412</v>
      </c>
      <c r="CO30" s="71">
        <f t="shared" si="44"/>
        <v>1.5089369708372531</v>
      </c>
      <c r="CP30" s="72">
        <f t="shared" si="45"/>
        <v>0.45895061728395059</v>
      </c>
      <c r="CQ30" s="70">
        <f t="shared" si="46"/>
        <v>0.42074006395614438</v>
      </c>
      <c r="CR30" s="71">
        <f t="shared" si="47"/>
        <v>0.35949221004039239</v>
      </c>
      <c r="CS30" s="71">
        <f t="shared" si="47"/>
        <v>0.61348528015194681</v>
      </c>
      <c r="CT30" s="71"/>
      <c r="CU30" s="71"/>
      <c r="CV30" s="71"/>
      <c r="CW30" s="71"/>
      <c r="CX30" s="71"/>
      <c r="CY30" s="71"/>
      <c r="CZ30" s="71"/>
      <c r="DA30" s="71"/>
      <c r="DB30" s="72"/>
    </row>
    <row r="31" spans="1:106" x14ac:dyDescent="0.3">
      <c r="A31" s="38" t="s">
        <v>4</v>
      </c>
      <c r="B31" s="38">
        <v>335472</v>
      </c>
      <c r="C31" s="38" t="s">
        <v>962</v>
      </c>
      <c r="D31" s="62">
        <v>0.2</v>
      </c>
      <c r="E31" s="39">
        <f>+E30</f>
        <v>342</v>
      </c>
      <c r="F31" s="39">
        <v>0</v>
      </c>
      <c r="G31" s="39">
        <v>0</v>
      </c>
      <c r="H31" s="40">
        <f>IFERROR(VLOOKUP(B31,출고량!$A:$D,4,FALSE),0)</f>
        <v>44.387096774193544</v>
      </c>
      <c r="I31" s="64">
        <f t="shared" si="49"/>
        <v>0</v>
      </c>
      <c r="J31" s="49" t="str">
        <f t="shared" si="50"/>
        <v>재고없음</v>
      </c>
      <c r="K31" s="51" t="str">
        <f>IF(F31=0,"재고없음",IFERROR(VLOOKUP(B31,재고DB!H:BU,66,FALSE),0))</f>
        <v>재고없음</v>
      </c>
      <c r="L31" s="40">
        <v>0</v>
      </c>
      <c r="M31" s="49">
        <f t="shared" ca="1" si="51"/>
        <v>45803</v>
      </c>
      <c r="N31" s="162"/>
      <c r="O31" s="161" t="str">
        <f t="shared" ca="1" si="56"/>
        <v>없음</v>
      </c>
      <c r="P31" s="66">
        <v>0</v>
      </c>
      <c r="Q31" s="66">
        <f t="shared" si="52"/>
        <v>0</v>
      </c>
      <c r="R31" s="51">
        <f t="shared" ca="1" si="53"/>
        <v>45803</v>
      </c>
      <c r="S31" s="47">
        <f t="shared" si="32"/>
        <v>0</v>
      </c>
      <c r="T31" s="66" t="str">
        <f t="shared" si="33"/>
        <v>-</v>
      </c>
      <c r="U31" s="66">
        <f t="shared" si="54"/>
        <v>4</v>
      </c>
      <c r="V31" s="79" t="str">
        <f t="shared" si="55"/>
        <v>판매활성화</v>
      </c>
      <c r="W31" s="169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1"/>
      <c r="AI31" s="41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5716</v>
      </c>
      <c r="AS31" s="42">
        <v>3447</v>
      </c>
      <c r="AT31" s="43">
        <v>858</v>
      </c>
      <c r="AU31" s="42">
        <v>305</v>
      </c>
      <c r="AV31" s="42">
        <v>197</v>
      </c>
      <c r="AW31" s="42">
        <v>221</v>
      </c>
      <c r="AX31" s="42">
        <v>172</v>
      </c>
      <c r="AY31" s="42"/>
      <c r="AZ31" s="42"/>
      <c r="BA31" s="42"/>
      <c r="BB31" s="42"/>
      <c r="BC31" s="42"/>
      <c r="BD31" s="42"/>
      <c r="BE31" s="42"/>
      <c r="BF31" s="42"/>
      <c r="BG31" s="41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f>+BO30</f>
        <v>27072</v>
      </c>
      <c r="BP31" s="42">
        <f>+BP30</f>
        <v>66936</v>
      </c>
      <c r="BQ31" s="42">
        <f>+BQ30</f>
        <v>25512</v>
      </c>
      <c r="BR31" s="43">
        <v>77760</v>
      </c>
      <c r="BS31" s="42">
        <f>+BS30</f>
        <v>52536</v>
      </c>
      <c r="BT31" s="42">
        <v>0</v>
      </c>
      <c r="BU31" s="42">
        <v>0</v>
      </c>
      <c r="BV31" s="42"/>
      <c r="BW31" s="42"/>
      <c r="BX31" s="42"/>
      <c r="BY31" s="42"/>
      <c r="BZ31" s="42"/>
      <c r="CA31" s="42"/>
      <c r="CB31" s="42"/>
      <c r="CC31" s="42"/>
      <c r="CD31" s="42"/>
      <c r="CE31" s="73" t="str">
        <f t="shared" si="34"/>
        <v>출시전</v>
      </c>
      <c r="CF31" s="74" t="str">
        <f t="shared" si="35"/>
        <v>출시전</v>
      </c>
      <c r="CG31" s="74" t="str">
        <f t="shared" si="36"/>
        <v>출시전</v>
      </c>
      <c r="CH31" s="74" t="str">
        <f t="shared" si="37"/>
        <v>출시전</v>
      </c>
      <c r="CI31" s="74" t="str">
        <f t="shared" si="38"/>
        <v>출시전</v>
      </c>
      <c r="CJ31" s="74" t="str">
        <f t="shared" si="39"/>
        <v>출시전</v>
      </c>
      <c r="CK31" s="74" t="str">
        <f t="shared" si="40"/>
        <v>출시전</v>
      </c>
      <c r="CL31" s="74" t="str">
        <f t="shared" si="41"/>
        <v>출시전</v>
      </c>
      <c r="CM31" s="74" t="str">
        <f t="shared" si="42"/>
        <v>미출고</v>
      </c>
      <c r="CN31" s="74">
        <f t="shared" si="43"/>
        <v>8.5395004183100282E-2</v>
      </c>
      <c r="CO31" s="74">
        <f t="shared" si="44"/>
        <v>0.1351128880526811</v>
      </c>
      <c r="CP31" s="75">
        <f t="shared" si="45"/>
        <v>1.103395061728395E-2</v>
      </c>
      <c r="CQ31" s="73">
        <f t="shared" si="46"/>
        <v>5.8055428658443731E-3</v>
      </c>
      <c r="CR31" s="74" t="e">
        <f t="shared" si="47"/>
        <v>#DIV/0!</v>
      </c>
      <c r="CS31" s="74" t="e">
        <f t="shared" si="47"/>
        <v>#DIV/0!</v>
      </c>
      <c r="CT31" s="74"/>
      <c r="CU31" s="74"/>
      <c r="CV31" s="74"/>
      <c r="CW31" s="74"/>
      <c r="CX31" s="74"/>
      <c r="CY31" s="74"/>
      <c r="CZ31" s="74"/>
      <c r="DA31" s="74"/>
      <c r="DB31" s="75"/>
    </row>
    <row r="32" spans="1:106" x14ac:dyDescent="0.3">
      <c r="A32" s="21" t="s">
        <v>857</v>
      </c>
      <c r="B32" s="21">
        <v>334969</v>
      </c>
      <c r="C32" s="21" t="s">
        <v>815</v>
      </c>
      <c r="D32" s="61">
        <v>4.3049999999999997</v>
      </c>
      <c r="E32" s="320">
        <v>58694</v>
      </c>
      <c r="F32" s="320">
        <v>0</v>
      </c>
      <c r="G32" s="22">
        <f t="shared" si="48"/>
        <v>0</v>
      </c>
      <c r="H32" s="6">
        <f>IFERROR(VLOOKUP(B32,출고량!$A:$D,4,FALSE),0)</f>
        <v>0</v>
      </c>
      <c r="I32" s="321">
        <f t="shared" ref="I32" si="82">IFERROR(F32/H32,0)</f>
        <v>0</v>
      </c>
      <c r="J32" s="322" t="str">
        <f t="shared" ref="J32" si="83">IF(F32=0,"재고없음",IF(H32=0,"출고없음",$H$1+I32*30))</f>
        <v>재고없음</v>
      </c>
      <c r="K32" s="290" t="str">
        <f>IF(F32=0,"재고없음",IFERROR(VLOOKUP(B32,재고DB!H:BU,66,FALSE),0))</f>
        <v>재고없음</v>
      </c>
      <c r="L32" s="6">
        <v>0</v>
      </c>
      <c r="M32" s="322">
        <f t="shared" ref="M32" ca="1" si="84">+L32+$H$1</f>
        <v>45803</v>
      </c>
      <c r="N32" s="323"/>
      <c r="O32" s="324" t="str">
        <f t="shared" ref="O32" ca="1" si="85">IFERROR(IF(M32-J32&gt;0,"O","X"),"없음")</f>
        <v>없음</v>
      </c>
      <c r="P32" s="325">
        <v>0</v>
      </c>
      <c r="Q32" s="325">
        <f t="shared" ref="Q32" si="86">+P32/D32*N32</f>
        <v>0</v>
      </c>
      <c r="R32" s="290" t="str">
        <f t="shared" ref="R32" ca="1" si="87">IFERROR((Q32+F32)/H32*30+$H$1,"없음")</f>
        <v>없음</v>
      </c>
      <c r="S32" s="326">
        <f t="shared" ref="S32" si="88">IFERROR(IF(J32="출고없음","X",IF(K32-J32&gt;0,"O","X")),0)</f>
        <v>0</v>
      </c>
      <c r="T32" s="325" t="str">
        <f t="shared" ref="T32" si="89">IF(J32="출고없음",$V$2,IF(I32=0,"-",IF(I32&lt;=1,$S$2,IF(AND(I32&gt;1,I32&lt;=4),$T$2,$V$2))))</f>
        <v>-</v>
      </c>
      <c r="U32" s="325">
        <f t="shared" si="54"/>
        <v>0</v>
      </c>
      <c r="V32" s="327" t="str">
        <f t="shared" ref="V32" si="90">IF(AND(S32="X",T32="C",U32&gt;4),"단산검토",IF(AND(S32="X",T32="C"),"소진계획필요","판매활성화"))</f>
        <v>판매활성화</v>
      </c>
      <c r="W32" s="166">
        <f>18*4.305</f>
        <v>77.489999999999995</v>
      </c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8"/>
      <c r="AI32" s="26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>
        <v>0</v>
      </c>
      <c r="AW32" s="27">
        <v>0</v>
      </c>
      <c r="AX32" s="27">
        <v>0</v>
      </c>
      <c r="AY32" s="27"/>
      <c r="AZ32" s="27"/>
      <c r="BA32" s="27"/>
      <c r="BB32" s="27"/>
      <c r="BC32" s="27"/>
      <c r="BD32" s="27"/>
      <c r="BE32" s="27"/>
      <c r="BF32" s="27"/>
      <c r="BG32" s="26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8"/>
      <c r="BS32" s="27"/>
      <c r="BT32" s="27">
        <v>0</v>
      </c>
      <c r="BU32" s="27">
        <v>0</v>
      </c>
      <c r="BV32" s="27"/>
      <c r="BW32" s="27"/>
      <c r="BX32" s="27"/>
      <c r="BY32" s="27"/>
      <c r="BZ32" s="27"/>
      <c r="CA32" s="27"/>
      <c r="CB32" s="27"/>
      <c r="CC32" s="27"/>
      <c r="CD32" s="27"/>
      <c r="CE32" s="70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2"/>
      <c r="CQ32" s="70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2"/>
    </row>
    <row r="33" spans="1:106" x14ac:dyDescent="0.3">
      <c r="A33" s="21" t="s">
        <v>4</v>
      </c>
      <c r="B33" s="21">
        <v>318446</v>
      </c>
      <c r="C33" s="21" t="s">
        <v>24</v>
      </c>
      <c r="D33" s="61">
        <v>0.5</v>
      </c>
      <c r="E33" s="22">
        <v>4800</v>
      </c>
      <c r="F33" s="22">
        <f>SUMIF(재고DB!$H:$H,완제품!$B33,재고DB!$AB:$AB)</f>
        <v>0</v>
      </c>
      <c r="G33" s="22">
        <f t="shared" si="48"/>
        <v>0</v>
      </c>
      <c r="H33" s="6">
        <f>IFERROR(VLOOKUP(B33,출고량!$A:$D,4,FALSE),0)</f>
        <v>0</v>
      </c>
      <c r="I33" s="63">
        <f t="shared" si="49"/>
        <v>0</v>
      </c>
      <c r="J33" s="48" t="str">
        <f t="shared" si="50"/>
        <v>재고없음</v>
      </c>
      <c r="K33" s="50" t="str">
        <f>IF(F33=0,"재고없음",IFERROR(VLOOKUP(B33,재고DB!H:BU,66,FALSE),0))</f>
        <v>재고없음</v>
      </c>
      <c r="L33" s="6">
        <v>28</v>
      </c>
      <c r="M33" s="48">
        <f t="shared" ca="1" si="51"/>
        <v>45831</v>
      </c>
      <c r="N33" s="76">
        <v>0.9</v>
      </c>
      <c r="O33" s="160" t="str">
        <f t="shared" ca="1" si="56"/>
        <v>없음</v>
      </c>
      <c r="P33" s="65">
        <v>0</v>
      </c>
      <c r="Q33" s="65">
        <f t="shared" si="52"/>
        <v>0</v>
      </c>
      <c r="R33" s="50" t="str">
        <f t="shared" ca="1" si="53"/>
        <v>없음</v>
      </c>
      <c r="S33" s="46">
        <f t="shared" si="32"/>
        <v>0</v>
      </c>
      <c r="T33" s="65" t="str">
        <f t="shared" si="33"/>
        <v>-</v>
      </c>
      <c r="U33" s="65">
        <f t="shared" si="54"/>
        <v>3</v>
      </c>
      <c r="V33" s="78" t="str">
        <f t="shared" si="55"/>
        <v>판매활성화</v>
      </c>
      <c r="W33" s="166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26">
        <v>0</v>
      </c>
      <c r="AJ33" s="27">
        <v>8000</v>
      </c>
      <c r="AK33" s="27">
        <v>0</v>
      </c>
      <c r="AL33" s="27">
        <v>2</v>
      </c>
      <c r="AM33" s="27">
        <v>0</v>
      </c>
      <c r="AN33" s="27">
        <v>0</v>
      </c>
      <c r="AO33" s="27">
        <v>0</v>
      </c>
      <c r="AP33" s="27">
        <v>0</v>
      </c>
      <c r="AQ33" s="27">
        <v>18</v>
      </c>
      <c r="AR33" s="27">
        <v>0</v>
      </c>
      <c r="AS33" s="27">
        <v>0</v>
      </c>
      <c r="AT33" s="28">
        <v>0</v>
      </c>
      <c r="AU33" s="27">
        <v>0</v>
      </c>
      <c r="AV33" s="27">
        <v>0</v>
      </c>
      <c r="AW33" s="27">
        <v>0</v>
      </c>
      <c r="AX33" s="27">
        <v>0</v>
      </c>
      <c r="AY33" s="27"/>
      <c r="AZ33" s="27"/>
      <c r="BA33" s="27"/>
      <c r="BB33" s="27"/>
      <c r="BC33" s="27"/>
      <c r="BD33" s="27"/>
      <c r="BE33" s="27"/>
      <c r="BF33" s="27"/>
      <c r="BG33" s="26">
        <v>0</v>
      </c>
      <c r="BH33" s="27">
        <v>8020</v>
      </c>
      <c r="BI33" s="27">
        <v>20</v>
      </c>
      <c r="BJ33" s="27">
        <v>18</v>
      </c>
      <c r="BK33" s="27">
        <v>0</v>
      </c>
      <c r="BL33" s="27">
        <v>18</v>
      </c>
      <c r="BM33" s="27">
        <v>18</v>
      </c>
      <c r="BN33" s="27">
        <v>18</v>
      </c>
      <c r="BO33" s="27">
        <v>18</v>
      </c>
      <c r="BP33" s="27">
        <v>0</v>
      </c>
      <c r="BQ33" s="27">
        <v>0</v>
      </c>
      <c r="BR33" s="28">
        <v>0</v>
      </c>
      <c r="BS33" s="27">
        <v>0</v>
      </c>
      <c r="BT33" s="27">
        <v>0</v>
      </c>
      <c r="BU33" s="27">
        <v>0</v>
      </c>
      <c r="BV33" s="27"/>
      <c r="BW33" s="27"/>
      <c r="BX33" s="27"/>
      <c r="BY33" s="27"/>
      <c r="BZ33" s="27"/>
      <c r="CA33" s="27"/>
      <c r="CB33" s="27"/>
      <c r="CC33" s="27"/>
      <c r="CD33" s="27"/>
      <c r="CE33" s="70" t="str">
        <f t="shared" ref="CE33:CS37" si="91">IF(AND(AI33=0,BG33=0),"출시전",IF(AND(AI33=0,BG33&gt;0),"미출고",AI33/BG33))</f>
        <v>출시전</v>
      </c>
      <c r="CF33" s="71">
        <f t="shared" si="91"/>
        <v>0.99750623441396513</v>
      </c>
      <c r="CG33" s="71" t="str">
        <f t="shared" si="91"/>
        <v>미출고</v>
      </c>
      <c r="CH33" s="71">
        <f t="shared" si="91"/>
        <v>0.1111111111111111</v>
      </c>
      <c r="CI33" s="71" t="str">
        <f t="shared" si="91"/>
        <v>출시전</v>
      </c>
      <c r="CJ33" s="71" t="str">
        <f t="shared" si="91"/>
        <v>미출고</v>
      </c>
      <c r="CK33" s="71" t="str">
        <f t="shared" si="91"/>
        <v>미출고</v>
      </c>
      <c r="CL33" s="71" t="str">
        <f t="shared" si="91"/>
        <v>미출고</v>
      </c>
      <c r="CM33" s="71">
        <f t="shared" si="91"/>
        <v>1</v>
      </c>
      <c r="CN33" s="71" t="str">
        <f t="shared" si="91"/>
        <v>출시전</v>
      </c>
      <c r="CO33" s="71" t="str">
        <f t="shared" si="91"/>
        <v>출시전</v>
      </c>
      <c r="CP33" s="72" t="str">
        <f t="shared" si="91"/>
        <v>출시전</v>
      </c>
      <c r="CQ33" s="70" t="str">
        <f t="shared" si="91"/>
        <v>출시전</v>
      </c>
      <c r="CR33" s="71" t="str">
        <f t="shared" si="91"/>
        <v>출시전</v>
      </c>
      <c r="CS33" s="71" t="str">
        <f t="shared" si="91"/>
        <v>출시전</v>
      </c>
      <c r="CT33" s="71"/>
      <c r="CU33" s="71"/>
      <c r="CV33" s="71"/>
      <c r="CW33" s="71"/>
      <c r="CX33" s="71"/>
      <c r="CY33" s="71"/>
      <c r="CZ33" s="71"/>
      <c r="DA33" s="71"/>
      <c r="DB33" s="72"/>
    </row>
    <row r="34" spans="1:106" x14ac:dyDescent="0.3">
      <c r="A34" s="21" t="s">
        <v>4</v>
      </c>
      <c r="B34" s="21">
        <v>326138</v>
      </c>
      <c r="C34" s="21" t="s">
        <v>25</v>
      </c>
      <c r="D34" s="61">
        <v>1</v>
      </c>
      <c r="E34" s="22">
        <f>IFERROR(VLOOKUP(B34,재고DB!H:AS,38,FALSE),0)</f>
        <v>0</v>
      </c>
      <c r="F34" s="22">
        <f>SUMIF(재고DB!$H:$H,완제품!$B34,재고DB!$AB:$AB)</f>
        <v>0</v>
      </c>
      <c r="G34" s="22">
        <f t="shared" si="48"/>
        <v>0</v>
      </c>
      <c r="H34" s="6">
        <f>IFERROR(VLOOKUP(B34,출고량!$A:$D,4,FALSE),0)</f>
        <v>72.258064516129025</v>
      </c>
      <c r="I34" s="63">
        <f t="shared" si="49"/>
        <v>0</v>
      </c>
      <c r="J34" s="48" t="str">
        <f t="shared" si="50"/>
        <v>재고없음</v>
      </c>
      <c r="K34" s="50" t="str">
        <f>IF(F34=0,"재고없음",IFERROR(VLOOKUP(B34,재고DB!H:BU,66,FALSE),0))</f>
        <v>재고없음</v>
      </c>
      <c r="L34" s="6">
        <v>28</v>
      </c>
      <c r="M34" s="48">
        <f t="shared" ca="1" si="51"/>
        <v>45831</v>
      </c>
      <c r="N34" s="76">
        <v>0.95</v>
      </c>
      <c r="O34" s="160" t="str">
        <f t="shared" ca="1" si="56"/>
        <v>없음</v>
      </c>
      <c r="P34" s="65">
        <v>0</v>
      </c>
      <c r="Q34" s="65">
        <f t="shared" si="52"/>
        <v>0</v>
      </c>
      <c r="R34" s="50">
        <f t="shared" ca="1" si="53"/>
        <v>45803</v>
      </c>
      <c r="S34" s="46">
        <f t="shared" si="32"/>
        <v>0</v>
      </c>
      <c r="T34" s="65" t="str">
        <f t="shared" si="33"/>
        <v>-</v>
      </c>
      <c r="U34" s="65">
        <f t="shared" si="54"/>
        <v>8</v>
      </c>
      <c r="V34" s="78" t="str">
        <f t="shared" si="55"/>
        <v>판매활성화</v>
      </c>
      <c r="W34" s="166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8"/>
      <c r="AI34" s="26">
        <v>0</v>
      </c>
      <c r="AJ34" s="27">
        <v>0</v>
      </c>
      <c r="AK34" s="27">
        <v>0</v>
      </c>
      <c r="AL34" s="27">
        <v>0</v>
      </c>
      <c r="AM34" s="27">
        <v>640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8">
        <v>0</v>
      </c>
      <c r="AU34" s="27">
        <v>0</v>
      </c>
      <c r="AV34" s="27">
        <v>150</v>
      </c>
      <c r="AW34" s="27">
        <v>273</v>
      </c>
      <c r="AX34" s="27">
        <v>280</v>
      </c>
      <c r="AY34" s="27"/>
      <c r="AZ34" s="27"/>
      <c r="BA34" s="27"/>
      <c r="BB34" s="27"/>
      <c r="BC34" s="27"/>
      <c r="BD34" s="27"/>
      <c r="BE34" s="27"/>
      <c r="BF34" s="27"/>
      <c r="BG34" s="26">
        <v>0</v>
      </c>
      <c r="BH34" s="27">
        <v>0</v>
      </c>
      <c r="BI34" s="27">
        <v>0</v>
      </c>
      <c r="BJ34" s="27">
        <v>0</v>
      </c>
      <c r="BK34" s="27">
        <v>1340</v>
      </c>
      <c r="BL34" s="27">
        <v>700</v>
      </c>
      <c r="BM34" s="27">
        <v>700</v>
      </c>
      <c r="BN34" s="27">
        <v>700</v>
      </c>
      <c r="BO34" s="27">
        <v>700</v>
      </c>
      <c r="BP34" s="27">
        <v>700</v>
      </c>
      <c r="BQ34" s="27">
        <v>700</v>
      </c>
      <c r="BR34" s="28">
        <v>700</v>
      </c>
      <c r="BS34" s="27">
        <v>700</v>
      </c>
      <c r="BT34" s="27">
        <v>550</v>
      </c>
      <c r="BU34" s="27">
        <v>277</v>
      </c>
      <c r="BV34" s="27"/>
      <c r="BW34" s="27"/>
      <c r="BX34" s="27"/>
      <c r="BY34" s="27"/>
      <c r="BZ34" s="27"/>
      <c r="CA34" s="27"/>
      <c r="CB34" s="27"/>
      <c r="CC34" s="27"/>
      <c r="CD34" s="27"/>
      <c r="CE34" s="70" t="str">
        <f t="shared" si="91"/>
        <v>출시전</v>
      </c>
      <c r="CF34" s="71" t="str">
        <f t="shared" si="91"/>
        <v>출시전</v>
      </c>
      <c r="CG34" s="71" t="str">
        <f t="shared" si="91"/>
        <v>출시전</v>
      </c>
      <c r="CH34" s="71" t="str">
        <f t="shared" si="91"/>
        <v>출시전</v>
      </c>
      <c r="CI34" s="71">
        <f t="shared" si="91"/>
        <v>0.47761194029850745</v>
      </c>
      <c r="CJ34" s="71" t="str">
        <f t="shared" si="91"/>
        <v>미출고</v>
      </c>
      <c r="CK34" s="71" t="str">
        <f t="shared" si="91"/>
        <v>미출고</v>
      </c>
      <c r="CL34" s="71" t="str">
        <f t="shared" si="91"/>
        <v>미출고</v>
      </c>
      <c r="CM34" s="71" t="str">
        <f t="shared" si="91"/>
        <v>미출고</v>
      </c>
      <c r="CN34" s="71" t="str">
        <f t="shared" si="91"/>
        <v>미출고</v>
      </c>
      <c r="CO34" s="71" t="str">
        <f t="shared" si="91"/>
        <v>미출고</v>
      </c>
      <c r="CP34" s="72" t="str">
        <f t="shared" si="91"/>
        <v>미출고</v>
      </c>
      <c r="CQ34" s="70" t="str">
        <f t="shared" si="91"/>
        <v>미출고</v>
      </c>
      <c r="CR34" s="71">
        <f t="shared" si="91"/>
        <v>0.27272727272727271</v>
      </c>
      <c r="CS34" s="71">
        <f t="shared" si="91"/>
        <v>0.98555956678700363</v>
      </c>
      <c r="CT34" s="71"/>
      <c r="CU34" s="71"/>
      <c r="CV34" s="71"/>
      <c r="CW34" s="71"/>
      <c r="CX34" s="71"/>
      <c r="CY34" s="71"/>
      <c r="CZ34" s="71"/>
      <c r="DA34" s="71"/>
      <c r="DB34" s="72"/>
    </row>
    <row r="35" spans="1:106" x14ac:dyDescent="0.3">
      <c r="A35" s="21" t="s">
        <v>4</v>
      </c>
      <c r="B35" s="21">
        <v>325643</v>
      </c>
      <c r="C35" s="21" t="s">
        <v>1013</v>
      </c>
      <c r="D35" s="61">
        <v>4</v>
      </c>
      <c r="E35" s="22">
        <f>IFERROR(VLOOKUP(B35,재고DB!H:AS,38,FALSE),0)</f>
        <v>0</v>
      </c>
      <c r="F35" s="22">
        <f>SUMIF(재고DB!$H:$H,완제품!$B35,재고DB!$AB:$AB)</f>
        <v>0</v>
      </c>
      <c r="G35" s="22">
        <f t="shared" si="48"/>
        <v>0</v>
      </c>
      <c r="H35" s="6">
        <f>IFERROR(VLOOKUP(B35,출고량!$A:$D,4,FALSE),0)</f>
        <v>23.225806451612904</v>
      </c>
      <c r="I35" s="63">
        <f t="shared" si="49"/>
        <v>0</v>
      </c>
      <c r="J35" s="48" t="str">
        <f t="shared" si="50"/>
        <v>재고없음</v>
      </c>
      <c r="K35" s="50" t="str">
        <f>IF(F35=0,"재고없음",IFERROR(VLOOKUP(B35,재고DB!H:BU,66,FALSE),0))</f>
        <v>재고없음</v>
      </c>
      <c r="L35" s="6">
        <v>28</v>
      </c>
      <c r="M35" s="48">
        <f t="shared" ca="1" si="51"/>
        <v>45831</v>
      </c>
      <c r="N35" s="76">
        <v>0.95</v>
      </c>
      <c r="O35" s="160" t="str">
        <f t="shared" ca="1" si="56"/>
        <v>없음</v>
      </c>
      <c r="P35" s="65">
        <v>0</v>
      </c>
      <c r="Q35" s="65">
        <f t="shared" si="52"/>
        <v>0</v>
      </c>
      <c r="R35" s="50">
        <f t="shared" ca="1" si="53"/>
        <v>45803</v>
      </c>
      <c r="S35" s="46">
        <f t="shared" si="32"/>
        <v>0</v>
      </c>
      <c r="T35" s="65" t="str">
        <f t="shared" si="33"/>
        <v>-</v>
      </c>
      <c r="U35" s="65">
        <f t="shared" si="54"/>
        <v>8</v>
      </c>
      <c r="V35" s="78" t="str">
        <f t="shared" si="55"/>
        <v>판매활성화</v>
      </c>
      <c r="W35" s="166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8"/>
      <c r="AI35" s="26">
        <v>0</v>
      </c>
      <c r="AJ35" s="27">
        <v>0</v>
      </c>
      <c r="AK35" s="27">
        <v>0</v>
      </c>
      <c r="AL35" s="27">
        <v>0</v>
      </c>
      <c r="AM35" s="27">
        <v>3124</v>
      </c>
      <c r="AN35" s="27">
        <v>0</v>
      </c>
      <c r="AO35" s="27">
        <v>3510</v>
      </c>
      <c r="AP35" s="27">
        <v>0</v>
      </c>
      <c r="AQ35" s="27">
        <v>0</v>
      </c>
      <c r="AR35" s="27">
        <v>2</v>
      </c>
      <c r="AS35" s="27">
        <v>3</v>
      </c>
      <c r="AT35" s="28">
        <v>0</v>
      </c>
      <c r="AU35" s="27">
        <v>0</v>
      </c>
      <c r="AV35" s="27">
        <v>0</v>
      </c>
      <c r="AW35" s="27">
        <v>242</v>
      </c>
      <c r="AX35" s="27">
        <v>90</v>
      </c>
      <c r="AY35" s="27"/>
      <c r="AZ35" s="27"/>
      <c r="BA35" s="27"/>
      <c r="BB35" s="27"/>
      <c r="BC35" s="27"/>
      <c r="BD35" s="27"/>
      <c r="BE35" s="27"/>
      <c r="BF35" s="27"/>
      <c r="BG35" s="26">
        <v>0</v>
      </c>
      <c r="BH35" s="27">
        <v>0</v>
      </c>
      <c r="BI35" s="27">
        <v>0</v>
      </c>
      <c r="BJ35" s="27">
        <v>0</v>
      </c>
      <c r="BK35" s="27">
        <v>3870</v>
      </c>
      <c r="BL35" s="27">
        <v>3870</v>
      </c>
      <c r="BM35" s="27">
        <v>360</v>
      </c>
      <c r="BN35" s="27">
        <v>360</v>
      </c>
      <c r="BO35" s="27">
        <v>360</v>
      </c>
      <c r="BP35" s="27">
        <v>358</v>
      </c>
      <c r="BQ35" s="27">
        <v>355</v>
      </c>
      <c r="BR35" s="28">
        <v>355</v>
      </c>
      <c r="BS35" s="27">
        <v>355</v>
      </c>
      <c r="BT35" s="27">
        <v>355</v>
      </c>
      <c r="BU35" s="27">
        <v>173</v>
      </c>
      <c r="BV35" s="27"/>
      <c r="BW35" s="27"/>
      <c r="BX35" s="27"/>
      <c r="BY35" s="27"/>
      <c r="BZ35" s="27"/>
      <c r="CA35" s="27"/>
      <c r="CB35" s="27"/>
      <c r="CC35" s="27"/>
      <c r="CD35" s="27"/>
      <c r="CE35" s="70" t="str">
        <f t="shared" si="91"/>
        <v>출시전</v>
      </c>
      <c r="CF35" s="71" t="str">
        <f t="shared" si="91"/>
        <v>출시전</v>
      </c>
      <c r="CG35" s="71" t="str">
        <f t="shared" si="91"/>
        <v>출시전</v>
      </c>
      <c r="CH35" s="71" t="str">
        <f t="shared" si="91"/>
        <v>출시전</v>
      </c>
      <c r="CI35" s="71">
        <f t="shared" si="91"/>
        <v>0.80723514211886305</v>
      </c>
      <c r="CJ35" s="71" t="str">
        <f t="shared" si="91"/>
        <v>미출고</v>
      </c>
      <c r="CK35" s="71">
        <f t="shared" si="91"/>
        <v>9.75</v>
      </c>
      <c r="CL35" s="71" t="str">
        <f t="shared" si="91"/>
        <v>미출고</v>
      </c>
      <c r="CM35" s="71" t="str">
        <f t="shared" si="91"/>
        <v>미출고</v>
      </c>
      <c r="CN35" s="71">
        <f t="shared" si="91"/>
        <v>5.5865921787709499E-3</v>
      </c>
      <c r="CO35" s="71">
        <f t="shared" si="91"/>
        <v>8.4507042253521118E-3</v>
      </c>
      <c r="CP35" s="72" t="str">
        <f t="shared" si="91"/>
        <v>미출고</v>
      </c>
      <c r="CQ35" s="70" t="str">
        <f t="shared" si="91"/>
        <v>미출고</v>
      </c>
      <c r="CR35" s="71" t="str">
        <f t="shared" si="91"/>
        <v>미출고</v>
      </c>
      <c r="CS35" s="71">
        <f t="shared" si="91"/>
        <v>1.3988439306358382</v>
      </c>
      <c r="CT35" s="71"/>
      <c r="CU35" s="71"/>
      <c r="CV35" s="71"/>
      <c r="CW35" s="71"/>
      <c r="CX35" s="71"/>
      <c r="CY35" s="71"/>
      <c r="CZ35" s="71"/>
      <c r="DA35" s="71"/>
      <c r="DB35" s="72"/>
    </row>
    <row r="36" spans="1:106" ht="15.75" customHeight="1" x14ac:dyDescent="0.3">
      <c r="A36" s="21" t="s">
        <v>4</v>
      </c>
      <c r="B36" s="21">
        <v>332006</v>
      </c>
      <c r="C36" s="21" t="s">
        <v>1014</v>
      </c>
      <c r="D36" s="61">
        <v>1.264</v>
      </c>
      <c r="E36" s="22">
        <f>IFERROR(VLOOKUP(B36,재고DB!H:AS,38,FALSE),0)</f>
        <v>0</v>
      </c>
      <c r="F36" s="22">
        <f>SUMIF(재고DB!$H:$H,완제품!$B36,재고DB!$AB:$AB)</f>
        <v>0</v>
      </c>
      <c r="G36" s="22">
        <f t="shared" si="48"/>
        <v>0</v>
      </c>
      <c r="H36" s="6">
        <f>IFERROR(VLOOKUP(B36,출고량!$A:$D,4,FALSE),0)</f>
        <v>23.225806451612904</v>
      </c>
      <c r="I36" s="63">
        <f t="shared" si="49"/>
        <v>0</v>
      </c>
      <c r="J36" s="48" t="str">
        <f t="shared" si="50"/>
        <v>재고없음</v>
      </c>
      <c r="K36" s="50" t="str">
        <f>IF(F36=0,"재고없음",IFERROR(VLOOKUP(B36,재고DB!H:BU,66,FALSE),0))</f>
        <v>재고없음</v>
      </c>
      <c r="L36" s="6">
        <v>28</v>
      </c>
      <c r="M36" s="48">
        <f t="shared" ca="1" si="51"/>
        <v>45831</v>
      </c>
      <c r="N36" s="76">
        <v>0.84</v>
      </c>
      <c r="O36" s="160" t="str">
        <f t="shared" ca="1" si="56"/>
        <v>없음</v>
      </c>
      <c r="P36" s="65">
        <v>0</v>
      </c>
      <c r="Q36" s="65">
        <f t="shared" si="52"/>
        <v>0</v>
      </c>
      <c r="R36" s="50">
        <f t="shared" ca="1" si="53"/>
        <v>45803</v>
      </c>
      <c r="S36" s="46">
        <f t="shared" si="32"/>
        <v>0</v>
      </c>
      <c r="T36" s="65" t="str">
        <f t="shared" si="33"/>
        <v>-</v>
      </c>
      <c r="U36" s="65">
        <f t="shared" si="54"/>
        <v>8</v>
      </c>
      <c r="V36" s="78" t="str">
        <f t="shared" si="55"/>
        <v>판매활성화</v>
      </c>
      <c r="W36" s="166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8"/>
      <c r="AI36" s="26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512</v>
      </c>
      <c r="AP36" s="27">
        <v>0</v>
      </c>
      <c r="AQ36" s="27">
        <v>0</v>
      </c>
      <c r="AR36" s="27">
        <v>0</v>
      </c>
      <c r="AS36" s="27">
        <v>0</v>
      </c>
      <c r="AT36" s="28">
        <v>0</v>
      </c>
      <c r="AU36" s="27">
        <v>0</v>
      </c>
      <c r="AV36" s="27">
        <v>8</v>
      </c>
      <c r="AW36" s="27">
        <v>144</v>
      </c>
      <c r="AX36" s="27">
        <v>90</v>
      </c>
      <c r="AY36" s="27"/>
      <c r="AZ36" s="27"/>
      <c r="BA36" s="27"/>
      <c r="BB36" s="27"/>
      <c r="BC36" s="27"/>
      <c r="BD36" s="27"/>
      <c r="BE36" s="27"/>
      <c r="BF36" s="27"/>
      <c r="BG36" s="26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f>552+512</f>
        <v>1064</v>
      </c>
      <c r="BM36" s="27">
        <v>552</v>
      </c>
      <c r="BN36" s="27">
        <v>552</v>
      </c>
      <c r="BO36" s="27">
        <v>552</v>
      </c>
      <c r="BP36" s="27">
        <v>552</v>
      </c>
      <c r="BQ36" s="27">
        <v>552</v>
      </c>
      <c r="BR36" s="28">
        <v>552</v>
      </c>
      <c r="BS36" s="27">
        <v>552</v>
      </c>
      <c r="BT36" s="27">
        <v>544</v>
      </c>
      <c r="BU36" s="27">
        <v>400</v>
      </c>
      <c r="BV36" s="27"/>
      <c r="BW36" s="27"/>
      <c r="BX36" s="27"/>
      <c r="BY36" s="27"/>
      <c r="BZ36" s="27"/>
      <c r="CA36" s="27"/>
      <c r="CB36" s="27"/>
      <c r="CC36" s="27"/>
      <c r="CD36" s="27"/>
      <c r="CE36" s="70" t="str">
        <f t="shared" si="91"/>
        <v>출시전</v>
      </c>
      <c r="CF36" s="71" t="str">
        <f t="shared" si="91"/>
        <v>출시전</v>
      </c>
      <c r="CG36" s="71" t="str">
        <f t="shared" si="91"/>
        <v>출시전</v>
      </c>
      <c r="CH36" s="71" t="str">
        <f t="shared" si="91"/>
        <v>출시전</v>
      </c>
      <c r="CI36" s="71" t="str">
        <f t="shared" si="91"/>
        <v>출시전</v>
      </c>
      <c r="CJ36" s="71" t="str">
        <f t="shared" si="91"/>
        <v>미출고</v>
      </c>
      <c r="CK36" s="71">
        <f t="shared" si="91"/>
        <v>0.92753623188405798</v>
      </c>
      <c r="CL36" s="71" t="str">
        <f t="shared" si="91"/>
        <v>미출고</v>
      </c>
      <c r="CM36" s="71" t="str">
        <f t="shared" si="91"/>
        <v>미출고</v>
      </c>
      <c r="CN36" s="71" t="str">
        <f t="shared" si="91"/>
        <v>미출고</v>
      </c>
      <c r="CO36" s="71" t="str">
        <f t="shared" si="91"/>
        <v>미출고</v>
      </c>
      <c r="CP36" s="72" t="str">
        <f t="shared" si="91"/>
        <v>미출고</v>
      </c>
      <c r="CQ36" s="70" t="str">
        <f t="shared" si="91"/>
        <v>미출고</v>
      </c>
      <c r="CR36" s="71">
        <f t="shared" si="91"/>
        <v>1.4705882352941176E-2</v>
      </c>
      <c r="CS36" s="71">
        <f t="shared" si="91"/>
        <v>0.36</v>
      </c>
      <c r="CT36" s="71"/>
      <c r="CU36" s="71"/>
      <c r="CV36" s="71"/>
      <c r="CW36" s="71"/>
      <c r="CX36" s="71"/>
      <c r="CY36" s="71"/>
      <c r="CZ36" s="71"/>
      <c r="DA36" s="71"/>
      <c r="DB36" s="72"/>
    </row>
    <row r="37" spans="1:106" x14ac:dyDescent="0.3">
      <c r="A37" s="21" t="s">
        <v>4</v>
      </c>
      <c r="B37" s="21">
        <v>326137</v>
      </c>
      <c r="C37" s="21" t="s">
        <v>28</v>
      </c>
      <c r="D37" s="61">
        <v>1.044</v>
      </c>
      <c r="E37" s="22">
        <f>IFERROR(VLOOKUP(B37,재고DB!H:AS,38,FALSE),0)</f>
        <v>0</v>
      </c>
      <c r="F37" s="22">
        <f>SUMIF(재고DB!$H:$H,완제품!$B37,재고DB!$AB:$AB)</f>
        <v>0</v>
      </c>
      <c r="G37" s="22">
        <f t="shared" si="48"/>
        <v>0</v>
      </c>
      <c r="H37" s="6">
        <f>IFERROR(VLOOKUP(B37,출고량!$A:$D,4,FALSE),0)</f>
        <v>70.967741935483872</v>
      </c>
      <c r="I37" s="63">
        <f t="shared" si="49"/>
        <v>0</v>
      </c>
      <c r="J37" s="48" t="str">
        <f t="shared" si="50"/>
        <v>재고없음</v>
      </c>
      <c r="K37" s="50" t="str">
        <f>IF(F37=0,"재고없음",IFERROR(VLOOKUP(B37,재고DB!H:BU,66,FALSE),0))</f>
        <v>재고없음</v>
      </c>
      <c r="L37" s="6">
        <v>28</v>
      </c>
      <c r="M37" s="48">
        <f t="shared" ca="1" si="51"/>
        <v>45831</v>
      </c>
      <c r="N37" s="76">
        <v>0.95</v>
      </c>
      <c r="O37" s="160" t="str">
        <f t="shared" ca="1" si="56"/>
        <v>없음</v>
      </c>
      <c r="P37" s="65">
        <v>0</v>
      </c>
      <c r="Q37" s="65">
        <f t="shared" si="52"/>
        <v>0</v>
      </c>
      <c r="R37" s="50">
        <f t="shared" ca="1" si="53"/>
        <v>45803</v>
      </c>
      <c r="S37" s="46">
        <f t="shared" si="32"/>
        <v>0</v>
      </c>
      <c r="T37" s="65" t="str">
        <f t="shared" si="33"/>
        <v>-</v>
      </c>
      <c r="U37" s="65">
        <f t="shared" si="54"/>
        <v>8</v>
      </c>
      <c r="V37" s="78" t="str">
        <f t="shared" si="55"/>
        <v>판매활성화</v>
      </c>
      <c r="W37" s="166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8"/>
      <c r="AI37" s="26">
        <v>0</v>
      </c>
      <c r="AJ37" s="27">
        <v>0</v>
      </c>
      <c r="AK37" s="27">
        <v>0</v>
      </c>
      <c r="AL37" s="27">
        <v>0</v>
      </c>
      <c r="AM37" s="27">
        <v>640</v>
      </c>
      <c r="AN37" s="27">
        <v>0</v>
      </c>
      <c r="AO37" s="27">
        <v>0</v>
      </c>
      <c r="AP37" s="27">
        <v>0</v>
      </c>
      <c r="AQ37" s="27">
        <v>5</v>
      </c>
      <c r="AR37" s="27">
        <v>0</v>
      </c>
      <c r="AS37" s="27">
        <v>0</v>
      </c>
      <c r="AT37" s="28">
        <v>0</v>
      </c>
      <c r="AU37" s="27">
        <v>0</v>
      </c>
      <c r="AV37" s="27">
        <v>160</v>
      </c>
      <c r="AW37" s="27">
        <v>210</v>
      </c>
      <c r="AX37" s="27">
        <v>275</v>
      </c>
      <c r="AY37" s="27"/>
      <c r="AZ37" s="27"/>
      <c r="BA37" s="27"/>
      <c r="BB37" s="27"/>
      <c r="BC37" s="27"/>
      <c r="BD37" s="27"/>
      <c r="BE37" s="27"/>
      <c r="BF37" s="27"/>
      <c r="BG37" s="26">
        <v>0</v>
      </c>
      <c r="BH37" s="27">
        <v>0</v>
      </c>
      <c r="BI37" s="27">
        <v>0</v>
      </c>
      <c r="BJ37" s="27">
        <v>0</v>
      </c>
      <c r="BK37" s="27">
        <v>650</v>
      </c>
      <c r="BL37" s="27">
        <v>650</v>
      </c>
      <c r="BM37" s="27">
        <v>650</v>
      </c>
      <c r="BN37" s="27">
        <v>650</v>
      </c>
      <c r="BO37" s="27">
        <v>645</v>
      </c>
      <c r="BP37" s="27">
        <v>645</v>
      </c>
      <c r="BQ37" s="27">
        <v>645</v>
      </c>
      <c r="BR37" s="28">
        <v>645</v>
      </c>
      <c r="BS37" s="27">
        <v>645</v>
      </c>
      <c r="BT37" s="27">
        <v>485</v>
      </c>
      <c r="BU37" s="27">
        <v>275</v>
      </c>
      <c r="BV37" s="27"/>
      <c r="BW37" s="27"/>
      <c r="BX37" s="27"/>
      <c r="BY37" s="27"/>
      <c r="BZ37" s="27"/>
      <c r="CA37" s="27"/>
      <c r="CB37" s="27"/>
      <c r="CC37" s="27"/>
      <c r="CD37" s="27"/>
      <c r="CE37" s="70" t="str">
        <f t="shared" si="91"/>
        <v>출시전</v>
      </c>
      <c r="CF37" s="71" t="str">
        <f t="shared" si="91"/>
        <v>출시전</v>
      </c>
      <c r="CG37" s="71" t="str">
        <f t="shared" si="91"/>
        <v>출시전</v>
      </c>
      <c r="CH37" s="71" t="str">
        <f t="shared" si="91"/>
        <v>출시전</v>
      </c>
      <c r="CI37" s="71">
        <f t="shared" si="91"/>
        <v>0.98461538461538467</v>
      </c>
      <c r="CJ37" s="71" t="str">
        <f t="shared" si="91"/>
        <v>미출고</v>
      </c>
      <c r="CK37" s="71" t="str">
        <f t="shared" si="91"/>
        <v>미출고</v>
      </c>
      <c r="CL37" s="71" t="str">
        <f t="shared" si="91"/>
        <v>미출고</v>
      </c>
      <c r="CM37" s="71">
        <f t="shared" si="91"/>
        <v>7.7519379844961239E-3</v>
      </c>
      <c r="CN37" s="71" t="str">
        <f t="shared" si="91"/>
        <v>미출고</v>
      </c>
      <c r="CO37" s="71" t="str">
        <f t="shared" si="91"/>
        <v>미출고</v>
      </c>
      <c r="CP37" s="72" t="str">
        <f t="shared" si="91"/>
        <v>미출고</v>
      </c>
      <c r="CQ37" s="70" t="str">
        <f t="shared" si="91"/>
        <v>미출고</v>
      </c>
      <c r="CR37" s="71">
        <f t="shared" si="91"/>
        <v>0.32989690721649484</v>
      </c>
      <c r="CS37" s="71">
        <f t="shared" si="91"/>
        <v>0.76363636363636367</v>
      </c>
      <c r="CT37" s="71"/>
      <c r="CU37" s="71"/>
      <c r="CV37" s="71"/>
      <c r="CW37" s="71"/>
      <c r="CX37" s="71"/>
      <c r="CY37" s="71"/>
      <c r="CZ37" s="71"/>
      <c r="DA37" s="71"/>
      <c r="DB37" s="72"/>
    </row>
    <row r="38" spans="1:106" x14ac:dyDescent="0.3">
      <c r="A38" s="21"/>
      <c r="B38" s="21"/>
      <c r="C38" s="21"/>
      <c r="D38" s="29"/>
      <c r="E38" s="22"/>
      <c r="F38" s="22"/>
      <c r="G38" s="22"/>
      <c r="H38" s="36"/>
      <c r="I38" s="23"/>
      <c r="J38" s="23"/>
      <c r="K38" s="24"/>
      <c r="L38" s="150"/>
      <c r="M38" s="150"/>
      <c r="N38" s="23"/>
      <c r="O38" s="150"/>
      <c r="P38" s="150"/>
      <c r="Q38" s="150"/>
      <c r="R38" s="144"/>
      <c r="S38" s="25"/>
      <c r="T38" s="23"/>
      <c r="U38" s="23"/>
      <c r="V38" s="23"/>
      <c r="W38" s="26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8"/>
      <c r="AI38" s="26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6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8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6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8"/>
      <c r="CQ38" s="26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8"/>
    </row>
    <row r="39" spans="1:106" x14ac:dyDescent="0.3">
      <c r="A39" s="21"/>
      <c r="B39" s="21"/>
      <c r="C39" s="21"/>
      <c r="D39" s="29"/>
      <c r="E39" s="22"/>
      <c r="F39" s="22"/>
      <c r="G39" s="274"/>
      <c r="H39" s="36"/>
      <c r="I39" s="173"/>
      <c r="J39" s="23"/>
      <c r="K39" s="24"/>
      <c r="L39" s="150"/>
      <c r="M39" s="150"/>
      <c r="N39" s="23"/>
      <c r="O39" s="150"/>
      <c r="P39" s="150"/>
      <c r="Q39" s="150"/>
      <c r="R39" s="144"/>
      <c r="S39" s="25"/>
      <c r="T39" s="23"/>
      <c r="U39" s="23"/>
      <c r="V39" s="23"/>
      <c r="W39" s="26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8"/>
      <c r="AI39" s="26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6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8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6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8"/>
      <c r="CQ39" s="26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8"/>
    </row>
    <row r="40" spans="1:106" x14ac:dyDescent="0.3">
      <c r="A40" s="21"/>
      <c r="B40" s="21"/>
      <c r="C40" s="22"/>
      <c r="D40" s="29"/>
      <c r="E40" s="22"/>
      <c r="F40" s="274"/>
      <c r="G40" s="22"/>
      <c r="H40" s="319"/>
      <c r="I40" s="23"/>
      <c r="J40" s="338"/>
      <c r="K40" s="24"/>
      <c r="L40" s="150"/>
      <c r="M40" s="150"/>
      <c r="N40" s="23"/>
      <c r="O40" s="150"/>
      <c r="P40" s="150"/>
      <c r="Q40" s="150"/>
      <c r="R40" s="144"/>
      <c r="S40" s="25"/>
      <c r="T40" s="23"/>
      <c r="U40" s="23"/>
      <c r="V40" s="23"/>
      <c r="W40" s="26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8"/>
      <c r="AI40" s="26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8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6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8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6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8"/>
      <c r="CQ40" s="26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8"/>
    </row>
    <row r="41" spans="1:106" x14ac:dyDescent="0.3">
      <c r="A41" s="21"/>
      <c r="B41" s="21"/>
      <c r="C41" s="21"/>
      <c r="D41" s="29"/>
      <c r="E41" s="274"/>
      <c r="F41" s="22"/>
      <c r="G41" s="22"/>
      <c r="H41" s="273"/>
      <c r="I41" s="23"/>
      <c r="J41" s="23"/>
      <c r="K41" s="24"/>
      <c r="L41" s="150"/>
      <c r="M41" s="150"/>
      <c r="N41" s="23"/>
      <c r="O41" s="150"/>
      <c r="P41" s="150"/>
      <c r="Q41" s="150"/>
      <c r="R41" s="144"/>
      <c r="S41" s="25"/>
      <c r="T41" s="23"/>
      <c r="U41" s="23"/>
      <c r="V41" s="23"/>
      <c r="W41" s="26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6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8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6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8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6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8"/>
      <c r="CQ41" s="26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8"/>
    </row>
    <row r="42" spans="1:106" x14ac:dyDescent="0.3">
      <c r="A42" s="21"/>
      <c r="B42" s="21"/>
      <c r="C42" s="21"/>
      <c r="D42" s="29"/>
      <c r="E42" s="22"/>
      <c r="F42" s="274"/>
      <c r="G42" s="362"/>
      <c r="H42" s="36"/>
      <c r="I42" s="23"/>
      <c r="J42" s="23"/>
      <c r="K42" s="24"/>
      <c r="L42" s="150"/>
      <c r="M42" s="150"/>
      <c r="N42" s="23"/>
      <c r="O42" s="150"/>
      <c r="P42" s="150"/>
      <c r="Q42" s="150"/>
      <c r="R42" s="144"/>
      <c r="S42" s="25"/>
      <c r="T42" s="23"/>
      <c r="U42" s="23"/>
      <c r="V42" s="23"/>
      <c r="W42" s="26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8"/>
      <c r="AI42" s="26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8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6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8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6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8"/>
      <c r="CQ42" s="26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8"/>
    </row>
    <row r="43" spans="1:106" x14ac:dyDescent="0.3">
      <c r="A43" s="21"/>
      <c r="B43" s="21"/>
      <c r="C43" s="21"/>
      <c r="D43" s="29"/>
      <c r="E43" s="22"/>
      <c r="F43" s="274"/>
      <c r="G43" s="362"/>
      <c r="H43" s="36"/>
      <c r="I43" s="23"/>
      <c r="J43" s="23"/>
      <c r="K43" s="24"/>
      <c r="L43" s="150"/>
      <c r="M43" s="150"/>
      <c r="N43" s="23"/>
      <c r="O43" s="150"/>
      <c r="P43" s="150"/>
      <c r="Q43" s="150"/>
      <c r="R43" s="144"/>
      <c r="S43" s="25"/>
      <c r="T43" s="23"/>
      <c r="U43" s="23"/>
      <c r="V43" s="23"/>
      <c r="W43" s="26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8"/>
      <c r="AI43" s="26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8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6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8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6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8"/>
      <c r="CQ43" s="26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8"/>
    </row>
    <row r="44" spans="1:106" x14ac:dyDescent="0.3">
      <c r="A44" s="21"/>
      <c r="B44" s="21"/>
      <c r="C44" s="21"/>
      <c r="D44" s="29"/>
      <c r="E44" s="22"/>
      <c r="F44" s="22"/>
      <c r="G44" s="22"/>
      <c r="H44" s="36"/>
      <c r="I44" s="23"/>
      <c r="J44" s="23"/>
      <c r="K44" s="24"/>
      <c r="L44" s="150"/>
      <c r="M44" s="150"/>
      <c r="N44" s="23"/>
      <c r="O44" s="150"/>
      <c r="P44" s="150"/>
      <c r="Q44" s="150"/>
      <c r="R44" s="144"/>
      <c r="S44" s="25"/>
      <c r="T44" s="23"/>
      <c r="U44" s="23"/>
      <c r="V44" s="23"/>
      <c r="W44" s="26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8"/>
      <c r="AI44" s="26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8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6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8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6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8"/>
      <c r="CQ44" s="26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8"/>
    </row>
    <row r="45" spans="1:106" x14ac:dyDescent="0.3">
      <c r="A45" s="21"/>
      <c r="B45" s="21"/>
      <c r="C45" s="21"/>
      <c r="D45" s="29"/>
      <c r="E45" s="22"/>
      <c r="F45" s="22"/>
      <c r="G45" s="22"/>
      <c r="H45" s="36"/>
      <c r="I45" s="23"/>
      <c r="J45" s="23"/>
      <c r="K45" s="24"/>
      <c r="L45" s="150"/>
      <c r="M45" s="150"/>
      <c r="N45" s="23"/>
      <c r="O45" s="150"/>
      <c r="P45" s="150"/>
      <c r="Q45" s="150"/>
      <c r="R45" s="144"/>
      <c r="S45" s="25"/>
      <c r="T45" s="23"/>
      <c r="U45" s="23"/>
      <c r="V45" s="23"/>
      <c r="W45" s="26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8"/>
      <c r="AI45" s="26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8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6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8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6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8"/>
      <c r="CQ45" s="26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8"/>
    </row>
    <row r="46" spans="1:106" x14ac:dyDescent="0.3">
      <c r="A46" s="21"/>
      <c r="B46" s="21"/>
      <c r="C46" s="21"/>
      <c r="D46" s="29"/>
      <c r="E46" s="22"/>
      <c r="F46" s="22"/>
      <c r="G46" s="22"/>
      <c r="H46" s="36"/>
      <c r="I46" s="23"/>
      <c r="J46" s="23"/>
      <c r="K46" s="24"/>
      <c r="L46" s="150"/>
      <c r="M46" s="150"/>
      <c r="N46" s="23"/>
      <c r="O46" s="150"/>
      <c r="P46" s="150"/>
      <c r="Q46" s="150"/>
      <c r="R46" s="144"/>
      <c r="S46" s="25"/>
      <c r="T46" s="23"/>
      <c r="U46" s="23"/>
      <c r="V46" s="23"/>
      <c r="W46" s="26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8"/>
      <c r="AI46" s="26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8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6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8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6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8"/>
      <c r="CQ46" s="26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8"/>
    </row>
    <row r="47" spans="1:106" x14ac:dyDescent="0.3">
      <c r="A47" s="21"/>
      <c r="B47" s="21"/>
      <c r="C47" s="21"/>
      <c r="D47" s="29"/>
      <c r="E47" s="22"/>
      <c r="F47" s="22"/>
      <c r="G47" s="22"/>
      <c r="H47" s="36"/>
      <c r="I47" s="23"/>
      <c r="J47" s="23"/>
      <c r="K47" s="24"/>
      <c r="L47" s="150"/>
      <c r="M47" s="150"/>
      <c r="N47" s="23"/>
      <c r="O47" s="150"/>
      <c r="P47" s="150"/>
      <c r="Q47" s="150"/>
      <c r="R47" s="144"/>
      <c r="S47" s="25"/>
      <c r="T47" s="23"/>
      <c r="U47" s="23"/>
      <c r="V47" s="23"/>
      <c r="W47" s="26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8"/>
      <c r="AI47" s="26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8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6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8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6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8"/>
      <c r="CQ47" s="26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8"/>
    </row>
    <row r="48" spans="1:106" x14ac:dyDescent="0.3">
      <c r="A48" s="21"/>
      <c r="B48" s="21"/>
      <c r="C48" s="21"/>
      <c r="D48" s="29"/>
      <c r="E48" s="22"/>
      <c r="F48" s="22"/>
      <c r="G48" s="22"/>
      <c r="H48" s="36"/>
      <c r="I48" s="23"/>
      <c r="J48" s="23"/>
      <c r="K48" s="24"/>
      <c r="L48" s="150"/>
      <c r="M48" s="150"/>
      <c r="N48" s="23"/>
      <c r="O48" s="150"/>
      <c r="P48" s="150"/>
      <c r="Q48" s="150"/>
      <c r="R48" s="144"/>
      <c r="S48" s="25"/>
      <c r="T48" s="23"/>
      <c r="U48" s="23"/>
      <c r="V48" s="23"/>
      <c r="W48" s="26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8"/>
      <c r="AI48" s="26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8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6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8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6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8"/>
      <c r="CQ48" s="26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8"/>
    </row>
    <row r="49" spans="4:22" x14ac:dyDescent="0.3">
      <c r="D49" s="30"/>
      <c r="G49" s="124"/>
    </row>
    <row r="50" spans="4:22" x14ac:dyDescent="0.3">
      <c r="D50" s="30"/>
    </row>
    <row r="51" spans="4:22" x14ac:dyDescent="0.3">
      <c r="D51" s="30"/>
    </row>
    <row r="52" spans="4:22" x14ac:dyDescent="0.3">
      <c r="D52" s="30"/>
      <c r="G52" s="337"/>
    </row>
    <row r="53" spans="4:22" x14ac:dyDescent="0.3">
      <c r="D53" s="30"/>
      <c r="G53" s="117"/>
    </row>
    <row r="54" spans="4:22" x14ac:dyDescent="0.3">
      <c r="D54" s="30"/>
      <c r="V54" s="117"/>
    </row>
    <row r="55" spans="4:22" x14ac:dyDescent="0.3">
      <c r="D55" s="30"/>
    </row>
    <row r="56" spans="4:22" x14ac:dyDescent="0.3">
      <c r="D56" s="30"/>
    </row>
    <row r="57" spans="4:22" x14ac:dyDescent="0.3">
      <c r="D57" s="30"/>
    </row>
    <row r="58" spans="4:22" x14ac:dyDescent="0.3">
      <c r="D58" s="30"/>
    </row>
    <row r="59" spans="4:22" x14ac:dyDescent="0.3">
      <c r="D59" s="30"/>
    </row>
    <row r="60" spans="4:22" x14ac:dyDescent="0.3">
      <c r="D60" s="30"/>
    </row>
    <row r="61" spans="4:22" x14ac:dyDescent="0.3">
      <c r="D61" s="30"/>
    </row>
    <row r="62" spans="4:22" x14ac:dyDescent="0.3">
      <c r="D62" s="30"/>
    </row>
    <row r="63" spans="4:22" x14ac:dyDescent="0.3">
      <c r="D63" s="30"/>
    </row>
    <row r="64" spans="4:22" x14ac:dyDescent="0.3">
      <c r="D64" s="30"/>
    </row>
    <row r="65" spans="4:4" x14ac:dyDescent="0.3">
      <c r="D65" s="30"/>
    </row>
    <row r="66" spans="4:4" x14ac:dyDescent="0.3">
      <c r="D66" s="30"/>
    </row>
    <row r="67" spans="4:4" x14ac:dyDescent="0.3">
      <c r="D67" s="30"/>
    </row>
    <row r="68" spans="4:4" x14ac:dyDescent="0.3">
      <c r="D68" s="30"/>
    </row>
    <row r="69" spans="4:4" x14ac:dyDescent="0.3">
      <c r="D69" s="30"/>
    </row>
    <row r="70" spans="4:4" x14ac:dyDescent="0.3">
      <c r="D70" s="30"/>
    </row>
    <row r="71" spans="4:4" x14ac:dyDescent="0.3">
      <c r="D71" s="30"/>
    </row>
    <row r="72" spans="4:4" x14ac:dyDescent="0.3">
      <c r="D72" s="30"/>
    </row>
    <row r="73" spans="4:4" x14ac:dyDescent="0.3">
      <c r="D73" s="30"/>
    </row>
    <row r="74" spans="4:4" x14ac:dyDescent="0.3">
      <c r="D74" s="30"/>
    </row>
    <row r="75" spans="4:4" x14ac:dyDescent="0.3">
      <c r="D75" s="30"/>
    </row>
    <row r="76" spans="4:4" x14ac:dyDescent="0.3">
      <c r="D76" s="30"/>
    </row>
    <row r="77" spans="4:4" x14ac:dyDescent="0.3">
      <c r="D77" s="30"/>
    </row>
    <row r="78" spans="4:4" x14ac:dyDescent="0.3">
      <c r="D78" s="30"/>
    </row>
    <row r="79" spans="4:4" x14ac:dyDescent="0.3">
      <c r="D79" s="30"/>
    </row>
    <row r="80" spans="4:4" x14ac:dyDescent="0.3">
      <c r="D80" s="30"/>
    </row>
  </sheetData>
  <mergeCells count="2">
    <mergeCell ref="T2:U2"/>
    <mergeCell ref="T3:U3"/>
  </mergeCells>
  <phoneticPr fontId="2" type="noConversion"/>
  <conditionalFormatting sqref="H1:H48">
    <cfRule type="cellIs" dxfId="76" priority="28" operator="equal">
      <formula>"부적합"</formula>
    </cfRule>
    <cfRule type="cellIs" dxfId="75" priority="29" operator="equal">
      <formula>"부적합심각"</formula>
    </cfRule>
  </conditionalFormatting>
  <conditionalFormatting sqref="K8:K37">
    <cfRule type="cellIs" dxfId="74" priority="1" operator="lessThan">
      <formula>$H$1+90</formula>
    </cfRule>
  </conditionalFormatting>
  <conditionalFormatting sqref="K6:N6 P6:R6">
    <cfRule type="cellIs" dxfId="73" priority="31" operator="greaterThan">
      <formula>11</formula>
    </cfRule>
    <cfRule type="cellIs" dxfId="72" priority="32" operator="equal">
      <formula>"부적합"</formula>
    </cfRule>
  </conditionalFormatting>
  <conditionalFormatting sqref="K38:R48">
    <cfRule type="cellIs" dxfId="71" priority="30" operator="greaterThanOrEqual">
      <formula>12</formula>
    </cfRule>
  </conditionalFormatting>
  <conditionalFormatting sqref="L7:L37">
    <cfRule type="cellIs" dxfId="70" priority="8" operator="equal">
      <formula>"부적합"</formula>
    </cfRule>
    <cfRule type="cellIs" dxfId="69" priority="9" operator="equal">
      <formula>"부적합심각"</formula>
    </cfRule>
  </conditionalFormatting>
  <conditionalFormatting sqref="O6">
    <cfRule type="cellIs" dxfId="68" priority="2" operator="equal">
      <formula>"부적합"</formula>
    </cfRule>
    <cfRule type="cellIs" dxfId="67" priority="3" operator="equal">
      <formula>"부적합심각"</formula>
    </cfRule>
  </conditionalFormatting>
  <conditionalFormatting sqref="O8:O37">
    <cfRule type="cellIs" dxfId="66" priority="4" operator="equal">
      <formula>"O"</formula>
    </cfRule>
  </conditionalFormatting>
  <conditionalFormatting sqref="S8:S37">
    <cfRule type="cellIs" dxfId="65" priority="17" operator="equal">
      <formula>"O"</formula>
    </cfRule>
    <cfRule type="cellIs" dxfId="64" priority="24" operator="equal">
      <formula>"X"</formula>
    </cfRule>
  </conditionalFormatting>
  <conditionalFormatting sqref="T3">
    <cfRule type="cellIs" dxfId="63" priority="22" operator="equal">
      <formula>"O"</formula>
    </cfRule>
  </conditionalFormatting>
  <conditionalFormatting sqref="T8:T37">
    <cfRule type="cellIs" dxfId="62" priority="16" operator="equal">
      <formula>"A"</formula>
    </cfRule>
    <cfRule type="cellIs" dxfId="61" priority="21" operator="equal">
      <formula>"C"</formula>
    </cfRule>
  </conditionalFormatting>
  <conditionalFormatting sqref="U8:U37">
    <cfRule type="cellIs" dxfId="60" priority="20" operator="greaterThan">
      <formula>4</formula>
    </cfRule>
  </conditionalFormatting>
  <conditionalFormatting sqref="V8:V30 V33:V37">
    <cfRule type="cellIs" dxfId="59" priority="15" operator="equal">
      <formula>"판매활성화"</formula>
    </cfRule>
    <cfRule type="cellIs" dxfId="58" priority="18" operator="equal">
      <formula>"소진계획필요"</formula>
    </cfRule>
    <cfRule type="cellIs" dxfId="57" priority="19" operator="equal">
      <formula>"단산검토"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5"/>
  <sheetViews>
    <sheetView topLeftCell="A50" zoomScaleNormal="100" workbookViewId="0">
      <pane xSplit="3" topLeftCell="D1" activePane="topRight" state="frozen"/>
      <selection activeCell="J22" sqref="J22"/>
      <selection pane="topRight" activeCell="H69" sqref="H69"/>
    </sheetView>
  </sheetViews>
  <sheetFormatPr defaultRowHeight="16.5" x14ac:dyDescent="0.3"/>
  <cols>
    <col min="1" max="1" width="9.75" customWidth="1"/>
    <col min="3" max="3" width="33.125" customWidth="1"/>
    <col min="5" max="5" width="9.125" style="80" customWidth="1"/>
    <col min="6" max="6" width="9.5" customWidth="1"/>
    <col min="7" max="7" width="12.875" style="117" bestFit="1" customWidth="1"/>
    <col min="8" max="8" width="9" customWidth="1"/>
    <col min="9" max="9" width="10.125" customWidth="1"/>
    <col min="10" max="10" width="11.125" style="96" customWidth="1"/>
    <col min="11" max="11" width="9" customWidth="1"/>
    <col min="12" max="15" width="9.625" customWidth="1"/>
    <col min="16" max="16" width="9.75" style="91" customWidth="1"/>
    <col min="17" max="17" width="9.75" customWidth="1"/>
    <col min="18" max="18" width="11.625" customWidth="1"/>
    <col min="19" max="19" width="9.25" style="108" customWidth="1"/>
    <col min="21" max="22" width="10" bestFit="1" customWidth="1"/>
    <col min="23" max="26" width="10" customWidth="1"/>
    <col min="27" max="27" width="10.875" customWidth="1"/>
    <col min="28" max="28" width="10.25" customWidth="1"/>
    <col min="29" max="29" width="11" customWidth="1"/>
    <col min="30" max="30" width="10.25" customWidth="1"/>
    <col min="31" max="42" width="9.625" hidden="1" customWidth="1"/>
    <col min="43" max="54" width="9.625" customWidth="1"/>
  </cols>
  <sheetData>
    <row r="1" spans="1:54" ht="17.25" x14ac:dyDescent="0.3">
      <c r="A1" s="1" t="s">
        <v>781</v>
      </c>
      <c r="B1" s="2"/>
      <c r="C1" s="44"/>
      <c r="D1" s="2"/>
      <c r="E1" s="3"/>
      <c r="F1" s="4"/>
      <c r="G1" s="4"/>
      <c r="H1" s="4"/>
      <c r="I1" s="4"/>
      <c r="J1" s="92"/>
      <c r="K1" s="4"/>
      <c r="L1" s="4"/>
      <c r="M1" s="4"/>
      <c r="N1" s="4"/>
      <c r="O1" s="4"/>
      <c r="P1" s="86"/>
      <c r="Q1" s="119"/>
      <c r="R1" s="119"/>
      <c r="S1" s="109">
        <f ca="1">TODAY()</f>
        <v>45803</v>
      </c>
      <c r="T1" s="4"/>
      <c r="U1" s="4"/>
      <c r="V1" s="289"/>
      <c r="W1" s="119"/>
      <c r="X1" s="119"/>
      <c r="Y1" s="147"/>
      <c r="Z1" s="147"/>
      <c r="AA1" s="57" t="s">
        <v>43</v>
      </c>
      <c r="AB1" s="4"/>
      <c r="AC1" s="4"/>
      <c r="AD1" s="4"/>
      <c r="AE1" s="6"/>
      <c r="AF1" s="3"/>
      <c r="AG1" s="3"/>
      <c r="AH1" s="3"/>
      <c r="AI1" s="3"/>
      <c r="AJ1" s="3"/>
      <c r="AK1" s="3"/>
      <c r="AL1" s="3"/>
      <c r="AM1" s="3"/>
      <c r="AN1" s="3"/>
      <c r="AO1" s="3"/>
      <c r="AP1" s="7"/>
      <c r="AQ1" s="6"/>
      <c r="AR1" s="3"/>
      <c r="AS1" s="3"/>
      <c r="AT1" s="3"/>
      <c r="AU1" s="3"/>
      <c r="AV1" s="3"/>
      <c r="AW1" s="3"/>
      <c r="AX1" s="3"/>
      <c r="AY1" s="3"/>
      <c r="AZ1" s="3"/>
      <c r="BA1" s="3"/>
      <c r="BB1" s="7"/>
    </row>
    <row r="2" spans="1:54" ht="17.25" x14ac:dyDescent="0.3">
      <c r="A2" s="1"/>
      <c r="B2" s="2"/>
      <c r="C2" s="44"/>
      <c r="D2" s="2"/>
      <c r="E2" s="3"/>
      <c r="F2" s="4"/>
      <c r="G2" s="4"/>
      <c r="H2" s="4"/>
      <c r="I2" s="4"/>
      <c r="J2" s="92"/>
      <c r="K2" s="4"/>
      <c r="L2" s="276"/>
      <c r="M2" s="4"/>
      <c r="N2" s="276"/>
      <c r="O2" s="4"/>
      <c r="P2" s="4"/>
      <c r="Q2" s="119"/>
      <c r="R2" s="119"/>
      <c r="S2" s="35"/>
      <c r="T2" s="4"/>
      <c r="U2" s="4"/>
      <c r="V2" s="157"/>
      <c r="W2" s="119"/>
      <c r="X2" s="119"/>
      <c r="Y2" s="147"/>
      <c r="Z2" s="157"/>
      <c r="AA2" s="151" t="s">
        <v>38</v>
      </c>
      <c r="AB2" s="376" t="s">
        <v>39</v>
      </c>
      <c r="AC2" s="376"/>
      <c r="AD2" s="58" t="s">
        <v>40</v>
      </c>
      <c r="AE2" s="6"/>
      <c r="AF2" s="3"/>
      <c r="AG2" s="3"/>
      <c r="AH2" s="3"/>
      <c r="AI2" s="3"/>
      <c r="AJ2" s="3"/>
      <c r="AK2" s="3"/>
      <c r="AL2" s="3"/>
      <c r="AM2" s="3"/>
      <c r="AN2" s="3"/>
      <c r="AO2" s="3"/>
      <c r="AP2" s="7"/>
      <c r="AQ2" s="6"/>
      <c r="AR2" s="3"/>
      <c r="AS2" s="3"/>
      <c r="AT2" s="3"/>
      <c r="AU2" s="3"/>
      <c r="AV2" s="3"/>
      <c r="AW2" s="3"/>
      <c r="AX2" s="3"/>
      <c r="AY2" s="3"/>
      <c r="AZ2" s="3"/>
      <c r="BA2" s="3"/>
      <c r="BB2" s="7"/>
    </row>
    <row r="3" spans="1:54" ht="17.25" x14ac:dyDescent="0.3">
      <c r="A3" s="1"/>
      <c r="B3" s="2"/>
      <c r="C3" s="99"/>
      <c r="D3" s="2"/>
      <c r="E3" s="3"/>
      <c r="F3" s="336"/>
      <c r="G3" s="4"/>
      <c r="H3" s="4"/>
      <c r="I3" s="276"/>
      <c r="J3" s="92"/>
      <c r="K3" s="276"/>
      <c r="L3" s="4"/>
      <c r="M3" s="110"/>
      <c r="N3" s="276"/>
      <c r="O3" s="4"/>
      <c r="P3" s="4"/>
      <c r="Q3" s="119"/>
      <c r="R3" s="119"/>
      <c r="S3" s="35"/>
      <c r="T3" s="4"/>
      <c r="U3" s="4"/>
      <c r="V3" s="157"/>
      <c r="W3" s="288"/>
      <c r="X3" s="119"/>
      <c r="Y3" s="147"/>
      <c r="Z3" s="157"/>
      <c r="AA3" s="152" t="s">
        <v>42</v>
      </c>
      <c r="AB3" s="376" t="s">
        <v>46</v>
      </c>
      <c r="AC3" s="376"/>
      <c r="AD3" s="59" t="s">
        <v>47</v>
      </c>
      <c r="AE3" s="6"/>
      <c r="AF3" s="3"/>
      <c r="AG3" s="3"/>
      <c r="AH3" s="3"/>
      <c r="AI3" s="3"/>
      <c r="AJ3" s="3"/>
      <c r="AK3" s="3"/>
      <c r="AL3" s="3"/>
      <c r="AM3" s="3"/>
      <c r="AN3" s="3"/>
      <c r="AO3" s="3"/>
      <c r="AP3" s="7"/>
      <c r="AQ3" s="6"/>
      <c r="AR3" s="3"/>
      <c r="AS3" s="3"/>
      <c r="AT3" s="3"/>
      <c r="AU3" s="3"/>
      <c r="AV3" s="3"/>
      <c r="AW3" s="3"/>
      <c r="AX3" s="3"/>
      <c r="AY3" s="3"/>
      <c r="AZ3" s="3"/>
      <c r="BA3" s="3"/>
      <c r="BB3" s="7"/>
    </row>
    <row r="4" spans="1:54" ht="17.25" x14ac:dyDescent="0.3">
      <c r="A4" s="1"/>
      <c r="B4" s="2"/>
      <c r="C4" s="99"/>
      <c r="D4" s="2"/>
      <c r="E4" s="3"/>
      <c r="F4" s="4"/>
      <c r="G4" s="4"/>
      <c r="H4" s="4"/>
      <c r="I4" s="4"/>
      <c r="J4" s="277"/>
      <c r="K4" s="4"/>
      <c r="L4" s="4"/>
      <c r="M4" s="4"/>
      <c r="N4" s="4"/>
      <c r="O4" s="4"/>
      <c r="P4" s="86"/>
      <c r="Q4" s="119"/>
      <c r="R4" s="119"/>
      <c r="S4" s="35"/>
      <c r="T4" s="4"/>
      <c r="U4" s="86"/>
      <c r="V4" s="157"/>
      <c r="W4" s="119"/>
      <c r="X4" s="119"/>
      <c r="Y4" s="147"/>
      <c r="Z4" s="157"/>
      <c r="AA4" s="4" t="s">
        <v>131</v>
      </c>
      <c r="AB4" s="67"/>
      <c r="AC4" s="67"/>
      <c r="AD4" s="68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7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7"/>
    </row>
    <row r="5" spans="1:54" ht="17.25" x14ac:dyDescent="0.3">
      <c r="A5" s="1"/>
      <c r="B5" s="2"/>
      <c r="C5" s="44"/>
      <c r="D5" s="2"/>
      <c r="E5" s="3"/>
      <c r="F5" s="4"/>
      <c r="G5" s="4"/>
      <c r="H5" s="4"/>
      <c r="I5" s="4"/>
      <c r="J5" s="277"/>
      <c r="K5" s="4"/>
      <c r="L5" s="4"/>
      <c r="M5" s="4"/>
      <c r="N5" s="4"/>
      <c r="O5" s="4"/>
      <c r="P5" s="86"/>
      <c r="Q5" s="119"/>
      <c r="R5" s="119"/>
      <c r="S5" s="35"/>
      <c r="T5" s="4"/>
      <c r="U5" s="4"/>
      <c r="V5" s="5"/>
      <c r="W5" s="119"/>
      <c r="X5" s="119"/>
      <c r="Y5" s="147"/>
      <c r="Z5" s="157"/>
      <c r="AA5" s="4"/>
      <c r="AB5" s="67"/>
      <c r="AC5" s="67"/>
      <c r="AD5" s="68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7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7"/>
    </row>
    <row r="6" spans="1:54" x14ac:dyDescent="0.3">
      <c r="A6" s="45"/>
      <c r="B6" s="10"/>
      <c r="C6" s="10"/>
      <c r="D6" s="10" t="s">
        <v>37</v>
      </c>
      <c r="E6" s="11"/>
      <c r="F6" s="12"/>
      <c r="G6" s="116"/>
      <c r="H6" s="12"/>
      <c r="I6" s="12"/>
      <c r="J6" s="93"/>
      <c r="K6" s="12"/>
      <c r="L6" s="12"/>
      <c r="M6" s="12"/>
      <c r="N6" s="12"/>
      <c r="O6" s="12"/>
      <c r="P6" s="87"/>
      <c r="Q6" s="120"/>
      <c r="R6" s="120"/>
      <c r="S6" s="111" t="s">
        <v>480</v>
      </c>
      <c r="T6" s="13"/>
      <c r="U6" s="13"/>
      <c r="V6" s="14"/>
      <c r="W6" s="174" t="s">
        <v>477</v>
      </c>
      <c r="X6" s="175"/>
      <c r="Y6" s="148"/>
      <c r="Z6" s="148"/>
      <c r="AA6" s="15" t="s">
        <v>36</v>
      </c>
      <c r="AB6" s="16"/>
      <c r="AC6" s="17"/>
      <c r="AD6" s="17"/>
      <c r="AE6" s="9" t="s">
        <v>471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53"/>
      <c r="AQ6" s="9" t="s">
        <v>472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53"/>
    </row>
    <row r="7" spans="1:54" x14ac:dyDescent="0.3">
      <c r="A7" s="18" t="s">
        <v>3</v>
      </c>
      <c r="B7" s="18" t="s">
        <v>763</v>
      </c>
      <c r="C7" s="18" t="s">
        <v>1</v>
      </c>
      <c r="D7" s="18" t="s">
        <v>29</v>
      </c>
      <c r="E7" s="19" t="s">
        <v>30</v>
      </c>
      <c r="F7" s="20" t="s">
        <v>87</v>
      </c>
      <c r="G7" s="115" t="s">
        <v>121</v>
      </c>
      <c r="H7" s="20" t="s">
        <v>88</v>
      </c>
      <c r="I7" s="20" t="s">
        <v>125</v>
      </c>
      <c r="J7" s="94" t="s">
        <v>89</v>
      </c>
      <c r="K7" s="20" t="s">
        <v>90</v>
      </c>
      <c r="L7" s="20" t="s">
        <v>126</v>
      </c>
      <c r="M7" s="20" t="s">
        <v>91</v>
      </c>
      <c r="N7" s="20" t="s">
        <v>92</v>
      </c>
      <c r="O7" s="20" t="s">
        <v>127</v>
      </c>
      <c r="P7" s="88" t="s">
        <v>93</v>
      </c>
      <c r="Q7" s="121" t="s">
        <v>135</v>
      </c>
      <c r="R7" s="122" t="s">
        <v>134</v>
      </c>
      <c r="S7" s="112" t="s">
        <v>84</v>
      </c>
      <c r="T7" s="34" t="s">
        <v>41</v>
      </c>
      <c r="U7" s="33" t="s">
        <v>31</v>
      </c>
      <c r="V7" s="32" t="s">
        <v>32</v>
      </c>
      <c r="W7" s="176" t="s">
        <v>478</v>
      </c>
      <c r="X7" s="176" t="s">
        <v>479</v>
      </c>
      <c r="Y7" s="149" t="s">
        <v>489</v>
      </c>
      <c r="Z7" s="159" t="s">
        <v>488</v>
      </c>
      <c r="AA7" s="158" t="s">
        <v>35</v>
      </c>
      <c r="AB7" s="52" t="s">
        <v>43</v>
      </c>
      <c r="AC7" s="52" t="s">
        <v>119</v>
      </c>
      <c r="AD7" s="77" t="s">
        <v>45</v>
      </c>
      <c r="AE7" s="60">
        <v>1</v>
      </c>
      <c r="AF7" s="31">
        <f>+AE7+1</f>
        <v>2</v>
      </c>
      <c r="AG7" s="31">
        <f>+AF7+1</f>
        <v>3</v>
      </c>
      <c r="AH7" s="31">
        <f>+AG7+1</f>
        <v>4</v>
      </c>
      <c r="AI7" s="31">
        <f>+AH7+1</f>
        <v>5</v>
      </c>
      <c r="AJ7" s="31">
        <f t="shared" ref="AJ7:AP7" si="0">+AI7+1</f>
        <v>6</v>
      </c>
      <c r="AK7" s="31">
        <f t="shared" si="0"/>
        <v>7</v>
      </c>
      <c r="AL7" s="31">
        <f t="shared" si="0"/>
        <v>8</v>
      </c>
      <c r="AM7" s="31">
        <f t="shared" si="0"/>
        <v>9</v>
      </c>
      <c r="AN7" s="31">
        <f t="shared" si="0"/>
        <v>10</v>
      </c>
      <c r="AO7" s="31">
        <f t="shared" si="0"/>
        <v>11</v>
      </c>
      <c r="AP7" s="54">
        <f t="shared" si="0"/>
        <v>12</v>
      </c>
      <c r="AQ7" s="60">
        <v>1</v>
      </c>
      <c r="AR7" s="31">
        <f t="shared" ref="AR7:BB7" si="1">+AQ7+1</f>
        <v>2</v>
      </c>
      <c r="AS7" s="31">
        <f t="shared" si="1"/>
        <v>3</v>
      </c>
      <c r="AT7" s="31">
        <f t="shared" si="1"/>
        <v>4</v>
      </c>
      <c r="AU7" s="31">
        <f t="shared" si="1"/>
        <v>5</v>
      </c>
      <c r="AV7" s="31">
        <f t="shared" si="1"/>
        <v>6</v>
      </c>
      <c r="AW7" s="31">
        <f t="shared" si="1"/>
        <v>7</v>
      </c>
      <c r="AX7" s="31">
        <f t="shared" si="1"/>
        <v>8</v>
      </c>
      <c r="AY7" s="31">
        <f t="shared" si="1"/>
        <v>9</v>
      </c>
      <c r="AZ7" s="31">
        <f t="shared" si="1"/>
        <v>10</v>
      </c>
      <c r="BA7" s="31">
        <f t="shared" si="1"/>
        <v>11</v>
      </c>
      <c r="BB7" s="54">
        <f t="shared" si="1"/>
        <v>12</v>
      </c>
    </row>
    <row r="8" spans="1:54" x14ac:dyDescent="0.3">
      <c r="A8" s="21" t="s">
        <v>122</v>
      </c>
      <c r="B8" s="81">
        <v>334969</v>
      </c>
      <c r="C8" s="81" t="s">
        <v>816</v>
      </c>
      <c r="D8" s="82">
        <v>4.3049999999999997</v>
      </c>
      <c r="E8" s="99">
        <v>17175</v>
      </c>
      <c r="F8" s="22">
        <f t="shared" ref="F8:F68" si="2">+H8+K8+N8</f>
        <v>0</v>
      </c>
      <c r="G8" s="22">
        <f>+E8*F8</f>
        <v>0</v>
      </c>
      <c r="H8" s="22">
        <f>IFERROR(VLOOKUP(B8,'음성공장 재고장'!A:E,4,FALSE),0)</f>
        <v>0</v>
      </c>
      <c r="I8" s="22">
        <f>+$E8*H8</f>
        <v>0</v>
      </c>
      <c r="J8" s="95" t="str">
        <f>IFERROR(VLOOKUP(B8,'음성공장 재고장'!A:E,5,FALSE),0)</f>
        <v>없음</v>
      </c>
      <c r="K8" s="97">
        <f>IFERROR(VLOOKUP(B8,'음성공장 재고장'!A:F,6,FALSE),0)</f>
        <v>0</v>
      </c>
      <c r="L8" s="22">
        <f>+$E8*K8</f>
        <v>0</v>
      </c>
      <c r="M8" s="95" t="str">
        <f>IFERROR(VLOOKUP(B8,'음성공장 재고장'!A:G,7,FALSE),0)</f>
        <v>없음</v>
      </c>
      <c r="N8" s="22"/>
      <c r="O8" s="22">
        <f>+$E8*N8</f>
        <v>0</v>
      </c>
      <c r="P8" s="89"/>
      <c r="Q8" s="22">
        <f ca="1">IFERROR(R8/E8,0)</f>
        <v>0</v>
      </c>
      <c r="R8" s="123">
        <f t="shared" ref="R8:R33" ca="1" si="3">IFERROR(IF(OR(V8&lt;U8,S8=0),G8-S8*E8*(ABS(MONTH($S$1)-MONTH(V8))),0),0)</f>
        <v>0</v>
      </c>
      <c r="S8" s="6">
        <f>AVERAGE(AQ8:AU8)</f>
        <v>0</v>
      </c>
      <c r="T8" s="63">
        <f t="shared" ref="T8:T12" si="4">IFERROR(F8/S8,0)</f>
        <v>0</v>
      </c>
      <c r="U8" s="48" t="str">
        <f>IF(H8=0,"재고없음",IF(S8=0,"사용없음",$S$1+T8*30))</f>
        <v>재고없음</v>
      </c>
      <c r="V8" s="50" t="str">
        <f>IF(F8=0,"재고없음",IF(AND(J8=0,M8=0,P8=0),"없음",MIN(J8,M8,P8)))</f>
        <v>재고없음</v>
      </c>
      <c r="W8" s="177">
        <v>0</v>
      </c>
      <c r="X8" s="178">
        <v>0</v>
      </c>
      <c r="Y8" s="221">
        <f>+S8*W8/30</f>
        <v>0</v>
      </c>
      <c r="Z8" s="221">
        <f t="shared" ref="Z8:Z33" ca="1" si="5">IFERROR(IF(AND($S$1+W8-V8&gt;0,(MAX(P8,M8,J8)&lt;V8+W8)),"O",IF(OR(Y8-F8&lt;=0,S8=0),"X","O")),0)</f>
        <v>0</v>
      </c>
      <c r="AA8" s="46">
        <f t="shared" ref="AA8:AA43" si="6">IFERROR(IF(U8="사용없음","X",IF(V8-U8&gt;0,"O","X")),0)</f>
        <v>0</v>
      </c>
      <c r="AB8" s="65" t="str">
        <f t="shared" ref="AB8:AB40" si="7">IF(U8="사용없음",$AD$2,IF(T8=0,"-",IF(T8&lt;=1,$AA$2,IF(AND(T8&gt;1,T8&lt;=4),$AB$2,$AD$2))))</f>
        <v>-</v>
      </c>
      <c r="AC8" s="65">
        <f>COUNTIF(BOM!B:B,원재료!B8)</f>
        <v>0</v>
      </c>
      <c r="AD8" s="114" t="str">
        <f>IF(AND(AA8="X",AB8="C",AC8&lt;2),"원료대체검토",IF(AND(AA8="X",AB8="C"),"소진계획필요","판매활성화"))</f>
        <v>판매활성화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8">
        <v>0</v>
      </c>
      <c r="AQ8" s="27">
        <f>SUMIF(BOM!$B:$B,원재료!$B8,BOM!E:E)</f>
        <v>0</v>
      </c>
      <c r="AR8" s="27">
        <f>SUMIF(BOM!$B:$B,원재료!$B8,BOM!F:F)</f>
        <v>0</v>
      </c>
      <c r="AS8" s="27">
        <f>SUMIF(BOM!$B:$B,원재료!$B8,BOM!G:G)</f>
        <v>0</v>
      </c>
      <c r="AT8" s="27">
        <f>SUMIF(BOM!$B:$B,원재료!$B8,BOM!H:H)</f>
        <v>0</v>
      </c>
      <c r="AU8" s="27">
        <f>SUMIF(BOM!$B:$B,원재료!$B8,BOM!I:I)</f>
        <v>0</v>
      </c>
      <c r="AV8" s="27">
        <f>SUMIF(BOM!$B:$B,원재료!$B8,BOM!J:J)</f>
        <v>0</v>
      </c>
      <c r="AW8" s="27">
        <f>SUMIF(BOM!$B:$B,원재료!$B8,BOM!K:K)</f>
        <v>0</v>
      </c>
      <c r="AX8" s="27">
        <f>SUMIF(BOM!$B:$B,원재료!$B8,BOM!L:L)</f>
        <v>0</v>
      </c>
      <c r="AY8" s="27">
        <f>SUMIF(BOM!$B:$B,원재료!$B8,BOM!M:M)</f>
        <v>0</v>
      </c>
      <c r="AZ8" s="27">
        <f>SUMIF(BOM!$B:$B,원재료!$B8,BOM!N:N)</f>
        <v>0</v>
      </c>
      <c r="BA8" s="27">
        <f>SUMIF(BOM!$B:$B,원재료!$B8,BOM!O:O)</f>
        <v>0</v>
      </c>
      <c r="BB8" s="28">
        <f>SUMIF(BOM!$B:$B,원재료!$B8,BOM!P:P)</f>
        <v>0</v>
      </c>
    </row>
    <row r="9" spans="1:54" x14ac:dyDescent="0.3">
      <c r="A9" s="21" t="s">
        <v>122</v>
      </c>
      <c r="B9" s="81">
        <v>310902</v>
      </c>
      <c r="C9" s="81" t="s">
        <v>782</v>
      </c>
      <c r="D9" s="82">
        <v>4</v>
      </c>
      <c r="E9" s="99">
        <f>IFERROR(VLOOKUP(B9,재고DB!H:AS,38,FALSE),0)/D9</f>
        <v>0</v>
      </c>
      <c r="F9" s="22">
        <f t="shared" ref="F9" si="8">+H9+K9+N9</f>
        <v>0</v>
      </c>
      <c r="G9" s="22">
        <f>+E9*F9</f>
        <v>0</v>
      </c>
      <c r="H9" s="22">
        <f>SUMIF(재고DB!H:H,원재료!B9,재고DB!AB:AB)*D9</f>
        <v>0</v>
      </c>
      <c r="I9" s="22">
        <f t="shared" ref="I9:I65" si="9">+$E9*H9</f>
        <v>0</v>
      </c>
      <c r="J9" s="95" t="str">
        <f>IF(H9=0,"없음",IFERROR(VLOOKUP(B9,재고DB!H:BU,66,FALSE),0))</f>
        <v>없음</v>
      </c>
      <c r="K9" s="97">
        <f>IFERROR(VLOOKUP(B9,'음성공장 재고장'!A:F,6,FALSE),0)</f>
        <v>0</v>
      </c>
      <c r="L9" s="22">
        <f t="shared" ref="L9:L65" si="10">+$E9*K9</f>
        <v>0</v>
      </c>
      <c r="M9" s="95" t="s">
        <v>909</v>
      </c>
      <c r="N9" s="22"/>
      <c r="O9" s="22">
        <f>+$E9*N9</f>
        <v>0</v>
      </c>
      <c r="P9" s="89"/>
      <c r="Q9" s="22">
        <f>IFERROR(R9/E9,0)</f>
        <v>0</v>
      </c>
      <c r="R9" s="123">
        <f t="shared" si="3"/>
        <v>0</v>
      </c>
      <c r="S9" s="6">
        <f t="shared" ref="S9:S72" si="11">AVERAGE(AQ9:AU9)</f>
        <v>1200</v>
      </c>
      <c r="T9" s="63">
        <f t="shared" si="4"/>
        <v>0</v>
      </c>
      <c r="U9" s="48" t="str">
        <f t="shared" ref="U9:U70" si="12">IF(H9=0,"재고없음",IF(S9=0,"사용없음",$S$1+T9*30))</f>
        <v>재고없음</v>
      </c>
      <c r="V9" s="50" t="str">
        <f>IF(F9=0,"재고없음",IF(AND(J9=0,M9=0,P9=0),"없음",MIN(J9,M9,P9)))</f>
        <v>재고없음</v>
      </c>
      <c r="W9" s="177">
        <v>0</v>
      </c>
      <c r="X9" s="178">
        <v>0</v>
      </c>
      <c r="Y9" s="221">
        <f>+S9*W9/30</f>
        <v>0</v>
      </c>
      <c r="Z9" s="221">
        <f t="shared" ca="1" si="5"/>
        <v>0</v>
      </c>
      <c r="AA9" s="46">
        <f t="shared" ref="AA9" si="13">IFERROR(IF(U9="사용없음","X",IF(V9-U9&gt;0,"O","X")),0)</f>
        <v>0</v>
      </c>
      <c r="AB9" s="65" t="str">
        <f t="shared" ref="AB9" si="14">IF(U9="사용없음",$AD$2,IF(T9=0,"-",IF(T9&lt;=1,$AA$2,IF(AND(T9&gt;1,T9&lt;=4),$AB$2,$AD$2))))</f>
        <v>-</v>
      </c>
      <c r="AC9" s="65">
        <f>COUNTIF(BOM!B:B,원재료!B9)</f>
        <v>1</v>
      </c>
      <c r="AD9" s="103" t="str">
        <f>IF(AND(AA9="X",AB9="C",AC9&lt;2),"원료대체검토",IF(AND(AA9="X",AB9="C"),"소진계획필요","판매활성화"))</f>
        <v>판매활성화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8">
        <v>0</v>
      </c>
      <c r="AQ9" s="27">
        <f>SUMIF(BOM!$B:$B,원재료!$B9,BOM!E:E)</f>
        <v>0</v>
      </c>
      <c r="AR9" s="27">
        <f>SUMIF(BOM!$B:$B,원재료!$B9,BOM!F:F)</f>
        <v>2000</v>
      </c>
      <c r="AS9" s="27">
        <f>SUMIF(BOM!$B:$B,원재료!$B9,BOM!G:G)</f>
        <v>2000</v>
      </c>
      <c r="AT9" s="27">
        <f>SUMIF(BOM!$B:$B,원재료!$B9,BOM!H:H)</f>
        <v>2000</v>
      </c>
      <c r="AU9" s="27">
        <f>SUMIF(BOM!$B:$B,원재료!$B9,BOM!I:I)</f>
        <v>0</v>
      </c>
      <c r="AV9" s="27">
        <f>SUMIF(BOM!$B:$B,원재료!$B9,BOM!J:J)</f>
        <v>0</v>
      </c>
      <c r="AW9" s="27">
        <f>SUMIF(BOM!$B:$B,원재료!$B9,BOM!K:K)</f>
        <v>0</v>
      </c>
      <c r="AX9" s="27">
        <f>SUMIF(BOM!$B:$B,원재료!$B9,BOM!L:L)</f>
        <v>0</v>
      </c>
      <c r="AY9" s="27">
        <f>SUMIF(BOM!$B:$B,원재료!$B9,BOM!M:M)</f>
        <v>0</v>
      </c>
      <c r="AZ9" s="27">
        <f>SUMIF(BOM!$B:$B,원재료!$B9,BOM!N:N)</f>
        <v>0</v>
      </c>
      <c r="BA9" s="27">
        <f>SUMIF(BOM!$B:$B,원재료!$B9,BOM!O:O)</f>
        <v>0</v>
      </c>
      <c r="BB9" s="28">
        <f>SUMIF(BOM!$B:$B,원재료!$B9,BOM!P:P)</f>
        <v>0</v>
      </c>
    </row>
    <row r="10" spans="1:54" x14ac:dyDescent="0.3">
      <c r="A10" s="21" t="s">
        <v>122</v>
      </c>
      <c r="B10" s="81">
        <v>254933</v>
      </c>
      <c r="C10" s="81" t="s">
        <v>900</v>
      </c>
      <c r="D10" s="82">
        <v>25</v>
      </c>
      <c r="E10" s="99">
        <v>60500</v>
      </c>
      <c r="F10" s="22">
        <f>+H10+K10+N10</f>
        <v>25</v>
      </c>
      <c r="G10" s="22">
        <f>+E10*F10</f>
        <v>1512500</v>
      </c>
      <c r="H10" s="22">
        <v>25</v>
      </c>
      <c r="I10" s="22">
        <f t="shared" si="9"/>
        <v>1512500</v>
      </c>
      <c r="J10" s="95">
        <v>46113</v>
      </c>
      <c r="K10" s="97"/>
      <c r="L10" s="22">
        <f t="shared" si="10"/>
        <v>0</v>
      </c>
      <c r="M10" s="95" t="str">
        <f>IFERROR(VLOOKUP(B10,'음성공장 재고장'!A:G,7,FALSE),0)</f>
        <v>없음</v>
      </c>
      <c r="N10" s="22"/>
      <c r="O10" s="22">
        <f t="shared" ref="O10:O80" si="15">+$E10*N10</f>
        <v>0</v>
      </c>
      <c r="P10" s="89"/>
      <c r="Q10" s="22">
        <f ca="1">IFERROR(R10/E10,0)</f>
        <v>23.65</v>
      </c>
      <c r="R10" s="123">
        <f t="shared" ca="1" si="3"/>
        <v>1430825</v>
      </c>
      <c r="S10" s="6">
        <f t="shared" si="11"/>
        <v>1.3499999999999999</v>
      </c>
      <c r="T10" s="63">
        <f t="shared" si="4"/>
        <v>18.518518518518519</v>
      </c>
      <c r="U10" s="48">
        <f ca="1">IF(H10=0,"재고없음",IF(S10=0,"사용없음",$S$1+T10*30))</f>
        <v>46358.555555555555</v>
      </c>
      <c r="V10" s="50">
        <f t="shared" ref="V10:V87" si="16">IF(F10=0,"재고없음",IF(AND(J10=0,M10=0,P10=0),"없음",MIN(J10,M10,P10)))</f>
        <v>46113</v>
      </c>
      <c r="W10" s="177">
        <f>8*7</f>
        <v>56</v>
      </c>
      <c r="X10" s="178">
        <v>25</v>
      </c>
      <c r="Y10" s="221">
        <f t="shared" ref="Y10:Y76" si="17">+S10*W10/30</f>
        <v>2.52</v>
      </c>
      <c r="Z10" s="221" t="str">
        <f t="shared" ca="1" si="5"/>
        <v>X</v>
      </c>
      <c r="AA10" s="46" t="str">
        <f ca="1">IFERROR(IF(U10="사용없음","X",IF(V10-U10&gt;0,"O","X")),0)</f>
        <v>X</v>
      </c>
      <c r="AB10" s="65" t="str">
        <f t="shared" ca="1" si="7"/>
        <v>C</v>
      </c>
      <c r="AC10" s="65">
        <f>COUNTIF(BOM!B:B,원재료!B10)</f>
        <v>2</v>
      </c>
      <c r="AD10" s="103" t="str">
        <f t="shared" ref="AD10:AD80" ca="1" si="18">IF(AND(AA10="X",AB10="C",AC10&lt;2),"원료대체검토",IF(AND(AA10="X",AB10="C"),"소진계획필요","판매활성화"))</f>
        <v>소진계획필요</v>
      </c>
      <c r="AE10" s="27">
        <v>24</v>
      </c>
      <c r="AF10" s="27">
        <v>55.5</v>
      </c>
      <c r="AG10" s="27">
        <v>9</v>
      </c>
      <c r="AH10" s="27">
        <v>45</v>
      </c>
      <c r="AI10" s="27">
        <v>22.5</v>
      </c>
      <c r="AJ10" s="27">
        <v>0</v>
      </c>
      <c r="AK10" s="27">
        <v>30.75</v>
      </c>
      <c r="AL10" s="27">
        <v>0</v>
      </c>
      <c r="AM10" s="27">
        <v>0</v>
      </c>
      <c r="AN10" s="27">
        <v>0</v>
      </c>
      <c r="AO10" s="27">
        <v>13.499999999999998</v>
      </c>
      <c r="AP10" s="28">
        <v>9</v>
      </c>
      <c r="AQ10" s="27">
        <f>SUMIF(BOM!$B:$B,원재료!$B10,BOM!E:E)</f>
        <v>0</v>
      </c>
      <c r="AR10" s="27">
        <f>SUMIF(BOM!$B:$B,원재료!$B10,BOM!F:F)</f>
        <v>0</v>
      </c>
      <c r="AS10" s="27">
        <f>SUMIF(BOM!$B:$B,원재료!$B10,BOM!G:G)</f>
        <v>0</v>
      </c>
      <c r="AT10" s="27">
        <f>SUMIF(BOM!$B:$B,원재료!$B10,BOM!H:H)</f>
        <v>0</v>
      </c>
      <c r="AU10" s="27">
        <f>SUMIF(BOM!$B:$B,원재료!$B10,BOM!I:I)</f>
        <v>6.7499999999999991</v>
      </c>
      <c r="AV10" s="27">
        <f>SUMIF(BOM!$B:$B,원재료!$B10,BOM!J:J)</f>
        <v>0</v>
      </c>
      <c r="AW10" s="27">
        <f>SUMIF(BOM!$B:$B,원재료!$B10,BOM!K:K)</f>
        <v>0</v>
      </c>
      <c r="AX10" s="27">
        <f>SUMIF(BOM!$B:$B,원재료!$B10,BOM!L:L)</f>
        <v>0</v>
      </c>
      <c r="AY10" s="27">
        <f>SUMIF(BOM!$B:$B,원재료!$B10,BOM!M:M)</f>
        <v>0</v>
      </c>
      <c r="AZ10" s="27">
        <f>SUMIF(BOM!$B:$B,원재료!$B10,BOM!N:N)</f>
        <v>0</v>
      </c>
      <c r="BA10" s="27">
        <f>SUMIF(BOM!$B:$B,원재료!$B10,BOM!O:O)</f>
        <v>0</v>
      </c>
      <c r="BB10" s="28">
        <f>SUMIF(BOM!$B:$B,원재료!$B10,BOM!P:P)</f>
        <v>0</v>
      </c>
    </row>
    <row r="11" spans="1:54" x14ac:dyDescent="0.3">
      <c r="A11" s="21" t="s">
        <v>122</v>
      </c>
      <c r="B11" s="81">
        <v>257311</v>
      </c>
      <c r="C11" s="81" t="s">
        <v>52</v>
      </c>
      <c r="D11" s="82">
        <v>10</v>
      </c>
      <c r="E11" s="99">
        <v>259000</v>
      </c>
      <c r="F11" s="22">
        <f t="shared" si="2"/>
        <v>9.23</v>
      </c>
      <c r="G11" s="22">
        <f t="shared" ref="G11:G43" si="19">+E11*F11</f>
        <v>2390570</v>
      </c>
      <c r="H11" s="22">
        <f>IFERROR(VLOOKUP(B11,'음성공장 재고장'!A:E,4,FALSE),0)</f>
        <v>9.23</v>
      </c>
      <c r="I11" s="22">
        <f t="shared" si="9"/>
        <v>2390570</v>
      </c>
      <c r="J11" s="95">
        <f>IFERROR(VLOOKUP(B11,'음성공장 재고장'!A:E,5,FALSE),0)</f>
        <v>45896</v>
      </c>
      <c r="K11" s="97">
        <f>IFERROR(VLOOKUP(B11,'음성공장 재고장'!A:F,6,FALSE),0)</f>
        <v>0</v>
      </c>
      <c r="L11" s="22">
        <f t="shared" si="10"/>
        <v>0</v>
      </c>
      <c r="M11" s="95" t="str">
        <f>IFERROR(VLOOKUP(B11,'음성공장 재고장'!A:G,7,FALSE),0)</f>
        <v>없음</v>
      </c>
      <c r="N11" s="22"/>
      <c r="O11" s="22">
        <f t="shared" si="15"/>
        <v>0</v>
      </c>
      <c r="P11" s="95"/>
      <c r="Q11" s="22">
        <f t="shared" ref="Q11:Q88" ca="1" si="20">IFERROR(R11/E11,0)</f>
        <v>7.79</v>
      </c>
      <c r="R11" s="123">
        <f t="shared" ca="1" si="3"/>
        <v>2017610</v>
      </c>
      <c r="S11" s="6">
        <f t="shared" si="11"/>
        <v>0.48000000000000009</v>
      </c>
      <c r="T11" s="63">
        <f t="shared" si="4"/>
        <v>19.229166666666664</v>
      </c>
      <c r="U11" s="48">
        <f t="shared" ca="1" si="12"/>
        <v>46379.875</v>
      </c>
      <c r="V11" s="50">
        <f t="shared" si="16"/>
        <v>45896</v>
      </c>
      <c r="W11" s="177">
        <f>8*7</f>
        <v>56</v>
      </c>
      <c r="X11" s="178">
        <v>10</v>
      </c>
      <c r="Y11" s="221">
        <f t="shared" si="17"/>
        <v>0.89600000000000024</v>
      </c>
      <c r="Z11" s="221" t="str">
        <f t="shared" ca="1" si="5"/>
        <v>X</v>
      </c>
      <c r="AA11" s="46" t="str">
        <f t="shared" ca="1" si="6"/>
        <v>X</v>
      </c>
      <c r="AB11" s="65" t="str">
        <f t="shared" ca="1" si="7"/>
        <v>C</v>
      </c>
      <c r="AC11" s="65">
        <f>COUNTIF(BOM!B:B,원재료!B11)</f>
        <v>2</v>
      </c>
      <c r="AD11" s="103" t="str">
        <f t="shared" ca="1" si="18"/>
        <v>소진계획필요</v>
      </c>
      <c r="AE11" s="27">
        <v>2.4</v>
      </c>
      <c r="AF11" s="27">
        <v>2.5499999999999998</v>
      </c>
      <c r="AG11" s="27">
        <v>1.2</v>
      </c>
      <c r="AH11" s="27">
        <v>0.8</v>
      </c>
      <c r="AI11" s="27">
        <v>0.22716152932131126</v>
      </c>
      <c r="AJ11" s="27">
        <v>3.4000000000000004</v>
      </c>
      <c r="AK11" s="27">
        <v>1.8</v>
      </c>
      <c r="AL11" s="27">
        <v>2.6999999999999997</v>
      </c>
      <c r="AM11" s="27">
        <v>1.6</v>
      </c>
      <c r="AN11" s="27">
        <v>2.4000000000000004</v>
      </c>
      <c r="AO11" s="27">
        <v>1.6</v>
      </c>
      <c r="AP11" s="28">
        <v>0.8</v>
      </c>
      <c r="AQ11" s="27">
        <f>SUMIF(BOM!$B:$B,원재료!$B11,BOM!E:E)</f>
        <v>0</v>
      </c>
      <c r="AR11" s="27">
        <f>SUMIF(BOM!$B:$B,원재료!$B11,BOM!F:F)</f>
        <v>0.8</v>
      </c>
      <c r="AS11" s="27">
        <f>SUMIF(BOM!$B:$B,원재료!$B11,BOM!G:G)</f>
        <v>0.8</v>
      </c>
      <c r="AT11" s="27">
        <f>SUMIF(BOM!$B:$B,원재료!$B11,BOM!H:H)</f>
        <v>0.8</v>
      </c>
      <c r="AU11" s="27">
        <f>SUMIF(BOM!$B:$B,원재료!$B11,BOM!I:I)</f>
        <v>0</v>
      </c>
      <c r="AV11" s="27">
        <f>SUMIF(BOM!$B:$B,원재료!$B11,BOM!J:J)</f>
        <v>0</v>
      </c>
      <c r="AW11" s="27">
        <f>SUMIF(BOM!$B:$B,원재료!$B11,BOM!K:K)</f>
        <v>0</v>
      </c>
      <c r="AX11" s="27">
        <f>SUMIF(BOM!$B:$B,원재료!$B11,BOM!L:L)</f>
        <v>0</v>
      </c>
      <c r="AY11" s="27">
        <f>SUMIF(BOM!$B:$B,원재료!$B11,BOM!M:M)</f>
        <v>0</v>
      </c>
      <c r="AZ11" s="27">
        <f>SUMIF(BOM!$B:$B,원재료!$B11,BOM!N:N)</f>
        <v>0</v>
      </c>
      <c r="BA11" s="27">
        <f>SUMIF(BOM!$B:$B,원재료!$B11,BOM!O:O)</f>
        <v>0</v>
      </c>
      <c r="BB11" s="28">
        <f>SUMIF(BOM!$B:$B,원재료!$B11,BOM!P:P)</f>
        <v>0</v>
      </c>
    </row>
    <row r="12" spans="1:54" x14ac:dyDescent="0.3">
      <c r="A12" s="21" t="s">
        <v>122</v>
      </c>
      <c r="B12" s="81">
        <v>255161</v>
      </c>
      <c r="C12" s="81" t="s">
        <v>53</v>
      </c>
      <c r="D12" s="82">
        <v>20</v>
      </c>
      <c r="E12" s="99">
        <v>14600</v>
      </c>
      <c r="F12" s="22">
        <f t="shared" si="2"/>
        <v>0</v>
      </c>
      <c r="G12" s="22">
        <f t="shared" si="19"/>
        <v>0</v>
      </c>
      <c r="H12" s="22">
        <f>IFERROR(VLOOKUP(B12,'음성공장 재고장'!A:E,4,FALSE),0)</f>
        <v>0</v>
      </c>
      <c r="I12" s="22">
        <f t="shared" si="9"/>
        <v>0</v>
      </c>
      <c r="J12" s="95" t="str">
        <f>IFERROR(VLOOKUP(B12,'음성공장 재고장'!A:E,5,FALSE),0)</f>
        <v>없음</v>
      </c>
      <c r="K12" s="97">
        <f>IFERROR(VLOOKUP(B12,'음성공장 재고장'!A:F,6,FALSE),0)</f>
        <v>0</v>
      </c>
      <c r="L12" s="22">
        <f t="shared" si="10"/>
        <v>0</v>
      </c>
      <c r="M12" s="95" t="str">
        <f>IFERROR(VLOOKUP(B12,'음성공장 재고장'!A:G,7,FALSE),0)</f>
        <v>없음</v>
      </c>
      <c r="N12" s="22"/>
      <c r="O12" s="22">
        <f t="shared" si="15"/>
        <v>0</v>
      </c>
      <c r="P12" s="95"/>
      <c r="Q12" s="22">
        <f t="shared" ca="1" si="20"/>
        <v>0</v>
      </c>
      <c r="R12" s="123">
        <f t="shared" ca="1" si="3"/>
        <v>0</v>
      </c>
      <c r="S12" s="6">
        <f t="shared" si="11"/>
        <v>0</v>
      </c>
      <c r="T12" s="63">
        <f t="shared" si="4"/>
        <v>0</v>
      </c>
      <c r="U12" s="48" t="str">
        <f t="shared" si="12"/>
        <v>재고없음</v>
      </c>
      <c r="V12" s="50" t="str">
        <f t="shared" si="16"/>
        <v>재고없음</v>
      </c>
      <c r="W12" s="177">
        <f>12*7</f>
        <v>84</v>
      </c>
      <c r="X12" s="178">
        <v>100</v>
      </c>
      <c r="Y12" s="221">
        <f t="shared" si="17"/>
        <v>0</v>
      </c>
      <c r="Z12" s="221">
        <f t="shared" ca="1" si="5"/>
        <v>0</v>
      </c>
      <c r="AA12" s="46">
        <f t="shared" si="6"/>
        <v>0</v>
      </c>
      <c r="AB12" s="65" t="str">
        <f t="shared" si="7"/>
        <v>-</v>
      </c>
      <c r="AC12" s="65">
        <f>COUNTIF(BOM!B:B,원재료!B12)</f>
        <v>1</v>
      </c>
      <c r="AD12" s="103" t="str">
        <f t="shared" si="18"/>
        <v>판매활성화</v>
      </c>
      <c r="AE12" s="27">
        <v>4</v>
      </c>
      <c r="AF12" s="27">
        <v>8</v>
      </c>
      <c r="AG12" s="27">
        <v>0</v>
      </c>
      <c r="AH12" s="27">
        <v>0</v>
      </c>
      <c r="AI12" s="27">
        <v>0</v>
      </c>
      <c r="AJ12" s="27">
        <v>0</v>
      </c>
      <c r="AK12" s="27">
        <v>4</v>
      </c>
      <c r="AL12" s="27">
        <v>0</v>
      </c>
      <c r="AM12" s="27">
        <v>0</v>
      </c>
      <c r="AN12" s="27">
        <v>0</v>
      </c>
      <c r="AO12" s="27">
        <v>0</v>
      </c>
      <c r="AP12" s="28">
        <v>0</v>
      </c>
      <c r="AQ12" s="27">
        <f>SUMIF(BOM!$B:$B,원재료!$B12,BOM!E:E)</f>
        <v>0</v>
      </c>
      <c r="AR12" s="27">
        <f>SUMIF(BOM!$B:$B,원재료!$B12,BOM!F:F)</f>
        <v>0</v>
      </c>
      <c r="AS12" s="27">
        <f>SUMIF(BOM!$B:$B,원재료!$B12,BOM!G:G)</f>
        <v>0</v>
      </c>
      <c r="AT12" s="27">
        <f>SUMIF(BOM!$B:$B,원재료!$B12,BOM!H:H)</f>
        <v>0</v>
      </c>
      <c r="AU12" s="27">
        <f>SUMIF(BOM!$B:$B,원재료!$B12,BOM!I:I)</f>
        <v>0</v>
      </c>
      <c r="AV12" s="27">
        <f>SUMIF(BOM!$B:$B,원재료!$B12,BOM!J:J)</f>
        <v>0</v>
      </c>
      <c r="AW12" s="27">
        <f>SUMIF(BOM!$B:$B,원재료!$B12,BOM!K:K)</f>
        <v>0</v>
      </c>
      <c r="AX12" s="27">
        <f>SUMIF(BOM!$B:$B,원재료!$B12,BOM!L:L)</f>
        <v>0</v>
      </c>
      <c r="AY12" s="27">
        <f>SUMIF(BOM!$B:$B,원재료!$B12,BOM!M:M)</f>
        <v>0</v>
      </c>
      <c r="AZ12" s="27">
        <f>SUMIF(BOM!$B:$B,원재료!$B12,BOM!N:N)</f>
        <v>0</v>
      </c>
      <c r="BA12" s="27">
        <f>SUMIF(BOM!$B:$B,원재료!$B12,BOM!O:O)</f>
        <v>0</v>
      </c>
      <c r="BB12" s="28">
        <f>SUMIF(BOM!$B:$B,원재료!$B12,BOM!P:P)</f>
        <v>0</v>
      </c>
    </row>
    <row r="13" spans="1:54" x14ac:dyDescent="0.3">
      <c r="A13" s="21" t="s">
        <v>122</v>
      </c>
      <c r="B13" s="81">
        <v>251371</v>
      </c>
      <c r="C13" s="81" t="s">
        <v>54</v>
      </c>
      <c r="D13" s="82">
        <v>25</v>
      </c>
      <c r="E13" s="99">
        <v>28000</v>
      </c>
      <c r="F13" s="22">
        <f t="shared" si="2"/>
        <v>195.4</v>
      </c>
      <c r="G13" s="22">
        <f t="shared" si="19"/>
        <v>5471200</v>
      </c>
      <c r="H13" s="22">
        <f>IFERROR(VLOOKUP(B13,'음성공장 재고장'!A:E,4,FALSE),0)</f>
        <v>20.399999999999999</v>
      </c>
      <c r="I13" s="22">
        <f t="shared" si="9"/>
        <v>571200</v>
      </c>
      <c r="J13" s="95">
        <f>IFERROR(VLOOKUP(B13,'음성공장 재고장'!A:E,5,FALSE),0)</f>
        <v>45986</v>
      </c>
      <c r="K13" s="97">
        <f>IFERROR(VLOOKUP(B13,'음성공장 재고장'!A:F,6,FALSE),0)</f>
        <v>0</v>
      </c>
      <c r="L13" s="22">
        <f t="shared" si="10"/>
        <v>0</v>
      </c>
      <c r="M13" s="95" t="str">
        <f>IFERROR(VLOOKUP(B13,'음성공장 재고장'!A:G,7,FALSE),0)</f>
        <v>없음</v>
      </c>
      <c r="N13" s="22">
        <v>175</v>
      </c>
      <c r="O13" s="22">
        <f t="shared" si="15"/>
        <v>4900000</v>
      </c>
      <c r="P13" s="89">
        <v>45986</v>
      </c>
      <c r="Q13" s="22">
        <f t="shared" ca="1" si="20"/>
        <v>69.399780487804875</v>
      </c>
      <c r="R13" s="123">
        <f t="shared" ca="1" si="3"/>
        <v>1943193.8536585364</v>
      </c>
      <c r="S13" s="6">
        <f t="shared" si="11"/>
        <v>21.000036585365855</v>
      </c>
      <c r="T13" s="63">
        <f>IFERROR(F13/S13,0)</f>
        <v>9.304745694403552</v>
      </c>
      <c r="U13" s="48">
        <f t="shared" ca="1" si="12"/>
        <v>46082.142370832109</v>
      </c>
      <c r="V13" s="50">
        <f t="shared" si="16"/>
        <v>45986</v>
      </c>
      <c r="W13" s="177">
        <v>45</v>
      </c>
      <c r="X13" s="178">
        <v>25</v>
      </c>
      <c r="Y13" s="221">
        <f t="shared" si="17"/>
        <v>31.500054878048783</v>
      </c>
      <c r="Z13" s="221" t="str">
        <f t="shared" ca="1" si="5"/>
        <v>X</v>
      </c>
      <c r="AA13" s="46" t="str">
        <f t="shared" ca="1" si="6"/>
        <v>X</v>
      </c>
      <c r="AB13" s="65" t="str">
        <f t="shared" ca="1" si="7"/>
        <v>C</v>
      </c>
      <c r="AC13" s="65">
        <f>COUNTIF(BOM!B:B,원재료!B13)</f>
        <v>6</v>
      </c>
      <c r="AD13" s="103" t="str">
        <f t="shared" ca="1" si="18"/>
        <v>소진계획필요</v>
      </c>
      <c r="AE13" s="27">
        <v>176.01948694404592</v>
      </c>
      <c r="AF13" s="27">
        <v>225.20323170731706</v>
      </c>
      <c r="AG13" s="27">
        <v>84.218023529411767</v>
      </c>
      <c r="AH13" s="27">
        <v>168.56</v>
      </c>
      <c r="AI13" s="27">
        <v>72.525000000000006</v>
      </c>
      <c r="AJ13" s="27">
        <v>121.70036585365854</v>
      </c>
      <c r="AK13" s="27">
        <v>144.60073170731707</v>
      </c>
      <c r="AL13" s="27">
        <v>106.40121951219513</v>
      </c>
      <c r="AM13" s="27">
        <v>103.00231707317074</v>
      </c>
      <c r="AN13" s="27">
        <v>84.300182926829279</v>
      </c>
      <c r="AO13" s="27">
        <v>95</v>
      </c>
      <c r="AP13" s="28">
        <v>54.4</v>
      </c>
      <c r="AQ13" s="27">
        <f>SUMIF(BOM!$B:$B,원재료!$B13,BOM!E:E)</f>
        <v>0</v>
      </c>
      <c r="AR13" s="27">
        <f>SUMIF(BOM!$B:$B,원재료!$B13,BOM!F:F)</f>
        <v>30.700182926829271</v>
      </c>
      <c r="AS13" s="27">
        <f>SUMIF(BOM!$B:$B,원재료!$B13,BOM!G:G)</f>
        <v>26.8</v>
      </c>
      <c r="AT13" s="27">
        <f>SUMIF(BOM!$B:$B,원재료!$B13,BOM!H:H)</f>
        <v>26.8</v>
      </c>
      <c r="AU13" s="27">
        <f>SUMIF(BOM!$B:$B,원재료!$B13,BOM!I:I)</f>
        <v>20.7</v>
      </c>
      <c r="AV13" s="27">
        <f>SUMIF(BOM!$B:$B,원재료!$B13,BOM!J:J)</f>
        <v>0</v>
      </c>
      <c r="AW13" s="27">
        <f>SUMIF(BOM!$B:$B,원재료!$B13,BOM!K:K)</f>
        <v>0</v>
      </c>
      <c r="AX13" s="27">
        <f>SUMIF(BOM!$B:$B,원재료!$B13,BOM!L:L)</f>
        <v>0</v>
      </c>
      <c r="AY13" s="27">
        <f>SUMIF(BOM!$B:$B,원재료!$B13,BOM!M:M)</f>
        <v>0</v>
      </c>
      <c r="AZ13" s="27">
        <f>SUMIF(BOM!$B:$B,원재료!$B13,BOM!N:N)</f>
        <v>0</v>
      </c>
      <c r="BA13" s="27">
        <f>SUMIF(BOM!$B:$B,원재료!$B13,BOM!O:O)</f>
        <v>0</v>
      </c>
      <c r="BB13" s="28">
        <f>SUMIF(BOM!$B:$B,원재료!$B13,BOM!P:P)</f>
        <v>0</v>
      </c>
    </row>
    <row r="14" spans="1:54" x14ac:dyDescent="0.3">
      <c r="A14" s="21" t="s">
        <v>122</v>
      </c>
      <c r="B14" s="81">
        <v>253582</v>
      </c>
      <c r="C14" s="81" t="s">
        <v>55</v>
      </c>
      <c r="D14" s="82">
        <v>15</v>
      </c>
      <c r="E14" s="99">
        <v>25000</v>
      </c>
      <c r="F14" s="22">
        <f t="shared" si="2"/>
        <v>16.73</v>
      </c>
      <c r="G14" s="22">
        <f t="shared" si="19"/>
        <v>418250</v>
      </c>
      <c r="H14" s="22">
        <f>IFERROR(VLOOKUP(B14,'음성공장 재고장'!A:E,4,FALSE),0)</f>
        <v>16.73</v>
      </c>
      <c r="I14" s="22">
        <f t="shared" si="9"/>
        <v>418250</v>
      </c>
      <c r="J14" s="95">
        <f>IFERROR(VLOOKUP(B14,'음성공장 재고장'!A:E,5,FALSE),0)</f>
        <v>46474</v>
      </c>
      <c r="K14" s="97">
        <f>IFERROR(VLOOKUP(B14,'음성공장 재고장'!A:F,6,FALSE),0)</f>
        <v>0</v>
      </c>
      <c r="L14" s="22">
        <f t="shared" si="10"/>
        <v>0</v>
      </c>
      <c r="M14" s="95" t="str">
        <f>IFERROR(VLOOKUP(B14,'음성공장 재고장'!A:G,7,FALSE),0)</f>
        <v>없음</v>
      </c>
      <c r="N14" s="22"/>
      <c r="O14" s="22">
        <f t="shared" si="15"/>
        <v>0</v>
      </c>
      <c r="P14" s="89"/>
      <c r="Q14" s="22">
        <f t="shared" ca="1" si="20"/>
        <v>0</v>
      </c>
      <c r="R14" s="123">
        <f t="shared" ca="1" si="3"/>
        <v>0</v>
      </c>
      <c r="S14" s="6">
        <f t="shared" si="11"/>
        <v>24.7745</v>
      </c>
      <c r="T14" s="63">
        <f t="shared" ref="T14:T70" si="21">IFERROR(F14/S14,0)</f>
        <v>0.67529112595612428</v>
      </c>
      <c r="U14" s="48">
        <f t="shared" ca="1" si="12"/>
        <v>45823.258733778683</v>
      </c>
      <c r="V14" s="50">
        <f t="shared" si="16"/>
        <v>46474</v>
      </c>
      <c r="W14" s="177">
        <v>0</v>
      </c>
      <c r="X14" s="178">
        <v>15</v>
      </c>
      <c r="Y14" s="221">
        <f t="shared" si="17"/>
        <v>0</v>
      </c>
      <c r="Z14" s="221" t="str">
        <f t="shared" ca="1" si="5"/>
        <v>X</v>
      </c>
      <c r="AA14" s="46" t="str">
        <f t="shared" ca="1" si="6"/>
        <v>O</v>
      </c>
      <c r="AB14" s="65" t="str">
        <f t="shared" ca="1" si="7"/>
        <v>A</v>
      </c>
      <c r="AC14" s="65">
        <f>COUNTIF(BOM!B:B,원재료!B14)</f>
        <v>6</v>
      </c>
      <c r="AD14" s="103" t="str">
        <f t="shared" ca="1" si="18"/>
        <v>판매활성화</v>
      </c>
      <c r="AE14" s="27">
        <v>147.05000000000001</v>
      </c>
      <c r="AF14" s="27">
        <v>57</v>
      </c>
      <c r="AG14" s="27">
        <v>0</v>
      </c>
      <c r="AH14" s="27">
        <v>247</v>
      </c>
      <c r="AI14" s="27">
        <v>174.876</v>
      </c>
      <c r="AJ14" s="27">
        <v>272.916</v>
      </c>
      <c r="AK14" s="27">
        <v>104.5</v>
      </c>
      <c r="AL14" s="27">
        <v>38</v>
      </c>
      <c r="AM14" s="27">
        <v>38</v>
      </c>
      <c r="AN14" s="27">
        <v>2.1802325581395348</v>
      </c>
      <c r="AO14" s="27">
        <v>38</v>
      </c>
      <c r="AP14" s="28">
        <v>76</v>
      </c>
      <c r="AQ14" s="27">
        <f>SUMIF(BOM!$B:$B,원재료!$B14,BOM!E:E)</f>
        <v>19.372499999999999</v>
      </c>
      <c r="AR14" s="27">
        <f>SUMIF(BOM!$B:$B,원재료!$B14,BOM!F:F)</f>
        <v>38</v>
      </c>
      <c r="AS14" s="27">
        <f>SUMIF(BOM!$B:$B,원재료!$B14,BOM!G:G)</f>
        <v>38</v>
      </c>
      <c r="AT14" s="27">
        <f>SUMIF(BOM!$B:$B,원재료!$B14,BOM!H:H)</f>
        <v>28.5</v>
      </c>
      <c r="AU14" s="27">
        <f>SUMIF(BOM!$B:$B,원재료!$B14,BOM!I:I)</f>
        <v>0</v>
      </c>
      <c r="AV14" s="27">
        <f>SUMIF(BOM!$B:$B,원재료!$B14,BOM!J:J)</f>
        <v>0</v>
      </c>
      <c r="AW14" s="27">
        <f>SUMIF(BOM!$B:$B,원재료!$B14,BOM!K:K)</f>
        <v>0</v>
      </c>
      <c r="AX14" s="27">
        <f>SUMIF(BOM!$B:$B,원재료!$B14,BOM!L:L)</f>
        <v>0</v>
      </c>
      <c r="AY14" s="27">
        <f>SUMIF(BOM!$B:$B,원재료!$B14,BOM!M:M)</f>
        <v>0</v>
      </c>
      <c r="AZ14" s="27">
        <f>SUMIF(BOM!$B:$B,원재료!$B14,BOM!N:N)</f>
        <v>0</v>
      </c>
      <c r="BA14" s="27">
        <f>SUMIF(BOM!$B:$B,원재료!$B14,BOM!O:O)</f>
        <v>0</v>
      </c>
      <c r="BB14" s="28">
        <f>SUMIF(BOM!$B:$B,원재료!$B14,BOM!P:P)</f>
        <v>0</v>
      </c>
    </row>
    <row r="15" spans="1:54" x14ac:dyDescent="0.3">
      <c r="A15" s="21" t="s">
        <v>122</v>
      </c>
      <c r="B15" s="81">
        <v>253595</v>
      </c>
      <c r="C15" s="81" t="s">
        <v>56</v>
      </c>
      <c r="D15" s="82">
        <v>20</v>
      </c>
      <c r="E15" s="99">
        <v>30700</v>
      </c>
      <c r="F15" s="22">
        <f t="shared" si="2"/>
        <v>1543.66</v>
      </c>
      <c r="G15" s="22">
        <f t="shared" si="19"/>
        <v>47390362</v>
      </c>
      <c r="H15" s="22">
        <f>IFERROR(VLOOKUP(B15,'음성공장 재고장'!A:E,4,FALSE),0)</f>
        <v>43.66</v>
      </c>
      <c r="I15" s="22">
        <f t="shared" si="9"/>
        <v>1340362</v>
      </c>
      <c r="J15" s="95">
        <f>IFERROR(VLOOKUP(B15,'음성공장 재고장'!A:E,5,FALSE),0)</f>
        <v>45941</v>
      </c>
      <c r="K15" s="97">
        <f>IFERROR(VLOOKUP(B15,'음성공장 재고장'!A:F,6,FALSE),0)</f>
        <v>0</v>
      </c>
      <c r="L15" s="22">
        <f t="shared" si="10"/>
        <v>0</v>
      </c>
      <c r="M15" s="95" t="str">
        <f>IFERROR(VLOOKUP(B15,'음성공장 재고장'!A:G,7,FALSE),0)</f>
        <v>없음</v>
      </c>
      <c r="N15" s="22">
        <v>1500</v>
      </c>
      <c r="O15" s="22">
        <f t="shared" si="15"/>
        <v>46050000</v>
      </c>
      <c r="P15" s="89">
        <v>46478</v>
      </c>
      <c r="Q15" s="22">
        <f t="shared" ca="1" si="20"/>
        <v>1399.96</v>
      </c>
      <c r="R15" s="123">
        <f t="shared" ca="1" si="3"/>
        <v>42978772</v>
      </c>
      <c r="S15" s="6">
        <f t="shared" si="11"/>
        <v>28.74</v>
      </c>
      <c r="T15" s="63">
        <f t="shared" si="21"/>
        <v>53.711203897007664</v>
      </c>
      <c r="U15" s="48">
        <f t="shared" ca="1" si="12"/>
        <v>47414.336116910228</v>
      </c>
      <c r="V15" s="50">
        <f t="shared" si="16"/>
        <v>45941</v>
      </c>
      <c r="W15" s="177">
        <f>5*30</f>
        <v>150</v>
      </c>
      <c r="X15" s="178">
        <v>20</v>
      </c>
      <c r="Y15" s="221">
        <f t="shared" si="17"/>
        <v>143.69999999999999</v>
      </c>
      <c r="Z15" s="221" t="str">
        <f t="shared" ca="1" si="5"/>
        <v>X</v>
      </c>
      <c r="AA15" s="46" t="str">
        <f t="shared" ca="1" si="6"/>
        <v>X</v>
      </c>
      <c r="AB15" s="65" t="str">
        <f t="shared" ca="1" si="7"/>
        <v>C</v>
      </c>
      <c r="AC15" s="65">
        <f>COUNTIF(BOM!B:B,원재료!B15)</f>
        <v>4</v>
      </c>
      <c r="AD15" s="103" t="str">
        <f t="shared" ca="1" si="18"/>
        <v>소진계획필요</v>
      </c>
      <c r="AE15" s="27">
        <v>175.2</v>
      </c>
      <c r="AF15" s="27">
        <v>237.59484</v>
      </c>
      <c r="AG15" s="27">
        <v>109.04839999999999</v>
      </c>
      <c r="AH15" s="27">
        <v>237.3656</v>
      </c>
      <c r="AI15" s="27">
        <v>95</v>
      </c>
      <c r="AJ15" s="27">
        <v>163.19999999999999</v>
      </c>
      <c r="AK15" s="27">
        <v>188.34839999999997</v>
      </c>
      <c r="AL15" s="27">
        <v>116.54483999999999</v>
      </c>
      <c r="AM15" s="27">
        <v>76.8</v>
      </c>
      <c r="AN15" s="27">
        <v>115.19999999999999</v>
      </c>
      <c r="AO15" s="27">
        <v>133.80000000000001</v>
      </c>
      <c r="AP15" s="28">
        <v>76.400000000000006</v>
      </c>
      <c r="AQ15" s="27">
        <f>SUMIF(BOM!$B:$B,원재료!$B15,BOM!E:E)</f>
        <v>0</v>
      </c>
      <c r="AR15" s="27">
        <f>SUMIF(BOM!$B:$B,원재료!$B15,BOM!F:F)</f>
        <v>38.4</v>
      </c>
      <c r="AS15" s="27">
        <f>SUMIF(BOM!$B:$B,원재료!$B15,BOM!G:G)</f>
        <v>38.4</v>
      </c>
      <c r="AT15" s="27">
        <f>SUMIF(BOM!$B:$B,원재료!$B15,BOM!H:H)</f>
        <v>38.4</v>
      </c>
      <c r="AU15" s="27">
        <f>SUMIF(BOM!$B:$B,원재료!$B15,BOM!I:I)</f>
        <v>28.5</v>
      </c>
      <c r="AV15" s="27">
        <f>SUMIF(BOM!$B:$B,원재료!$B15,BOM!J:J)</f>
        <v>0</v>
      </c>
      <c r="AW15" s="27">
        <f>SUMIF(BOM!$B:$B,원재료!$B15,BOM!K:K)</f>
        <v>0</v>
      </c>
      <c r="AX15" s="27">
        <f>SUMIF(BOM!$B:$B,원재료!$B15,BOM!L:L)</f>
        <v>0</v>
      </c>
      <c r="AY15" s="27">
        <f>SUMIF(BOM!$B:$B,원재료!$B15,BOM!M:M)</f>
        <v>0</v>
      </c>
      <c r="AZ15" s="27">
        <f>SUMIF(BOM!$B:$B,원재료!$B15,BOM!N:N)</f>
        <v>0</v>
      </c>
      <c r="BA15" s="27">
        <f>SUMIF(BOM!$B:$B,원재료!$B15,BOM!O:O)</f>
        <v>0</v>
      </c>
      <c r="BB15" s="28">
        <f>SUMIF(BOM!$B:$B,원재료!$B15,BOM!P:P)</f>
        <v>0</v>
      </c>
    </row>
    <row r="16" spans="1:54" x14ac:dyDescent="0.3">
      <c r="A16" s="21" t="s">
        <v>122</v>
      </c>
      <c r="B16" s="81">
        <v>255731</v>
      </c>
      <c r="C16" s="81" t="s">
        <v>57</v>
      </c>
      <c r="D16" s="82">
        <v>10</v>
      </c>
      <c r="E16" s="99">
        <v>27500</v>
      </c>
      <c r="F16" s="22">
        <f t="shared" si="2"/>
        <v>26.64</v>
      </c>
      <c r="G16" s="22">
        <f t="shared" si="19"/>
        <v>732600</v>
      </c>
      <c r="H16" s="22">
        <f>IFERROR(VLOOKUP(B16,'음성공장 재고장'!A:E,4,FALSE),0)</f>
        <v>26.64</v>
      </c>
      <c r="I16" s="22">
        <f t="shared" si="9"/>
        <v>732600</v>
      </c>
      <c r="J16" s="95">
        <f>IFERROR(VLOOKUP(B16,'음성공장 재고장'!A:E,5,FALSE),0)</f>
        <v>45902</v>
      </c>
      <c r="K16" s="97">
        <f>IFERROR(VLOOKUP(B16,'음성공장 재고장'!A:F,6,FALSE),0)</f>
        <v>0</v>
      </c>
      <c r="L16" s="22">
        <f t="shared" si="10"/>
        <v>0</v>
      </c>
      <c r="M16" s="95" t="str">
        <f>IFERROR(VLOOKUP(B16,'음성공장 재고장'!A:G,7,FALSE),0)</f>
        <v>없음</v>
      </c>
      <c r="N16" s="22"/>
      <c r="O16" s="22">
        <f t="shared" si="15"/>
        <v>0</v>
      </c>
      <c r="P16" s="89"/>
      <c r="Q16" s="22">
        <f t="shared" ca="1" si="20"/>
        <v>0</v>
      </c>
      <c r="R16" s="123">
        <f t="shared" ca="1" si="3"/>
        <v>0</v>
      </c>
      <c r="S16" s="6">
        <f t="shared" si="11"/>
        <v>14.4</v>
      </c>
      <c r="T16" s="63">
        <f t="shared" si="21"/>
        <v>1.85</v>
      </c>
      <c r="U16" s="48">
        <f t="shared" ca="1" si="12"/>
        <v>45858.5</v>
      </c>
      <c r="V16" s="50">
        <f t="shared" si="16"/>
        <v>45902</v>
      </c>
      <c r="W16" s="177">
        <v>0</v>
      </c>
      <c r="X16" s="178">
        <v>0</v>
      </c>
      <c r="Y16" s="221">
        <f t="shared" si="17"/>
        <v>0</v>
      </c>
      <c r="Z16" s="221" t="str">
        <f t="shared" ca="1" si="5"/>
        <v>X</v>
      </c>
      <c r="AA16" s="46" t="str">
        <f t="shared" ca="1" si="6"/>
        <v>O</v>
      </c>
      <c r="AB16" s="65" t="str">
        <f t="shared" ca="1" si="7"/>
        <v>B</v>
      </c>
      <c r="AC16" s="65">
        <f>COUNTIF(BOM!B:B,원재료!B16)</f>
        <v>3</v>
      </c>
      <c r="AD16" s="103" t="str">
        <f t="shared" ca="1" si="18"/>
        <v>판매활성화</v>
      </c>
      <c r="AE16" s="27">
        <v>148</v>
      </c>
      <c r="AF16" s="27">
        <v>233</v>
      </c>
      <c r="AG16" s="27">
        <v>46</v>
      </c>
      <c r="AH16" s="27">
        <v>100</v>
      </c>
      <c r="AI16" s="27">
        <v>66.630320821975261</v>
      </c>
      <c r="AJ16" s="27">
        <v>85</v>
      </c>
      <c r="AK16" s="27">
        <v>145</v>
      </c>
      <c r="AL16" s="27">
        <v>60</v>
      </c>
      <c r="AM16" s="27">
        <v>40</v>
      </c>
      <c r="AN16" s="27">
        <v>60</v>
      </c>
      <c r="AO16" s="27">
        <v>64</v>
      </c>
      <c r="AP16" s="28">
        <v>36</v>
      </c>
      <c r="AQ16" s="27">
        <f>SUMIF(BOM!$B:$B,원재료!$B16,BOM!E:E)</f>
        <v>0</v>
      </c>
      <c r="AR16" s="27">
        <f>SUMIF(BOM!$B:$B,원재료!$B16,BOM!F:F)</f>
        <v>20</v>
      </c>
      <c r="AS16" s="27">
        <f>SUMIF(BOM!$B:$B,원재료!$B16,BOM!G:G)</f>
        <v>20</v>
      </c>
      <c r="AT16" s="27">
        <f>SUMIF(BOM!$B:$B,원재료!$B16,BOM!H:H)</f>
        <v>20</v>
      </c>
      <c r="AU16" s="27">
        <f>SUMIF(BOM!$B:$B,원재료!$B16,BOM!I:I)</f>
        <v>12</v>
      </c>
      <c r="AV16" s="27">
        <f>SUMIF(BOM!$B:$B,원재료!$B16,BOM!J:J)</f>
        <v>0</v>
      </c>
      <c r="AW16" s="27">
        <f>SUMIF(BOM!$B:$B,원재료!$B16,BOM!K:K)</f>
        <v>0</v>
      </c>
      <c r="AX16" s="27">
        <f>SUMIF(BOM!$B:$B,원재료!$B16,BOM!L:L)</f>
        <v>0</v>
      </c>
      <c r="AY16" s="27">
        <f>SUMIF(BOM!$B:$B,원재료!$B16,BOM!M:M)</f>
        <v>0</v>
      </c>
      <c r="AZ16" s="27">
        <f>SUMIF(BOM!$B:$B,원재료!$B16,BOM!N:N)</f>
        <v>0</v>
      </c>
      <c r="BA16" s="27">
        <f>SUMIF(BOM!$B:$B,원재료!$B16,BOM!O:O)</f>
        <v>0</v>
      </c>
      <c r="BB16" s="28">
        <f>SUMIF(BOM!$B:$B,원재료!$B16,BOM!P:P)</f>
        <v>0</v>
      </c>
    </row>
    <row r="17" spans="1:54" x14ac:dyDescent="0.3">
      <c r="A17" s="21" t="s">
        <v>122</v>
      </c>
      <c r="B17" s="81">
        <v>254833</v>
      </c>
      <c r="C17" s="81" t="s">
        <v>58</v>
      </c>
      <c r="D17" s="82">
        <v>11.34</v>
      </c>
      <c r="E17" s="99">
        <v>6700.176366843034</v>
      </c>
      <c r="F17" s="22">
        <f t="shared" si="2"/>
        <v>7385.2</v>
      </c>
      <c r="G17" s="22">
        <f t="shared" si="19"/>
        <v>49482142.504409172</v>
      </c>
      <c r="H17" s="22">
        <f>IFERROR(VLOOKUP(B17,'음성공장 재고장'!A:E,4,FALSE),0)</f>
        <v>385.2</v>
      </c>
      <c r="I17" s="22">
        <f t="shared" si="9"/>
        <v>2580907.9365079366</v>
      </c>
      <c r="J17" s="95">
        <f>IFERROR(VLOOKUP(B17,'음성공장 재고장'!A:E,5,FALSE),0)</f>
        <v>46068</v>
      </c>
      <c r="K17" s="97">
        <f>IFERROR(VLOOKUP(B17,'음성공장 재고장'!A:F,6,FALSE),0)</f>
        <v>0</v>
      </c>
      <c r="L17" s="22">
        <f t="shared" si="10"/>
        <v>0</v>
      </c>
      <c r="M17" s="95" t="str">
        <f>IFERROR(VLOOKUP(B17,'음성공장 재고장'!A:G,7,FALSE),0)</f>
        <v>없음</v>
      </c>
      <c r="N17" s="97">
        <v>7000</v>
      </c>
      <c r="O17" s="22">
        <f t="shared" si="15"/>
        <v>46901234.567901239</v>
      </c>
      <c r="P17" s="95">
        <v>46266</v>
      </c>
      <c r="Q17" s="22">
        <f t="shared" ca="1" si="20"/>
        <v>7385.2</v>
      </c>
      <c r="R17" s="123">
        <f ca="1">IFERROR(IF(OR(V17&lt;U17,S17=0),G17-S17*E17*(ABS(MONTH($S$1)-MONTH(V17))),0),0)</f>
        <v>49482142.504409172</v>
      </c>
      <c r="S17" s="6">
        <f t="shared" si="11"/>
        <v>0</v>
      </c>
      <c r="T17" s="63">
        <f t="shared" si="21"/>
        <v>0</v>
      </c>
      <c r="U17" s="48" t="str">
        <f t="shared" si="12"/>
        <v>사용없음</v>
      </c>
      <c r="V17" s="50">
        <f t="shared" si="16"/>
        <v>46068</v>
      </c>
      <c r="W17" s="177">
        <f>3*30</f>
        <v>90</v>
      </c>
      <c r="X17" s="178">
        <v>0</v>
      </c>
      <c r="Y17" s="221">
        <f t="shared" si="17"/>
        <v>0</v>
      </c>
      <c r="Z17" s="221" t="str">
        <f t="shared" ca="1" si="5"/>
        <v>X</v>
      </c>
      <c r="AA17" s="46" t="str">
        <f t="shared" si="6"/>
        <v>X</v>
      </c>
      <c r="AB17" s="65" t="str">
        <f t="shared" si="7"/>
        <v>C</v>
      </c>
      <c r="AC17" s="65">
        <f>COUNTIF(BOM!B:B,원재료!B17)</f>
        <v>4</v>
      </c>
      <c r="AD17" s="103" t="str">
        <f t="shared" si="18"/>
        <v>소진계획필요</v>
      </c>
      <c r="AE17" s="27">
        <v>249</v>
      </c>
      <c r="AF17" s="27">
        <v>286.54145999999997</v>
      </c>
      <c r="AG17" s="27">
        <v>375.41459999999995</v>
      </c>
      <c r="AH17" s="27">
        <v>914.27639999999997</v>
      </c>
      <c r="AI17" s="27">
        <v>4814</v>
      </c>
      <c r="AJ17" s="27">
        <v>837.8</v>
      </c>
      <c r="AK17" s="27">
        <v>1039.4146000000001</v>
      </c>
      <c r="AL17" s="27">
        <v>447.54145999999997</v>
      </c>
      <c r="AM17" s="27">
        <v>0</v>
      </c>
      <c r="AN17" s="27">
        <v>124.8</v>
      </c>
      <c r="AO17" s="27">
        <v>0</v>
      </c>
      <c r="AP17" s="28">
        <v>332</v>
      </c>
      <c r="AQ17" s="27">
        <f>SUMIF(BOM!$B:$B,원재료!$B17,BOM!E:E)</f>
        <v>0</v>
      </c>
      <c r="AR17" s="27">
        <f>SUMIF(BOM!$B:$B,원재료!$B17,BOM!F:F)</f>
        <v>0</v>
      </c>
      <c r="AS17" s="27">
        <f>SUMIF(BOM!$B:$B,원재료!$B17,BOM!G:G)</f>
        <v>0</v>
      </c>
      <c r="AT17" s="27">
        <f>SUMIF(BOM!$B:$B,원재료!$B17,BOM!H:H)</f>
        <v>0</v>
      </c>
      <c r="AU17" s="27">
        <f>SUMIF(BOM!$B:$B,원재료!$B17,BOM!I:I)</f>
        <v>0</v>
      </c>
      <c r="AV17" s="27">
        <f>SUMIF(BOM!$B:$B,원재료!$B17,BOM!J:J)</f>
        <v>0</v>
      </c>
      <c r="AW17" s="27">
        <f>SUMIF(BOM!$B:$B,원재료!$B17,BOM!K:K)</f>
        <v>0</v>
      </c>
      <c r="AX17" s="27">
        <f>SUMIF(BOM!$B:$B,원재료!$B17,BOM!L:L)</f>
        <v>0</v>
      </c>
      <c r="AY17" s="27">
        <f>SUMIF(BOM!$B:$B,원재료!$B17,BOM!M:M)</f>
        <v>0</v>
      </c>
      <c r="AZ17" s="27">
        <f>SUMIF(BOM!$B:$B,원재료!$B17,BOM!N:N)</f>
        <v>0</v>
      </c>
      <c r="BA17" s="27">
        <f>SUMIF(BOM!$B:$B,원재료!$B17,BOM!O:O)</f>
        <v>0</v>
      </c>
      <c r="BB17" s="28">
        <f>SUMIF(BOM!$B:$B,원재료!$B17,BOM!P:P)</f>
        <v>0</v>
      </c>
    </row>
    <row r="18" spans="1:54" x14ac:dyDescent="0.3">
      <c r="A18" s="21" t="s">
        <v>122</v>
      </c>
      <c r="B18" s="81">
        <v>180592</v>
      </c>
      <c r="C18" s="81" t="s">
        <v>59</v>
      </c>
      <c r="D18" s="82">
        <v>11.34</v>
      </c>
      <c r="E18" s="99">
        <v>6700</v>
      </c>
      <c r="F18" s="22">
        <f t="shared" si="2"/>
        <v>118.7</v>
      </c>
      <c r="G18" s="22">
        <f t="shared" si="19"/>
        <v>795290</v>
      </c>
      <c r="H18" s="22">
        <f>IFERROR(VLOOKUP(B18,'음성공장 재고장'!A:E,4,FALSE),0)</f>
        <v>118.7</v>
      </c>
      <c r="I18" s="22">
        <f t="shared" si="9"/>
        <v>795290</v>
      </c>
      <c r="J18" s="95">
        <f>IFERROR(VLOOKUP(B18,'음성공장 재고장'!A:E,5,FALSE),0)</f>
        <v>46191</v>
      </c>
      <c r="K18" s="97">
        <f>IFERROR(VLOOKUP(B18,'음성공장 재고장'!A:F,6,FALSE),0)</f>
        <v>0</v>
      </c>
      <c r="L18" s="22">
        <f t="shared" si="10"/>
        <v>0</v>
      </c>
      <c r="M18" s="95" t="str">
        <f>IFERROR(VLOOKUP(B18,'음성공장 재고장'!A:G,7,FALSE),0)</f>
        <v>없음</v>
      </c>
      <c r="N18" s="22"/>
      <c r="O18" s="22">
        <f t="shared" si="15"/>
        <v>0</v>
      </c>
      <c r="P18" s="89"/>
      <c r="Q18" s="22">
        <f t="shared" ca="1" si="20"/>
        <v>0</v>
      </c>
      <c r="R18" s="123">
        <f t="shared" ca="1" si="3"/>
        <v>0</v>
      </c>
      <c r="S18" s="6">
        <f t="shared" si="11"/>
        <v>157.4</v>
      </c>
      <c r="T18" s="63">
        <f t="shared" si="21"/>
        <v>0.75412960609911051</v>
      </c>
      <c r="U18" s="48">
        <f t="shared" ca="1" si="12"/>
        <v>45825.62388818297</v>
      </c>
      <c r="V18" s="50">
        <f t="shared" si="16"/>
        <v>46191</v>
      </c>
      <c r="W18" s="177">
        <f>3*30</f>
        <v>90</v>
      </c>
      <c r="X18" s="178">
        <v>0</v>
      </c>
      <c r="Y18" s="221">
        <f t="shared" si="17"/>
        <v>472.2</v>
      </c>
      <c r="Z18" s="221" t="str">
        <f t="shared" ca="1" si="5"/>
        <v>O</v>
      </c>
      <c r="AA18" s="46" t="str">
        <f t="shared" ca="1" si="6"/>
        <v>O</v>
      </c>
      <c r="AB18" s="65" t="str">
        <f t="shared" ca="1" si="7"/>
        <v>A</v>
      </c>
      <c r="AC18" s="65">
        <f>COUNTIF(BOM!B:B,원재료!B18)</f>
        <v>5</v>
      </c>
      <c r="AD18" s="103" t="str">
        <f t="shared" ca="1" si="18"/>
        <v>판매활성화</v>
      </c>
      <c r="AE18" s="27">
        <v>781.2</v>
      </c>
      <c r="AF18" s="27">
        <v>313.5</v>
      </c>
      <c r="AG18" s="27">
        <v>140</v>
      </c>
      <c r="AH18" s="27">
        <v>1816</v>
      </c>
      <c r="AI18" s="27">
        <v>1573.1408401481792</v>
      </c>
      <c r="AJ18" s="27">
        <v>558</v>
      </c>
      <c r="AK18" s="27">
        <v>291</v>
      </c>
      <c r="AL18" s="27">
        <v>475.5</v>
      </c>
      <c r="AM18" s="27">
        <v>248</v>
      </c>
      <c r="AN18" s="27">
        <v>0</v>
      </c>
      <c r="AO18" s="27">
        <v>458</v>
      </c>
      <c r="AP18" s="28">
        <v>388</v>
      </c>
      <c r="AQ18" s="27">
        <f>SUMIF(BOM!$B:$B,원재료!$B18,BOM!E:E)</f>
        <v>0</v>
      </c>
      <c r="AR18" s="27">
        <f>SUMIF(BOM!$B:$B,원재료!$B18,BOM!F:F)</f>
        <v>248</v>
      </c>
      <c r="AS18" s="27">
        <f>SUMIF(BOM!$B:$B,원재료!$B18,BOM!G:G)</f>
        <v>248</v>
      </c>
      <c r="AT18" s="27">
        <f>SUMIF(BOM!$B:$B,원재료!$B18,BOM!H:H)</f>
        <v>186</v>
      </c>
      <c r="AU18" s="27">
        <f>SUMIF(BOM!$B:$B,원재료!$B18,BOM!I:I)</f>
        <v>105.00000000000001</v>
      </c>
      <c r="AV18" s="27">
        <f>SUMIF(BOM!$B:$B,원재료!$B18,BOM!J:J)</f>
        <v>0</v>
      </c>
      <c r="AW18" s="27">
        <f>SUMIF(BOM!$B:$B,원재료!$B18,BOM!K:K)</f>
        <v>0</v>
      </c>
      <c r="AX18" s="27">
        <f>SUMIF(BOM!$B:$B,원재료!$B18,BOM!L:L)</f>
        <v>0</v>
      </c>
      <c r="AY18" s="27">
        <f>SUMIF(BOM!$B:$B,원재료!$B18,BOM!M:M)</f>
        <v>0</v>
      </c>
      <c r="AZ18" s="27">
        <f>SUMIF(BOM!$B:$B,원재료!$B18,BOM!N:N)</f>
        <v>0</v>
      </c>
      <c r="BA18" s="27">
        <f>SUMIF(BOM!$B:$B,원재료!$B18,BOM!O:O)</f>
        <v>0</v>
      </c>
      <c r="BB18" s="28">
        <f>SUMIF(BOM!$B:$B,원재료!$B18,BOM!P:P)</f>
        <v>0</v>
      </c>
    </row>
    <row r="19" spans="1:54" x14ac:dyDescent="0.3">
      <c r="A19" s="21" t="s">
        <v>122</v>
      </c>
      <c r="B19" s="81">
        <v>253596</v>
      </c>
      <c r="C19" s="81" t="s">
        <v>60</v>
      </c>
      <c r="D19" s="82">
        <v>25</v>
      </c>
      <c r="E19" s="99">
        <v>37500</v>
      </c>
      <c r="F19" s="22">
        <f t="shared" si="2"/>
        <v>20.67</v>
      </c>
      <c r="G19" s="22">
        <f t="shared" si="19"/>
        <v>775125.00000000012</v>
      </c>
      <c r="H19" s="22">
        <f>IFERROR(VLOOKUP(B19,'음성공장 재고장'!A:E,4,FALSE),0)</f>
        <v>20.67</v>
      </c>
      <c r="I19" s="22">
        <f t="shared" si="9"/>
        <v>775125.00000000012</v>
      </c>
      <c r="J19" s="95">
        <f>IFERROR(VLOOKUP(B19,'음성공장 재고장'!A:E,5,FALSE),0)</f>
        <v>46633</v>
      </c>
      <c r="K19" s="97">
        <f>IFERROR(VLOOKUP(B19,'음성공장 재고장'!A:F,6,FALSE),0)</f>
        <v>0</v>
      </c>
      <c r="L19" s="22">
        <f t="shared" si="10"/>
        <v>0</v>
      </c>
      <c r="M19" s="95" t="str">
        <f>IFERROR(VLOOKUP(B19,'음성공장 재고장'!A:G,7,FALSE),0)</f>
        <v>없음</v>
      </c>
      <c r="N19" s="22"/>
      <c r="O19" s="22">
        <f t="shared" si="15"/>
        <v>0</v>
      </c>
      <c r="P19" s="89"/>
      <c r="Q19" s="22">
        <f t="shared" ca="1" si="20"/>
        <v>0</v>
      </c>
      <c r="R19" s="123">
        <f t="shared" ca="1" si="3"/>
        <v>0</v>
      </c>
      <c r="S19" s="6">
        <f t="shared" si="11"/>
        <v>20.159963414634145</v>
      </c>
      <c r="T19" s="63">
        <f t="shared" si="21"/>
        <v>1.0252994797101478</v>
      </c>
      <c r="U19" s="48">
        <f t="shared" ca="1" si="12"/>
        <v>45833.758984391301</v>
      </c>
      <c r="V19" s="50">
        <f t="shared" si="16"/>
        <v>46633</v>
      </c>
      <c r="W19" s="177">
        <v>45</v>
      </c>
      <c r="X19" s="178">
        <v>0</v>
      </c>
      <c r="Y19" s="221">
        <f t="shared" si="17"/>
        <v>30.239945121951219</v>
      </c>
      <c r="Z19" s="221" t="str">
        <f t="shared" ca="1" si="5"/>
        <v>O</v>
      </c>
      <c r="AA19" s="46" t="str">
        <f t="shared" ca="1" si="6"/>
        <v>O</v>
      </c>
      <c r="AB19" s="65" t="str">
        <f t="shared" ca="1" si="7"/>
        <v>B</v>
      </c>
      <c r="AC19" s="65">
        <f>COUNTIF(BOM!B:B,원재료!B19)</f>
        <v>7</v>
      </c>
      <c r="AD19" s="103" t="str">
        <f t="shared" ca="1" si="18"/>
        <v>판매활성화</v>
      </c>
      <c r="AE19" s="27">
        <v>158.56971305595408</v>
      </c>
      <c r="AF19" s="27">
        <v>182.62628829268294</v>
      </c>
      <c r="AG19" s="27">
        <v>87.266376470588227</v>
      </c>
      <c r="AH19" s="27">
        <v>128.1968</v>
      </c>
      <c r="AI19" s="27">
        <v>49.75</v>
      </c>
      <c r="AJ19" s="27">
        <v>124.99963414634146</v>
      </c>
      <c r="AK19" s="27">
        <v>125.09446829268292</v>
      </c>
      <c r="AL19" s="27">
        <v>104.62830048780488</v>
      </c>
      <c r="AM19" s="27">
        <v>93.99768292682927</v>
      </c>
      <c r="AN19" s="27">
        <v>86.999817073170732</v>
      </c>
      <c r="AO19" s="27">
        <v>83.6</v>
      </c>
      <c r="AP19" s="28">
        <v>46.4</v>
      </c>
      <c r="AQ19" s="27">
        <f>SUMIF(BOM!$B:$B,원재료!$B19,BOM!E:E)</f>
        <v>0</v>
      </c>
      <c r="AR19" s="27">
        <f>SUMIF(BOM!$B:$B,원재료!$B19,BOM!F:F)</f>
        <v>30.999817073170732</v>
      </c>
      <c r="AS19" s="27">
        <f>SUMIF(BOM!$B:$B,원재료!$B19,BOM!G:G)</f>
        <v>28</v>
      </c>
      <c r="AT19" s="27">
        <f>SUMIF(BOM!$B:$B,원재료!$B19,BOM!H:H)</f>
        <v>28</v>
      </c>
      <c r="AU19" s="27">
        <f>SUMIF(BOM!$B:$B,원재료!$B19,BOM!I:I)</f>
        <v>13.799999999999999</v>
      </c>
      <c r="AV19" s="27">
        <f>SUMIF(BOM!$B:$B,원재료!$B19,BOM!J:J)</f>
        <v>0</v>
      </c>
      <c r="AW19" s="27">
        <f>SUMIF(BOM!$B:$B,원재료!$B19,BOM!K:K)</f>
        <v>0</v>
      </c>
      <c r="AX19" s="27">
        <f>SUMIF(BOM!$B:$B,원재료!$B19,BOM!L:L)</f>
        <v>0</v>
      </c>
      <c r="AY19" s="27">
        <f>SUMIF(BOM!$B:$B,원재료!$B19,BOM!M:M)</f>
        <v>0</v>
      </c>
      <c r="AZ19" s="27">
        <f>SUMIF(BOM!$B:$B,원재료!$B19,BOM!N:N)</f>
        <v>0</v>
      </c>
      <c r="BA19" s="27">
        <f>SUMIF(BOM!$B:$B,원재료!$B19,BOM!O:O)</f>
        <v>0</v>
      </c>
      <c r="BB19" s="28">
        <f>SUMIF(BOM!$B:$B,원재료!$B19,BOM!P:P)</f>
        <v>0</v>
      </c>
    </row>
    <row r="20" spans="1:54" x14ac:dyDescent="0.3">
      <c r="A20" s="21" t="s">
        <v>122</v>
      </c>
      <c r="B20" s="81">
        <v>253471</v>
      </c>
      <c r="C20" s="81" t="s">
        <v>61</v>
      </c>
      <c r="D20" s="82">
        <v>15</v>
      </c>
      <c r="E20" s="99">
        <v>4050</v>
      </c>
      <c r="F20" s="22">
        <f t="shared" si="2"/>
        <v>210.4</v>
      </c>
      <c r="G20" s="22">
        <f t="shared" si="19"/>
        <v>852120</v>
      </c>
      <c r="H20" s="22">
        <f>IFERROR(VLOOKUP(B20,'음성공장 재고장'!A:E,4,FALSE),0)</f>
        <v>210.4</v>
      </c>
      <c r="I20" s="22">
        <f t="shared" si="9"/>
        <v>852120</v>
      </c>
      <c r="J20" s="95">
        <f>IFERROR(VLOOKUP(B20,'음성공장 재고장'!A:E,5,FALSE),0)</f>
        <v>45921</v>
      </c>
      <c r="K20" s="97">
        <f>IFERROR(VLOOKUP(B20,'음성공장 재고장'!A:F,6,FALSE),0)</f>
        <v>0</v>
      </c>
      <c r="L20" s="22">
        <f t="shared" si="10"/>
        <v>0</v>
      </c>
      <c r="M20" s="95" t="str">
        <f>IFERROR(VLOOKUP(B20,'음성공장 재고장'!A:G,7,FALSE),0)</f>
        <v>없음</v>
      </c>
      <c r="N20" s="22"/>
      <c r="O20" s="22">
        <f t="shared" si="15"/>
        <v>0</v>
      </c>
      <c r="P20" s="89"/>
      <c r="Q20" s="22">
        <f t="shared" ca="1" si="20"/>
        <v>210.4</v>
      </c>
      <c r="R20" s="123">
        <f t="shared" ca="1" si="3"/>
        <v>852120</v>
      </c>
      <c r="S20" s="6">
        <f t="shared" si="11"/>
        <v>0</v>
      </c>
      <c r="T20" s="63">
        <f t="shared" si="21"/>
        <v>0</v>
      </c>
      <c r="U20" s="48" t="str">
        <f t="shared" si="12"/>
        <v>사용없음</v>
      </c>
      <c r="V20" s="50">
        <f t="shared" si="16"/>
        <v>45921</v>
      </c>
      <c r="W20" s="177">
        <v>0</v>
      </c>
      <c r="X20" s="178">
        <v>0</v>
      </c>
      <c r="Y20" s="221">
        <f t="shared" si="17"/>
        <v>0</v>
      </c>
      <c r="Z20" s="221" t="str">
        <f t="shared" ca="1" si="5"/>
        <v>X</v>
      </c>
      <c r="AA20" s="46" t="str">
        <f t="shared" si="6"/>
        <v>X</v>
      </c>
      <c r="AB20" s="65" t="str">
        <f t="shared" si="7"/>
        <v>C</v>
      </c>
      <c r="AC20" s="65">
        <f>COUNTIF(BOM!B:B,원재료!B20)</f>
        <v>2</v>
      </c>
      <c r="AD20" s="103" t="str">
        <f t="shared" si="18"/>
        <v>소진계획필요</v>
      </c>
      <c r="AE20" s="27">
        <v>240</v>
      </c>
      <c r="AF20" s="27">
        <v>480</v>
      </c>
      <c r="AG20" s="27">
        <v>0</v>
      </c>
      <c r="AH20" s="27">
        <v>0</v>
      </c>
      <c r="AI20" s="27">
        <v>0</v>
      </c>
      <c r="AJ20" s="27">
        <v>7.7</v>
      </c>
      <c r="AK20" s="27">
        <v>240</v>
      </c>
      <c r="AL20" s="27">
        <v>77</v>
      </c>
      <c r="AM20" s="27">
        <v>0</v>
      </c>
      <c r="AN20" s="27">
        <v>123.2</v>
      </c>
      <c r="AO20" s="27">
        <v>0</v>
      </c>
      <c r="AP20" s="28">
        <v>0</v>
      </c>
      <c r="AQ20" s="27">
        <f>SUMIF(BOM!$B:$B,원재료!$B20,BOM!E:E)</f>
        <v>0</v>
      </c>
      <c r="AR20" s="27">
        <f>SUMIF(BOM!$B:$B,원재료!$B20,BOM!F:F)</f>
        <v>0</v>
      </c>
      <c r="AS20" s="27">
        <f>SUMIF(BOM!$B:$B,원재료!$B20,BOM!G:G)</f>
        <v>0</v>
      </c>
      <c r="AT20" s="27">
        <f>SUMIF(BOM!$B:$B,원재료!$B20,BOM!H:H)</f>
        <v>0</v>
      </c>
      <c r="AU20" s="27">
        <f>SUMIF(BOM!$B:$B,원재료!$B20,BOM!I:I)</f>
        <v>0</v>
      </c>
      <c r="AV20" s="27">
        <f>SUMIF(BOM!$B:$B,원재료!$B20,BOM!J:J)</f>
        <v>0</v>
      </c>
      <c r="AW20" s="27">
        <f>SUMIF(BOM!$B:$B,원재료!$B20,BOM!K:K)</f>
        <v>0</v>
      </c>
      <c r="AX20" s="27">
        <f>SUMIF(BOM!$B:$B,원재료!$B20,BOM!L:L)</f>
        <v>0</v>
      </c>
      <c r="AY20" s="27">
        <f>SUMIF(BOM!$B:$B,원재료!$B20,BOM!M:M)</f>
        <v>0</v>
      </c>
      <c r="AZ20" s="27">
        <f>SUMIF(BOM!$B:$B,원재료!$B20,BOM!N:N)</f>
        <v>0</v>
      </c>
      <c r="BA20" s="27">
        <f>SUMIF(BOM!$B:$B,원재료!$B20,BOM!O:O)</f>
        <v>0</v>
      </c>
      <c r="BB20" s="28">
        <f>SUMIF(BOM!$B:$B,원재료!$B20,BOM!P:P)</f>
        <v>0</v>
      </c>
    </row>
    <row r="21" spans="1:54" x14ac:dyDescent="0.3">
      <c r="A21" s="21" t="s">
        <v>122</v>
      </c>
      <c r="B21" s="81">
        <v>253594</v>
      </c>
      <c r="C21" s="81" t="s">
        <v>62</v>
      </c>
      <c r="D21" s="82">
        <v>25</v>
      </c>
      <c r="E21" s="99">
        <v>4220</v>
      </c>
      <c r="F21" s="22">
        <f>+H21+K21+N21</f>
        <v>98.33</v>
      </c>
      <c r="G21" s="22">
        <f t="shared" si="19"/>
        <v>414952.6</v>
      </c>
      <c r="H21" s="22">
        <f>IFERROR(VLOOKUP(B21,'음성공장 재고장'!A:E,4,FALSE),0)</f>
        <v>48.33</v>
      </c>
      <c r="I21" s="22">
        <f t="shared" si="9"/>
        <v>203952.6</v>
      </c>
      <c r="J21" s="95">
        <f>IFERROR(VLOOKUP(B21,'음성공장 재고장'!A:E,5,FALSE),0)</f>
        <v>46315</v>
      </c>
      <c r="K21" s="97">
        <f>IFERROR(VLOOKUP(B21,'음성공장 재고장'!A:F,6,FALSE),0)</f>
        <v>50</v>
      </c>
      <c r="L21" s="22">
        <f t="shared" si="10"/>
        <v>211000</v>
      </c>
      <c r="M21" s="95">
        <f>IFERROR(VLOOKUP(B21,'음성공장 재고장'!A:G,7,FALSE),0)</f>
        <v>46009</v>
      </c>
      <c r="N21" s="22"/>
      <c r="O21" s="22">
        <f>+$E21*N21</f>
        <v>0</v>
      </c>
      <c r="P21" s="89"/>
      <c r="Q21" s="22">
        <f t="shared" ca="1" si="20"/>
        <v>0</v>
      </c>
      <c r="R21" s="123">
        <f t="shared" ca="1" si="3"/>
        <v>0</v>
      </c>
      <c r="S21" s="6">
        <f t="shared" si="11"/>
        <v>28.542560600000002</v>
      </c>
      <c r="T21" s="63">
        <f t="shared" si="21"/>
        <v>3.445030786761297</v>
      </c>
      <c r="U21" s="48">
        <f t="shared" ca="1" si="12"/>
        <v>45906.35092360284</v>
      </c>
      <c r="V21" s="50">
        <f t="shared" si="16"/>
        <v>46009</v>
      </c>
      <c r="W21" s="177">
        <f>4*30</f>
        <v>120</v>
      </c>
      <c r="X21" s="178">
        <v>25</v>
      </c>
      <c r="Y21" s="221">
        <f t="shared" si="17"/>
        <v>114.17024240000001</v>
      </c>
      <c r="Z21" s="221" t="str">
        <f t="shared" ca="1" si="5"/>
        <v>O</v>
      </c>
      <c r="AA21" s="46" t="str">
        <f t="shared" ca="1" si="6"/>
        <v>O</v>
      </c>
      <c r="AB21" s="65" t="str">
        <f t="shared" ca="1" si="7"/>
        <v>B</v>
      </c>
      <c r="AC21" s="65">
        <f>COUNTIF(BOM!B:B,원재료!B21)</f>
        <v>7</v>
      </c>
      <c r="AD21" s="103" t="str">
        <f t="shared" ca="1" si="18"/>
        <v>판매활성화</v>
      </c>
      <c r="AE21" s="27">
        <v>128.5</v>
      </c>
      <c r="AF21" s="27">
        <v>112.5</v>
      </c>
      <c r="AG21" s="27">
        <v>30</v>
      </c>
      <c r="AH21" s="27">
        <v>181</v>
      </c>
      <c r="AI21" s="27">
        <v>115.244</v>
      </c>
      <c r="AJ21" s="27">
        <v>252.00399999999999</v>
      </c>
      <c r="AK21" s="27">
        <v>108.5</v>
      </c>
      <c r="AL21" s="27">
        <v>82</v>
      </c>
      <c r="AM21" s="27">
        <v>66</v>
      </c>
      <c r="AN21" s="27">
        <v>61.962209302325583</v>
      </c>
      <c r="AO21" s="27">
        <v>66</v>
      </c>
      <c r="AP21" s="28">
        <v>68</v>
      </c>
      <c r="AQ21" s="27">
        <f>SUMIF(BOM!$B:$B,원재료!$B21,BOM!E:E)</f>
        <v>11.212802999999999</v>
      </c>
      <c r="AR21" s="27">
        <f>SUMIF(BOM!$B:$B,원재료!$B21,BOM!F:F)</f>
        <v>46</v>
      </c>
      <c r="AS21" s="27">
        <f>SUMIF(BOM!$B:$B,원재료!$B21,BOM!G:G)</f>
        <v>46</v>
      </c>
      <c r="AT21" s="27">
        <f>SUMIF(BOM!$B:$B,원재료!$B21,BOM!H:H)</f>
        <v>39.5</v>
      </c>
      <c r="AU21" s="27">
        <f>SUMIF(BOM!$B:$B,원재료!$B21,BOM!I:I)</f>
        <v>0</v>
      </c>
      <c r="AV21" s="27">
        <f>SUMIF(BOM!$B:$B,원재료!$B21,BOM!J:J)</f>
        <v>0</v>
      </c>
      <c r="AW21" s="27">
        <f>SUMIF(BOM!$B:$B,원재료!$B21,BOM!K:K)</f>
        <v>0</v>
      </c>
      <c r="AX21" s="27">
        <f>SUMIF(BOM!$B:$B,원재료!$B21,BOM!L:L)</f>
        <v>0</v>
      </c>
      <c r="AY21" s="27">
        <f>SUMIF(BOM!$B:$B,원재료!$B21,BOM!M:M)</f>
        <v>0</v>
      </c>
      <c r="AZ21" s="27">
        <f>SUMIF(BOM!$B:$B,원재료!$B21,BOM!N:N)</f>
        <v>0</v>
      </c>
      <c r="BA21" s="27">
        <f>SUMIF(BOM!$B:$B,원재료!$B21,BOM!O:O)</f>
        <v>0</v>
      </c>
      <c r="BB21" s="28">
        <f>SUMIF(BOM!$B:$B,원재료!$B21,BOM!P:P)</f>
        <v>0</v>
      </c>
    </row>
    <row r="22" spans="1:54" x14ac:dyDescent="0.3">
      <c r="A22" s="21" t="s">
        <v>122</v>
      </c>
      <c r="B22" s="81">
        <v>194034</v>
      </c>
      <c r="C22" s="81" t="s">
        <v>63</v>
      </c>
      <c r="D22" s="82">
        <v>1</v>
      </c>
      <c r="E22" s="99">
        <v>39150</v>
      </c>
      <c r="F22" s="22">
        <f t="shared" si="2"/>
        <v>1.25</v>
      </c>
      <c r="G22" s="22">
        <f t="shared" si="19"/>
        <v>48937.5</v>
      </c>
      <c r="H22" s="22">
        <f>IFERROR(VLOOKUP(B22,'음성공장 재고장'!A:E,4,FALSE),0)</f>
        <v>1.25</v>
      </c>
      <c r="I22" s="22">
        <f t="shared" si="9"/>
        <v>48937.5</v>
      </c>
      <c r="J22" s="95">
        <f>IFERROR(VLOOKUP(B22,'음성공장 재고장'!A:E,5,FALSE),0)</f>
        <v>46009</v>
      </c>
      <c r="K22" s="97">
        <f>IFERROR(VLOOKUP(B22,'음성공장 재고장'!A:F,6,FALSE),0)</f>
        <v>0</v>
      </c>
      <c r="L22" s="22">
        <f t="shared" si="10"/>
        <v>0</v>
      </c>
      <c r="M22" s="95" t="str">
        <f>IFERROR(VLOOKUP(B22,'음성공장 재고장'!A:G,7,FALSE),0)</f>
        <v>없음</v>
      </c>
      <c r="N22" s="22"/>
      <c r="O22" s="22">
        <f t="shared" si="15"/>
        <v>0</v>
      </c>
      <c r="P22" s="89"/>
      <c r="Q22" s="22">
        <f t="shared" ca="1" si="20"/>
        <v>0</v>
      </c>
      <c r="R22" s="123">
        <f t="shared" ca="1" si="3"/>
        <v>0</v>
      </c>
      <c r="S22" s="6">
        <f t="shared" si="11"/>
        <v>2.04</v>
      </c>
      <c r="T22" s="63">
        <f t="shared" si="21"/>
        <v>0.61274509803921573</v>
      </c>
      <c r="U22" s="48">
        <f t="shared" ca="1" si="12"/>
        <v>45821.382352941175</v>
      </c>
      <c r="V22" s="50">
        <f t="shared" si="16"/>
        <v>46009</v>
      </c>
      <c r="W22" s="177">
        <v>0</v>
      </c>
      <c r="X22" s="178">
        <v>0</v>
      </c>
      <c r="Y22" s="221">
        <f t="shared" si="17"/>
        <v>0</v>
      </c>
      <c r="Z22" s="221" t="str">
        <f t="shared" ca="1" si="5"/>
        <v>X</v>
      </c>
      <c r="AA22" s="46" t="str">
        <f t="shared" ca="1" si="6"/>
        <v>O</v>
      </c>
      <c r="AB22" s="65" t="str">
        <f t="shared" ca="1" si="7"/>
        <v>A</v>
      </c>
      <c r="AC22" s="65">
        <f>COUNTIF(BOM!B:B,원재료!B22)</f>
        <v>3</v>
      </c>
      <c r="AD22" s="103" t="str">
        <f t="shared" ca="1" si="18"/>
        <v>판매활성화</v>
      </c>
      <c r="AE22" s="27">
        <v>15.399999999999999</v>
      </c>
      <c r="AF22" s="27">
        <v>18.8</v>
      </c>
      <c r="AG22" s="27">
        <v>5.0999999999999996</v>
      </c>
      <c r="AH22" s="27">
        <v>3.4</v>
      </c>
      <c r="AI22" s="27">
        <v>0</v>
      </c>
      <c r="AJ22" s="27">
        <v>14.45</v>
      </c>
      <c r="AK22" s="27">
        <v>12.849999999999998</v>
      </c>
      <c r="AL22" s="27">
        <v>10.199999999999999</v>
      </c>
      <c r="AM22" s="27">
        <v>6.8</v>
      </c>
      <c r="AN22" s="27">
        <v>10.199999999999999</v>
      </c>
      <c r="AO22" s="27">
        <v>6.8</v>
      </c>
      <c r="AP22" s="28">
        <v>3.4</v>
      </c>
      <c r="AQ22" s="27">
        <f>SUMIF(BOM!$B:$B,원재료!$B22,BOM!E:E)</f>
        <v>0</v>
      </c>
      <c r="AR22" s="27">
        <f>SUMIF(BOM!$B:$B,원재료!$B22,BOM!F:F)</f>
        <v>3.4</v>
      </c>
      <c r="AS22" s="27">
        <f>SUMIF(BOM!$B:$B,원재료!$B22,BOM!G:G)</f>
        <v>3.4</v>
      </c>
      <c r="AT22" s="27">
        <f>SUMIF(BOM!$B:$B,원재료!$B22,BOM!H:H)</f>
        <v>3.4</v>
      </c>
      <c r="AU22" s="27">
        <f>SUMIF(BOM!$B:$B,원재료!$B22,BOM!I:I)</f>
        <v>0</v>
      </c>
      <c r="AV22" s="27">
        <f>SUMIF(BOM!$B:$B,원재료!$B22,BOM!J:J)</f>
        <v>0</v>
      </c>
      <c r="AW22" s="27">
        <f>SUMIF(BOM!$B:$B,원재료!$B22,BOM!K:K)</f>
        <v>0</v>
      </c>
      <c r="AX22" s="27">
        <f>SUMIF(BOM!$B:$B,원재료!$B22,BOM!L:L)</f>
        <v>0</v>
      </c>
      <c r="AY22" s="27">
        <f>SUMIF(BOM!$B:$B,원재료!$B22,BOM!M:M)</f>
        <v>0</v>
      </c>
      <c r="AZ22" s="27">
        <f>SUMIF(BOM!$B:$B,원재료!$B22,BOM!N:N)</f>
        <v>0</v>
      </c>
      <c r="BA22" s="27">
        <f>SUMIF(BOM!$B:$B,원재료!$B22,BOM!O:O)</f>
        <v>0</v>
      </c>
      <c r="BB22" s="28">
        <f>SUMIF(BOM!$B:$B,원재료!$B22,BOM!P:P)</f>
        <v>0</v>
      </c>
    </row>
    <row r="23" spans="1:54" x14ac:dyDescent="0.3">
      <c r="A23" s="21" t="s">
        <v>122</v>
      </c>
      <c r="B23" s="81">
        <v>259263</v>
      </c>
      <c r="C23" s="81" t="s">
        <v>64</v>
      </c>
      <c r="D23" s="82">
        <v>20</v>
      </c>
      <c r="E23" s="99">
        <v>8900</v>
      </c>
      <c r="F23" s="22">
        <f t="shared" si="2"/>
        <v>13.65</v>
      </c>
      <c r="G23" s="22">
        <f t="shared" si="19"/>
        <v>121485</v>
      </c>
      <c r="H23" s="22">
        <f>IFERROR(VLOOKUP(B23,'음성공장 재고장'!A:E,4,FALSE),0)</f>
        <v>13.65</v>
      </c>
      <c r="I23" s="22">
        <f t="shared" si="9"/>
        <v>121485</v>
      </c>
      <c r="J23" s="95">
        <f>IFERROR(VLOOKUP(B23,'음성공장 재고장'!A:E,5,FALSE),0)</f>
        <v>46253</v>
      </c>
      <c r="K23" s="97">
        <f>IFERROR(VLOOKUP(B23,'음성공장 재고장'!A:F,6,FALSE),0)</f>
        <v>0</v>
      </c>
      <c r="L23" s="22">
        <f t="shared" si="10"/>
        <v>0</v>
      </c>
      <c r="M23" s="95" t="str">
        <f>IFERROR(VLOOKUP(B23,'음성공장 재고장'!A:G,7,FALSE),0)</f>
        <v>없음</v>
      </c>
      <c r="N23" s="22"/>
      <c r="O23" s="22">
        <f t="shared" si="15"/>
        <v>0</v>
      </c>
      <c r="P23" s="89"/>
      <c r="Q23" s="22">
        <f t="shared" ca="1" si="20"/>
        <v>0</v>
      </c>
      <c r="R23" s="123">
        <f t="shared" ca="1" si="3"/>
        <v>0</v>
      </c>
      <c r="S23" s="6">
        <f t="shared" si="11"/>
        <v>26.250307167235498</v>
      </c>
      <c r="T23" s="63">
        <f t="shared" si="21"/>
        <v>0.51999391523453642</v>
      </c>
      <c r="U23" s="48">
        <f t="shared" ca="1" si="12"/>
        <v>45818.599817457034</v>
      </c>
      <c r="V23" s="50">
        <f t="shared" si="16"/>
        <v>46253</v>
      </c>
      <c r="W23" s="177">
        <v>0</v>
      </c>
      <c r="X23" s="178">
        <v>0</v>
      </c>
      <c r="Y23" s="221">
        <f t="shared" si="17"/>
        <v>0</v>
      </c>
      <c r="Z23" s="221" t="str">
        <f t="shared" ca="1" si="5"/>
        <v>X</v>
      </c>
      <c r="AA23" s="46" t="str">
        <f t="shared" ca="1" si="6"/>
        <v>O</v>
      </c>
      <c r="AB23" s="65" t="str">
        <f t="shared" ca="1" si="7"/>
        <v>A</v>
      </c>
      <c r="AC23" s="65">
        <f>COUNTIF(BOM!B:B,원재료!B23)</f>
        <v>5</v>
      </c>
      <c r="AD23" s="103" t="str">
        <f t="shared" ca="1" si="18"/>
        <v>판매활성화</v>
      </c>
      <c r="AE23" s="27">
        <v>250.0122866894198</v>
      </c>
      <c r="AF23" s="27">
        <v>290.46535310580202</v>
      </c>
      <c r="AG23" s="27">
        <v>116.8822</v>
      </c>
      <c r="AH23" s="27">
        <v>51.254800000000003</v>
      </c>
      <c r="AI23" s="27">
        <v>17.753547214650172</v>
      </c>
      <c r="AJ23" s="27">
        <v>192.50307167235493</v>
      </c>
      <c r="AK23" s="27">
        <v>151.88834334470988</v>
      </c>
      <c r="AL23" s="27">
        <v>222.19845890784984</v>
      </c>
      <c r="AM23" s="27">
        <v>222.51945392491467</v>
      </c>
      <c r="AN23" s="27">
        <v>131.25153583617748</v>
      </c>
      <c r="AO23" s="27">
        <v>80</v>
      </c>
      <c r="AP23" s="28">
        <v>40</v>
      </c>
      <c r="AQ23" s="27">
        <f>SUMIF(BOM!$B:$B,원재료!$B23,BOM!E:E)</f>
        <v>0</v>
      </c>
      <c r="AR23" s="27">
        <f>SUMIF(BOM!$B:$B,원재료!$B23,BOM!F:F)</f>
        <v>51.251535836177474</v>
      </c>
      <c r="AS23" s="27">
        <f>SUMIF(BOM!$B:$B,원재료!$B23,BOM!G:G)</f>
        <v>40</v>
      </c>
      <c r="AT23" s="27">
        <f>SUMIF(BOM!$B:$B,원재료!$B23,BOM!H:H)</f>
        <v>40</v>
      </c>
      <c r="AU23" s="27">
        <f>SUMIF(BOM!$B:$B,원재료!$B23,BOM!I:I)</f>
        <v>0</v>
      </c>
      <c r="AV23" s="27">
        <f>SUMIF(BOM!$B:$B,원재료!$B23,BOM!J:J)</f>
        <v>0</v>
      </c>
      <c r="AW23" s="27">
        <f>SUMIF(BOM!$B:$B,원재료!$B23,BOM!K:K)</f>
        <v>0</v>
      </c>
      <c r="AX23" s="27">
        <f>SUMIF(BOM!$B:$B,원재료!$B23,BOM!L:L)</f>
        <v>0</v>
      </c>
      <c r="AY23" s="27">
        <f>SUMIF(BOM!$B:$B,원재료!$B23,BOM!M:M)</f>
        <v>0</v>
      </c>
      <c r="AZ23" s="27">
        <f>SUMIF(BOM!$B:$B,원재료!$B23,BOM!N:N)</f>
        <v>0</v>
      </c>
      <c r="BA23" s="27">
        <f>SUMIF(BOM!$B:$B,원재료!$B23,BOM!O:O)</f>
        <v>0</v>
      </c>
      <c r="BB23" s="28">
        <f>SUMIF(BOM!$B:$B,원재료!$B23,BOM!P:P)</f>
        <v>0</v>
      </c>
    </row>
    <row r="24" spans="1:54" x14ac:dyDescent="0.3">
      <c r="A24" s="21" t="s">
        <v>122</v>
      </c>
      <c r="B24" s="81">
        <v>259262</v>
      </c>
      <c r="C24" s="81" t="s">
        <v>65</v>
      </c>
      <c r="D24" s="82">
        <v>20</v>
      </c>
      <c r="E24" s="99">
        <v>7200</v>
      </c>
      <c r="F24" s="22">
        <f t="shared" si="2"/>
        <v>5.46</v>
      </c>
      <c r="G24" s="22">
        <f t="shared" si="19"/>
        <v>39312</v>
      </c>
      <c r="H24" s="22">
        <f>IFERROR(VLOOKUP(B24,'음성공장 재고장'!A:E,4,FALSE),0)</f>
        <v>5.46</v>
      </c>
      <c r="I24" s="22">
        <f t="shared" si="9"/>
        <v>39312</v>
      </c>
      <c r="J24" s="95">
        <f>IFERROR(VLOOKUP(B24,'음성공장 재고장'!A:E,5,FALSE),0)</f>
        <v>45950</v>
      </c>
      <c r="K24" s="97">
        <f>IFERROR(VLOOKUP(B24,'음성공장 재고장'!A:F,6,FALSE),0)</f>
        <v>0</v>
      </c>
      <c r="L24" s="22">
        <f t="shared" si="10"/>
        <v>0</v>
      </c>
      <c r="M24" s="95" t="str">
        <f>IFERROR(VLOOKUP(B24,'음성공장 재고장'!A:G,7,FALSE),0)</f>
        <v>없음</v>
      </c>
      <c r="N24" s="22"/>
      <c r="O24" s="22">
        <f t="shared" si="15"/>
        <v>0</v>
      </c>
      <c r="P24" s="89"/>
      <c r="Q24" s="22">
        <f t="shared" ca="1" si="20"/>
        <v>0</v>
      </c>
      <c r="R24" s="123">
        <f t="shared" ca="1" si="3"/>
        <v>0</v>
      </c>
      <c r="S24" s="6">
        <f t="shared" si="11"/>
        <v>12</v>
      </c>
      <c r="T24" s="63">
        <f t="shared" si="21"/>
        <v>0.45500000000000002</v>
      </c>
      <c r="U24" s="48">
        <f t="shared" ca="1" si="12"/>
        <v>45816.65</v>
      </c>
      <c r="V24" s="50">
        <f t="shared" si="16"/>
        <v>45950</v>
      </c>
      <c r="W24" s="177">
        <v>0</v>
      </c>
      <c r="X24" s="178">
        <v>0</v>
      </c>
      <c r="Y24" s="221">
        <f t="shared" si="17"/>
        <v>0</v>
      </c>
      <c r="Z24" s="221" t="str">
        <f t="shared" ca="1" si="5"/>
        <v>X</v>
      </c>
      <c r="AA24" s="46" t="str">
        <f t="shared" ca="1" si="6"/>
        <v>O</v>
      </c>
      <c r="AB24" s="65" t="str">
        <f t="shared" ca="1" si="7"/>
        <v>A</v>
      </c>
      <c r="AC24" s="65">
        <f>COUNTIF(BOM!B:B,원재료!B24)</f>
        <v>1</v>
      </c>
      <c r="AD24" s="103" t="str">
        <f t="shared" ca="1" si="18"/>
        <v>판매활성화</v>
      </c>
      <c r="AE24" s="27">
        <v>60</v>
      </c>
      <c r="AF24" s="27">
        <v>45</v>
      </c>
      <c r="AG24" s="27">
        <v>30</v>
      </c>
      <c r="AH24" s="27">
        <v>20</v>
      </c>
      <c r="AI24" s="27">
        <v>0</v>
      </c>
      <c r="AJ24" s="27">
        <v>85</v>
      </c>
      <c r="AK24" s="27">
        <v>45</v>
      </c>
      <c r="AL24" s="27">
        <v>60</v>
      </c>
      <c r="AM24" s="27">
        <v>40</v>
      </c>
      <c r="AN24" s="27">
        <v>60</v>
      </c>
      <c r="AO24" s="27">
        <v>40</v>
      </c>
      <c r="AP24" s="28">
        <v>20</v>
      </c>
      <c r="AQ24" s="27">
        <f>SUMIF(BOM!$B:$B,원재료!$B24,BOM!E:E)</f>
        <v>0</v>
      </c>
      <c r="AR24" s="27">
        <f>SUMIF(BOM!$B:$B,원재료!$B24,BOM!F:F)</f>
        <v>20</v>
      </c>
      <c r="AS24" s="27">
        <f>SUMIF(BOM!$B:$B,원재료!$B24,BOM!G:G)</f>
        <v>20</v>
      </c>
      <c r="AT24" s="27">
        <f>SUMIF(BOM!$B:$B,원재료!$B24,BOM!H:H)</f>
        <v>20</v>
      </c>
      <c r="AU24" s="27">
        <f>SUMIF(BOM!$B:$B,원재료!$B24,BOM!I:I)</f>
        <v>0</v>
      </c>
      <c r="AV24" s="27">
        <f>SUMIF(BOM!$B:$B,원재료!$B24,BOM!J:J)</f>
        <v>0</v>
      </c>
      <c r="AW24" s="27">
        <f>SUMIF(BOM!$B:$B,원재료!$B24,BOM!K:K)</f>
        <v>0</v>
      </c>
      <c r="AX24" s="27">
        <f>SUMIF(BOM!$B:$B,원재료!$B24,BOM!L:L)</f>
        <v>0</v>
      </c>
      <c r="AY24" s="27">
        <f>SUMIF(BOM!$B:$B,원재료!$B24,BOM!M:M)</f>
        <v>0</v>
      </c>
      <c r="AZ24" s="27">
        <f>SUMIF(BOM!$B:$B,원재료!$B24,BOM!N:N)</f>
        <v>0</v>
      </c>
      <c r="BA24" s="27">
        <f>SUMIF(BOM!$B:$B,원재료!$B24,BOM!O:O)</f>
        <v>0</v>
      </c>
      <c r="BB24" s="28">
        <f>SUMIF(BOM!$B:$B,원재료!$B24,BOM!P:P)</f>
        <v>0</v>
      </c>
    </row>
    <row r="25" spans="1:54" x14ac:dyDescent="0.3">
      <c r="A25" s="21" t="s">
        <v>122</v>
      </c>
      <c r="B25" s="81">
        <v>257816</v>
      </c>
      <c r="C25" s="81" t="s">
        <v>66</v>
      </c>
      <c r="D25" s="82">
        <v>25</v>
      </c>
      <c r="E25" s="99">
        <v>27000</v>
      </c>
      <c r="F25" s="22">
        <f t="shared" si="2"/>
        <v>11.4</v>
      </c>
      <c r="G25" s="22">
        <f t="shared" si="19"/>
        <v>307800</v>
      </c>
      <c r="H25" s="22">
        <f>IFERROR(VLOOKUP(B25,'음성공장 재고장'!A:E,4,FALSE),0)</f>
        <v>11.4</v>
      </c>
      <c r="I25" s="22">
        <f t="shared" si="9"/>
        <v>307800</v>
      </c>
      <c r="J25" s="95">
        <f>IFERROR(VLOOKUP(B25,'음성공장 재고장'!A:E,5,FALSE),0)</f>
        <v>46200</v>
      </c>
      <c r="K25" s="97">
        <f>IFERROR(VLOOKUP(B25,'음성공장 재고장'!A:F,6,FALSE),0)</f>
        <v>0</v>
      </c>
      <c r="L25" s="22">
        <f t="shared" si="10"/>
        <v>0</v>
      </c>
      <c r="M25" s="95" t="str">
        <f>IFERROR(VLOOKUP(B25,'음성공장 재고장'!A:G,7,FALSE),0)</f>
        <v>없음</v>
      </c>
      <c r="N25" s="22"/>
      <c r="O25" s="22">
        <f t="shared" si="15"/>
        <v>0</v>
      </c>
      <c r="P25" s="89"/>
      <c r="Q25" s="22">
        <f t="shared" ca="1" si="20"/>
        <v>0</v>
      </c>
      <c r="R25" s="123">
        <f t="shared" ca="1" si="3"/>
        <v>0</v>
      </c>
      <c r="S25" s="6">
        <f t="shared" si="11"/>
        <v>8.4</v>
      </c>
      <c r="T25" s="63">
        <f t="shared" si="21"/>
        <v>1.3571428571428572</v>
      </c>
      <c r="U25" s="48">
        <f t="shared" ca="1" si="12"/>
        <v>45843.714285714283</v>
      </c>
      <c r="V25" s="50">
        <f t="shared" si="16"/>
        <v>46200</v>
      </c>
      <c r="W25" s="177">
        <v>45</v>
      </c>
      <c r="X25" s="178">
        <v>0</v>
      </c>
      <c r="Y25" s="221">
        <f t="shared" si="17"/>
        <v>12.6</v>
      </c>
      <c r="Z25" s="221" t="str">
        <f t="shared" ca="1" si="5"/>
        <v>O</v>
      </c>
      <c r="AA25" s="46" t="str">
        <f t="shared" ca="1" si="6"/>
        <v>O</v>
      </c>
      <c r="AB25" s="65" t="str">
        <f t="shared" ca="1" si="7"/>
        <v>B</v>
      </c>
      <c r="AC25" s="65">
        <f>COUNTIF(BOM!B:B,원재료!B25)</f>
        <v>1</v>
      </c>
      <c r="AD25" s="103" t="str">
        <f t="shared" ca="1" si="18"/>
        <v>판매활성화</v>
      </c>
      <c r="AE25" s="27">
        <v>42</v>
      </c>
      <c r="AF25" s="27">
        <v>31.5</v>
      </c>
      <c r="AG25" s="27">
        <v>21</v>
      </c>
      <c r="AH25" s="27">
        <v>14</v>
      </c>
      <c r="AI25" s="27">
        <v>0</v>
      </c>
      <c r="AJ25" s="27">
        <v>59.5</v>
      </c>
      <c r="AK25" s="27">
        <v>31.5</v>
      </c>
      <c r="AL25" s="27">
        <v>42</v>
      </c>
      <c r="AM25" s="27">
        <v>28</v>
      </c>
      <c r="AN25" s="27">
        <v>42</v>
      </c>
      <c r="AO25" s="27">
        <v>28</v>
      </c>
      <c r="AP25" s="28">
        <v>14</v>
      </c>
      <c r="AQ25" s="27">
        <f>SUMIF(BOM!$B:$B,원재료!$B25,BOM!E:E)</f>
        <v>0</v>
      </c>
      <c r="AR25" s="27">
        <f>SUMIF(BOM!$B:$B,원재료!$B25,BOM!F:F)</f>
        <v>14</v>
      </c>
      <c r="AS25" s="27">
        <f>SUMIF(BOM!$B:$B,원재료!$B25,BOM!G:G)</f>
        <v>14</v>
      </c>
      <c r="AT25" s="27">
        <f>SUMIF(BOM!$B:$B,원재료!$B25,BOM!H:H)</f>
        <v>14</v>
      </c>
      <c r="AU25" s="27">
        <f>SUMIF(BOM!$B:$B,원재료!$B25,BOM!I:I)</f>
        <v>0</v>
      </c>
      <c r="AV25" s="27">
        <f>SUMIF(BOM!$B:$B,원재료!$B25,BOM!J:J)</f>
        <v>0</v>
      </c>
      <c r="AW25" s="27">
        <f>SUMIF(BOM!$B:$B,원재료!$B25,BOM!K:K)</f>
        <v>0</v>
      </c>
      <c r="AX25" s="27">
        <f>SUMIF(BOM!$B:$B,원재료!$B25,BOM!L:L)</f>
        <v>0</v>
      </c>
      <c r="AY25" s="27">
        <f>SUMIF(BOM!$B:$B,원재료!$B25,BOM!M:M)</f>
        <v>0</v>
      </c>
      <c r="AZ25" s="27">
        <f>SUMIF(BOM!$B:$B,원재료!$B25,BOM!N:N)</f>
        <v>0</v>
      </c>
      <c r="BA25" s="27">
        <f>SUMIF(BOM!$B:$B,원재료!$B25,BOM!O:O)</f>
        <v>0</v>
      </c>
      <c r="BB25" s="28">
        <f>SUMIF(BOM!$B:$B,원재료!$B25,BOM!P:P)</f>
        <v>0</v>
      </c>
    </row>
    <row r="26" spans="1:54" x14ac:dyDescent="0.3">
      <c r="A26" s="21" t="s">
        <v>122</v>
      </c>
      <c r="B26" s="81">
        <v>257817</v>
      </c>
      <c r="C26" s="81" t="s">
        <v>67</v>
      </c>
      <c r="D26" s="82">
        <v>15</v>
      </c>
      <c r="E26" s="99">
        <v>24800</v>
      </c>
      <c r="F26" s="22">
        <f t="shared" si="2"/>
        <v>9.85</v>
      </c>
      <c r="G26" s="22">
        <f t="shared" si="19"/>
        <v>244280</v>
      </c>
      <c r="H26" s="22">
        <f>IFERROR(VLOOKUP(B26,'음성공장 재고장'!A:E,4,FALSE),0)</f>
        <v>9.85</v>
      </c>
      <c r="I26" s="22">
        <f t="shared" si="9"/>
        <v>244280</v>
      </c>
      <c r="J26" s="95">
        <f>IFERROR(VLOOKUP(B26,'음성공장 재고장'!A:E,5,FALSE),0)</f>
        <v>46148</v>
      </c>
      <c r="K26" s="97">
        <f>IFERROR(VLOOKUP(B26,'음성공장 재고장'!A:F,6,FALSE),0)</f>
        <v>0</v>
      </c>
      <c r="L26" s="22">
        <f t="shared" si="10"/>
        <v>0</v>
      </c>
      <c r="M26" s="95" t="str">
        <f>IFERROR(VLOOKUP(B26,'음성공장 재고장'!A:G,7,FALSE),0)</f>
        <v>없음</v>
      </c>
      <c r="N26" s="22"/>
      <c r="O26" s="22">
        <f t="shared" si="15"/>
        <v>0</v>
      </c>
      <c r="P26" s="89"/>
      <c r="Q26" s="22">
        <f t="shared" ca="1" si="20"/>
        <v>0</v>
      </c>
      <c r="R26" s="123">
        <f t="shared" ca="1" si="3"/>
        <v>0</v>
      </c>
      <c r="S26" s="6">
        <f t="shared" si="11"/>
        <v>10.8</v>
      </c>
      <c r="T26" s="63">
        <f t="shared" si="21"/>
        <v>0.91203703703703698</v>
      </c>
      <c r="U26" s="48">
        <f t="shared" ca="1" si="12"/>
        <v>45830.361111111109</v>
      </c>
      <c r="V26" s="50">
        <f t="shared" si="16"/>
        <v>46148</v>
      </c>
      <c r="W26" s="177">
        <f>4*30</f>
        <v>120</v>
      </c>
      <c r="X26" s="178">
        <v>15</v>
      </c>
      <c r="Y26" s="221">
        <f t="shared" si="17"/>
        <v>43.2</v>
      </c>
      <c r="Z26" s="221" t="str">
        <f t="shared" ca="1" si="5"/>
        <v>O</v>
      </c>
      <c r="AA26" s="46" t="str">
        <f t="shared" ca="1" si="6"/>
        <v>O</v>
      </c>
      <c r="AB26" s="65" t="str">
        <f t="shared" ca="1" si="7"/>
        <v>A</v>
      </c>
      <c r="AC26" s="65">
        <f>COUNTIF(BOM!B:B,원재료!B26)</f>
        <v>1</v>
      </c>
      <c r="AD26" s="103" t="str">
        <f t="shared" ca="1" si="18"/>
        <v>판매활성화</v>
      </c>
      <c r="AE26" s="27">
        <v>54</v>
      </c>
      <c r="AF26" s="27">
        <v>40.499999999999993</v>
      </c>
      <c r="AG26" s="27">
        <v>26.999999999999996</v>
      </c>
      <c r="AH26" s="27">
        <v>18</v>
      </c>
      <c r="AI26" s="27">
        <v>0</v>
      </c>
      <c r="AJ26" s="27">
        <v>76.5</v>
      </c>
      <c r="AK26" s="27">
        <v>40.5</v>
      </c>
      <c r="AL26" s="27">
        <v>53.999999999999993</v>
      </c>
      <c r="AM26" s="27">
        <v>36</v>
      </c>
      <c r="AN26" s="27">
        <v>54</v>
      </c>
      <c r="AO26" s="27">
        <v>36</v>
      </c>
      <c r="AP26" s="28">
        <v>18</v>
      </c>
      <c r="AQ26" s="27">
        <f>SUMIF(BOM!$B:$B,원재료!$B26,BOM!E:E)</f>
        <v>0</v>
      </c>
      <c r="AR26" s="27">
        <f>SUMIF(BOM!$B:$B,원재료!$B26,BOM!F:F)</f>
        <v>18</v>
      </c>
      <c r="AS26" s="27">
        <f>SUMIF(BOM!$B:$B,원재료!$B26,BOM!G:G)</f>
        <v>18</v>
      </c>
      <c r="AT26" s="27">
        <f>SUMIF(BOM!$B:$B,원재료!$B26,BOM!H:H)</f>
        <v>18</v>
      </c>
      <c r="AU26" s="27">
        <f>SUMIF(BOM!$B:$B,원재료!$B26,BOM!I:I)</f>
        <v>0</v>
      </c>
      <c r="AV26" s="27">
        <f>SUMIF(BOM!$B:$B,원재료!$B26,BOM!J:J)</f>
        <v>0</v>
      </c>
      <c r="AW26" s="27">
        <f>SUMIF(BOM!$B:$B,원재료!$B26,BOM!K:K)</f>
        <v>0</v>
      </c>
      <c r="AX26" s="27">
        <f>SUMIF(BOM!$B:$B,원재료!$B26,BOM!L:L)</f>
        <v>0</v>
      </c>
      <c r="AY26" s="27">
        <f>SUMIF(BOM!$B:$B,원재료!$B26,BOM!M:M)</f>
        <v>0</v>
      </c>
      <c r="AZ26" s="27">
        <f>SUMIF(BOM!$B:$B,원재료!$B26,BOM!N:N)</f>
        <v>0</v>
      </c>
      <c r="BA26" s="27">
        <f>SUMIF(BOM!$B:$B,원재료!$B26,BOM!O:O)</f>
        <v>0</v>
      </c>
      <c r="BB26" s="28">
        <f>SUMIF(BOM!$B:$B,원재료!$B26,BOM!P:P)</f>
        <v>0</v>
      </c>
    </row>
    <row r="27" spans="1:54" x14ac:dyDescent="0.3">
      <c r="A27" s="21" t="s">
        <v>122</v>
      </c>
      <c r="B27" s="81">
        <v>257819</v>
      </c>
      <c r="C27" s="81" t="s">
        <v>68</v>
      </c>
      <c r="D27" s="82">
        <v>25</v>
      </c>
      <c r="E27" s="99">
        <v>70300</v>
      </c>
      <c r="F27" s="22">
        <f t="shared" si="2"/>
        <v>25.24</v>
      </c>
      <c r="G27" s="22">
        <f t="shared" si="19"/>
        <v>1774372</v>
      </c>
      <c r="H27" s="22">
        <f>IFERROR(VLOOKUP(B27,'음성공장 재고장'!A:E,4,FALSE),0)</f>
        <v>0.24</v>
      </c>
      <c r="I27" s="22">
        <f t="shared" si="9"/>
        <v>16872</v>
      </c>
      <c r="J27" s="95">
        <v>46113</v>
      </c>
      <c r="K27" s="97">
        <v>25</v>
      </c>
      <c r="L27" s="22">
        <f t="shared" si="10"/>
        <v>1757500</v>
      </c>
      <c r="M27" s="95" t="str">
        <f>IFERROR(VLOOKUP(B27,'음성공장 재고장'!A:G,7,FALSE),0)</f>
        <v>없음</v>
      </c>
      <c r="N27" s="22"/>
      <c r="O27" s="22">
        <f t="shared" si="15"/>
        <v>0</v>
      </c>
      <c r="P27" s="89"/>
      <c r="Q27" s="22">
        <f t="shared" ca="1" si="20"/>
        <v>0</v>
      </c>
      <c r="R27" s="123">
        <f t="shared" ca="1" si="3"/>
        <v>0</v>
      </c>
      <c r="S27" s="6">
        <f t="shared" si="11"/>
        <v>3.6</v>
      </c>
      <c r="T27" s="63">
        <f t="shared" si="21"/>
        <v>7.0111111111111102</v>
      </c>
      <c r="U27" s="48">
        <f t="shared" ca="1" si="12"/>
        <v>46013.333333333336</v>
      </c>
      <c r="V27" s="50">
        <f t="shared" si="16"/>
        <v>46113</v>
      </c>
      <c r="W27" s="177">
        <v>56</v>
      </c>
      <c r="X27" s="178">
        <v>25</v>
      </c>
      <c r="Y27" s="221">
        <f t="shared" si="17"/>
        <v>6.72</v>
      </c>
      <c r="Z27" s="221" t="str">
        <f t="shared" ca="1" si="5"/>
        <v>X</v>
      </c>
      <c r="AA27" s="46" t="str">
        <f t="shared" ca="1" si="6"/>
        <v>O</v>
      </c>
      <c r="AB27" s="65" t="str">
        <f t="shared" ca="1" si="7"/>
        <v>C</v>
      </c>
      <c r="AC27" s="65">
        <f>COUNTIF(BOM!B:B,원재료!B27)</f>
        <v>1</v>
      </c>
      <c r="AD27" s="103" t="str">
        <f t="shared" ca="1" si="18"/>
        <v>판매활성화</v>
      </c>
      <c r="AE27" s="27">
        <v>18</v>
      </c>
      <c r="AF27" s="27">
        <v>13.5</v>
      </c>
      <c r="AG27" s="27">
        <v>9</v>
      </c>
      <c r="AH27" s="27">
        <v>6</v>
      </c>
      <c r="AI27" s="27">
        <v>0</v>
      </c>
      <c r="AJ27" s="27">
        <v>25.5</v>
      </c>
      <c r="AK27" s="27">
        <v>13.5</v>
      </c>
      <c r="AL27" s="27">
        <v>18</v>
      </c>
      <c r="AM27" s="27">
        <v>12</v>
      </c>
      <c r="AN27" s="27">
        <v>18</v>
      </c>
      <c r="AO27" s="27">
        <v>12</v>
      </c>
      <c r="AP27" s="28">
        <v>6</v>
      </c>
      <c r="AQ27" s="27">
        <f>SUMIF(BOM!$B:$B,원재료!$B27,BOM!E:E)</f>
        <v>0</v>
      </c>
      <c r="AR27" s="27">
        <f>SUMIF(BOM!$B:$B,원재료!$B27,BOM!F:F)</f>
        <v>6</v>
      </c>
      <c r="AS27" s="27">
        <f>SUMIF(BOM!$B:$B,원재료!$B27,BOM!G:G)</f>
        <v>6</v>
      </c>
      <c r="AT27" s="27">
        <f>SUMIF(BOM!$B:$B,원재료!$B27,BOM!H:H)</f>
        <v>6</v>
      </c>
      <c r="AU27" s="27">
        <f>SUMIF(BOM!$B:$B,원재료!$B27,BOM!I:I)</f>
        <v>0</v>
      </c>
      <c r="AV27" s="27">
        <f>SUMIF(BOM!$B:$B,원재료!$B27,BOM!J:J)</f>
        <v>0</v>
      </c>
      <c r="AW27" s="27">
        <f>SUMIF(BOM!$B:$B,원재료!$B27,BOM!K:K)</f>
        <v>0</v>
      </c>
      <c r="AX27" s="27">
        <f>SUMIF(BOM!$B:$B,원재료!$B27,BOM!L:L)</f>
        <v>0</v>
      </c>
      <c r="AY27" s="27">
        <f>SUMIF(BOM!$B:$B,원재료!$B27,BOM!M:M)</f>
        <v>0</v>
      </c>
      <c r="AZ27" s="27">
        <f>SUMIF(BOM!$B:$B,원재료!$B27,BOM!N:N)</f>
        <v>0</v>
      </c>
      <c r="BA27" s="27">
        <f>SUMIF(BOM!$B:$B,원재료!$B27,BOM!O:O)</f>
        <v>0</v>
      </c>
      <c r="BB27" s="28">
        <f>SUMIF(BOM!$B:$B,원재료!$B27,BOM!P:P)</f>
        <v>0</v>
      </c>
    </row>
    <row r="28" spans="1:54" x14ac:dyDescent="0.3">
      <c r="A28" s="21" t="s">
        <v>122</v>
      </c>
      <c r="B28" s="81">
        <v>311779</v>
      </c>
      <c r="C28" s="81" t="s">
        <v>69</v>
      </c>
      <c r="D28" s="82">
        <v>20</v>
      </c>
      <c r="E28" s="99">
        <v>25000</v>
      </c>
      <c r="F28" s="22">
        <f t="shared" si="2"/>
        <v>9.92</v>
      </c>
      <c r="G28" s="22">
        <f t="shared" si="19"/>
        <v>248000</v>
      </c>
      <c r="H28" s="22">
        <f>IFERROR(VLOOKUP(B28,'음성공장 재고장'!A:E,4,FALSE),0)</f>
        <v>9.92</v>
      </c>
      <c r="I28" s="22">
        <f t="shared" si="9"/>
        <v>248000</v>
      </c>
      <c r="J28" s="95">
        <f>IFERROR(VLOOKUP(B28,'음성공장 재고장'!A:E,5,FALSE),0)</f>
        <v>46669</v>
      </c>
      <c r="K28" s="97">
        <f>IFERROR(VLOOKUP(B28,'음성공장 재고장'!A:F,6,FALSE),0)</f>
        <v>0</v>
      </c>
      <c r="L28" s="22">
        <f t="shared" si="10"/>
        <v>0</v>
      </c>
      <c r="M28" s="95" t="str">
        <f>IFERROR(VLOOKUP(B28,'음성공장 재고장'!A:G,7,FALSE),0)</f>
        <v>없음</v>
      </c>
      <c r="N28" s="22"/>
      <c r="O28" s="22">
        <f t="shared" si="15"/>
        <v>0</v>
      </c>
      <c r="P28" s="89"/>
      <c r="Q28" s="22">
        <f t="shared" ca="1" si="20"/>
        <v>0</v>
      </c>
      <c r="R28" s="123">
        <f t="shared" ca="1" si="3"/>
        <v>0</v>
      </c>
      <c r="S28" s="6">
        <f t="shared" si="11"/>
        <v>4.4621709999999997</v>
      </c>
      <c r="T28" s="63">
        <f t="shared" si="21"/>
        <v>2.2231330892518466</v>
      </c>
      <c r="U28" s="48">
        <f t="shared" ca="1" si="12"/>
        <v>45869.693992677552</v>
      </c>
      <c r="V28" s="50">
        <f t="shared" si="16"/>
        <v>46669</v>
      </c>
      <c r="W28" s="177">
        <v>0</v>
      </c>
      <c r="X28" s="178">
        <v>0</v>
      </c>
      <c r="Y28" s="221">
        <f t="shared" si="17"/>
        <v>0</v>
      </c>
      <c r="Z28" s="221" t="str">
        <f t="shared" ca="1" si="5"/>
        <v>X</v>
      </c>
      <c r="AA28" s="46" t="str">
        <f t="shared" ca="1" si="6"/>
        <v>O</v>
      </c>
      <c r="AB28" s="65" t="str">
        <f t="shared" ca="1" si="7"/>
        <v>B</v>
      </c>
      <c r="AC28" s="65">
        <f>COUNTIF(BOM!B:B,원재료!B28)</f>
        <v>7</v>
      </c>
      <c r="AD28" s="103" t="str">
        <f t="shared" ca="1" si="18"/>
        <v>판매활성화</v>
      </c>
      <c r="AE28" s="27">
        <v>20.86</v>
      </c>
      <c r="AF28" s="27">
        <v>9.75</v>
      </c>
      <c r="AG28" s="27">
        <v>2.36</v>
      </c>
      <c r="AH28" s="27">
        <v>51.5</v>
      </c>
      <c r="AI28" s="27">
        <v>38.612000000000002</v>
      </c>
      <c r="AJ28" s="27">
        <v>45.341999999999999</v>
      </c>
      <c r="AK28" s="27">
        <v>17.25</v>
      </c>
      <c r="AL28" s="27">
        <v>6</v>
      </c>
      <c r="AM28" s="27">
        <v>7</v>
      </c>
      <c r="AN28" s="27">
        <v>54.505813953488364</v>
      </c>
      <c r="AO28" s="27">
        <v>7</v>
      </c>
      <c r="AP28" s="28">
        <v>13</v>
      </c>
      <c r="AQ28" s="27">
        <f>SUMIF(BOM!$B:$B,원재료!$B28,BOM!E:E)</f>
        <v>3.0608549999999997</v>
      </c>
      <c r="AR28" s="27">
        <f>SUMIF(BOM!$B:$B,원재료!$B28,BOM!F:F)</f>
        <v>7</v>
      </c>
      <c r="AS28" s="27">
        <f>SUMIF(BOM!$B:$B,원재료!$B28,BOM!G:G)</f>
        <v>7</v>
      </c>
      <c r="AT28" s="27">
        <f>SUMIF(BOM!$B:$B,원재료!$B28,BOM!H:H)</f>
        <v>5.25</v>
      </c>
      <c r="AU28" s="27">
        <f>SUMIF(BOM!$B:$B,원재료!$B28,BOM!I:I)</f>
        <v>0</v>
      </c>
      <c r="AV28" s="27">
        <f>SUMIF(BOM!$B:$B,원재료!$B28,BOM!J:J)</f>
        <v>0</v>
      </c>
      <c r="AW28" s="27">
        <f>SUMIF(BOM!$B:$B,원재료!$B28,BOM!K:K)</f>
        <v>0</v>
      </c>
      <c r="AX28" s="27">
        <f>SUMIF(BOM!$B:$B,원재료!$B28,BOM!L:L)</f>
        <v>0</v>
      </c>
      <c r="AY28" s="27">
        <f>SUMIF(BOM!$B:$B,원재료!$B28,BOM!M:M)</f>
        <v>0</v>
      </c>
      <c r="AZ28" s="27">
        <f>SUMIF(BOM!$B:$B,원재료!$B28,BOM!N:N)</f>
        <v>0</v>
      </c>
      <c r="BA28" s="27">
        <f>SUMIF(BOM!$B:$B,원재료!$B28,BOM!O:O)</f>
        <v>0</v>
      </c>
      <c r="BB28" s="28">
        <f>SUMIF(BOM!$B:$B,원재료!$B28,BOM!P:P)</f>
        <v>0</v>
      </c>
    </row>
    <row r="29" spans="1:54" x14ac:dyDescent="0.3">
      <c r="A29" s="21" t="s">
        <v>122</v>
      </c>
      <c r="B29" s="81">
        <v>310871</v>
      </c>
      <c r="C29" s="81" t="s">
        <v>70</v>
      </c>
      <c r="D29" s="82">
        <v>25</v>
      </c>
      <c r="E29" s="99">
        <v>4550</v>
      </c>
      <c r="F29" s="22">
        <f t="shared" si="2"/>
        <v>12.01</v>
      </c>
      <c r="G29" s="22">
        <f t="shared" si="19"/>
        <v>54645.5</v>
      </c>
      <c r="H29" s="22">
        <f>IFERROR(VLOOKUP(B29,'음성공장 재고장'!A:E,4,FALSE),0)</f>
        <v>12.01</v>
      </c>
      <c r="I29" s="22">
        <f t="shared" si="9"/>
        <v>54645.5</v>
      </c>
      <c r="J29" s="95">
        <f>IFERROR(VLOOKUP(B29,'음성공장 재고장'!A:E,5,FALSE),0)</f>
        <v>46024</v>
      </c>
      <c r="K29" s="97">
        <f>IFERROR(VLOOKUP(B29,'음성공장 재고장'!A:F,6,FALSE),0)</f>
        <v>0</v>
      </c>
      <c r="L29" s="22">
        <f t="shared" si="10"/>
        <v>0</v>
      </c>
      <c r="M29" s="95" t="str">
        <f>IFERROR(VLOOKUP(B29,'음성공장 재고장'!A:G,7,FALSE),0)</f>
        <v>없음</v>
      </c>
      <c r="N29" s="22"/>
      <c r="O29" s="22">
        <f t="shared" si="15"/>
        <v>0</v>
      </c>
      <c r="P29" s="89"/>
      <c r="Q29" s="22">
        <f t="shared" ca="1" si="20"/>
        <v>0</v>
      </c>
      <c r="R29" s="123">
        <f t="shared" ca="1" si="3"/>
        <v>0</v>
      </c>
      <c r="S29" s="6">
        <f t="shared" si="11"/>
        <v>13.316382252559725</v>
      </c>
      <c r="T29" s="63">
        <f t="shared" si="21"/>
        <v>0.90189660917036174</v>
      </c>
      <c r="U29" s="48">
        <f t="shared" ca="1" si="12"/>
        <v>45830.056898275114</v>
      </c>
      <c r="V29" s="50">
        <f t="shared" si="16"/>
        <v>46024</v>
      </c>
      <c r="W29" s="177">
        <f>4*30</f>
        <v>120</v>
      </c>
      <c r="X29" s="178">
        <v>25</v>
      </c>
      <c r="Y29" s="221">
        <f t="shared" si="17"/>
        <v>53.2655290102389</v>
      </c>
      <c r="Z29" s="221" t="str">
        <f t="shared" ca="1" si="5"/>
        <v>O</v>
      </c>
      <c r="AA29" s="46" t="str">
        <f t="shared" ca="1" si="6"/>
        <v>O</v>
      </c>
      <c r="AB29" s="65" t="str">
        <f t="shared" ca="1" si="7"/>
        <v>A</v>
      </c>
      <c r="AC29" s="65">
        <f>COUNTIF(BOM!B:B,원재료!B29)</f>
        <v>7</v>
      </c>
      <c r="AD29" s="103" t="str">
        <f t="shared" ca="1" si="18"/>
        <v>판매활성화</v>
      </c>
      <c r="AE29" s="27">
        <v>112.65529010238907</v>
      </c>
      <c r="AF29" s="27">
        <v>123.94709897610919</v>
      </c>
      <c r="AG29" s="27">
        <v>20</v>
      </c>
      <c r="AH29" s="27">
        <v>99</v>
      </c>
      <c r="AI29" s="27">
        <v>121.38386803662543</v>
      </c>
      <c r="AJ29" s="27">
        <v>62.76382252559727</v>
      </c>
      <c r="AK29" s="27">
        <v>40.827645051194537</v>
      </c>
      <c r="AL29" s="27">
        <v>115.14607508532423</v>
      </c>
      <c r="AM29" s="27">
        <v>99.037542662116039</v>
      </c>
      <c r="AN29" s="27">
        <v>23.681911262798632</v>
      </c>
      <c r="AO29" s="27">
        <v>22</v>
      </c>
      <c r="AP29" s="28">
        <v>22</v>
      </c>
      <c r="AQ29" s="27">
        <f>SUMIF(BOM!$B:$B,원재료!$B29,BOM!E:E)</f>
        <v>0</v>
      </c>
      <c r="AR29" s="27">
        <f>SUMIF(BOM!$B:$B,원재료!$B29,BOM!F:F)</f>
        <v>28.081911262798634</v>
      </c>
      <c r="AS29" s="27">
        <f>SUMIF(BOM!$B:$B,원재료!$B29,BOM!G:G)</f>
        <v>22</v>
      </c>
      <c r="AT29" s="27">
        <f>SUMIF(BOM!$B:$B,원재료!$B29,BOM!H:H)</f>
        <v>16.5</v>
      </c>
      <c r="AU29" s="27">
        <f>SUMIF(BOM!$B:$B,원재료!$B29,BOM!I:I)</f>
        <v>0</v>
      </c>
      <c r="AV29" s="27">
        <f>SUMIF(BOM!$B:$B,원재료!$B29,BOM!J:J)</f>
        <v>0</v>
      </c>
      <c r="AW29" s="27">
        <f>SUMIF(BOM!$B:$B,원재료!$B29,BOM!K:K)</f>
        <v>0</v>
      </c>
      <c r="AX29" s="27">
        <f>SUMIF(BOM!$B:$B,원재료!$B29,BOM!L:L)</f>
        <v>0</v>
      </c>
      <c r="AY29" s="27">
        <f>SUMIF(BOM!$B:$B,원재료!$B29,BOM!M:M)</f>
        <v>0</v>
      </c>
      <c r="AZ29" s="27">
        <f>SUMIF(BOM!$B:$B,원재료!$B29,BOM!N:N)</f>
        <v>0</v>
      </c>
      <c r="BA29" s="27">
        <f>SUMIF(BOM!$B:$B,원재료!$B29,BOM!O:O)</f>
        <v>0</v>
      </c>
      <c r="BB29" s="28">
        <f>SUMIF(BOM!$B:$B,원재료!$B29,BOM!P:P)</f>
        <v>0</v>
      </c>
    </row>
    <row r="30" spans="1:54" x14ac:dyDescent="0.3">
      <c r="A30" s="21" t="s">
        <v>122</v>
      </c>
      <c r="B30" s="81">
        <v>315151</v>
      </c>
      <c r="C30" s="81" t="s">
        <v>71</v>
      </c>
      <c r="D30" s="82">
        <v>1</v>
      </c>
      <c r="E30" s="99">
        <v>29200</v>
      </c>
      <c r="F30" s="22">
        <f t="shared" si="2"/>
        <v>282.59000000000003</v>
      </c>
      <c r="G30" s="22">
        <f t="shared" si="19"/>
        <v>8251628.0000000009</v>
      </c>
      <c r="H30" s="22">
        <f>IFERROR(VLOOKUP(B30,'음성공장 재고장'!A:E,4,FALSE),0)</f>
        <v>182.59</v>
      </c>
      <c r="I30" s="22">
        <f t="shared" si="9"/>
        <v>5331628</v>
      </c>
      <c r="J30" s="95">
        <f>IFERROR(VLOOKUP(B30,'음성공장 재고장'!A:E,5,FALSE),0)</f>
        <v>46122</v>
      </c>
      <c r="K30" s="97">
        <f>IFERROR(VLOOKUP(B30,'음성공장 재고장'!A:F,6,FALSE),0)</f>
        <v>0</v>
      </c>
      <c r="L30" s="22">
        <f t="shared" si="10"/>
        <v>0</v>
      </c>
      <c r="M30" s="95" t="str">
        <f>IFERROR(VLOOKUP(B30,'음성공장 재고장'!A:G,7,FALSE),0)</f>
        <v>없음</v>
      </c>
      <c r="N30" s="22">
        <v>100</v>
      </c>
      <c r="O30" s="22">
        <f t="shared" si="15"/>
        <v>2920000</v>
      </c>
      <c r="P30" s="89">
        <v>46171</v>
      </c>
      <c r="Q30" s="22">
        <f t="shared" ca="1" si="20"/>
        <v>281.39000000000004</v>
      </c>
      <c r="R30" s="123">
        <f t="shared" ca="1" si="3"/>
        <v>8216588.0000000009</v>
      </c>
      <c r="S30" s="6">
        <f t="shared" si="11"/>
        <v>1.2</v>
      </c>
      <c r="T30" s="63">
        <f t="shared" si="21"/>
        <v>235.4916666666667</v>
      </c>
      <c r="U30" s="48">
        <f t="shared" ca="1" si="12"/>
        <v>52867.75</v>
      </c>
      <c r="V30" s="50">
        <f t="shared" si="16"/>
        <v>46122</v>
      </c>
      <c r="W30" s="177">
        <v>30</v>
      </c>
      <c r="X30" s="178">
        <v>100</v>
      </c>
      <c r="Y30" s="221">
        <f t="shared" si="17"/>
        <v>1.2</v>
      </c>
      <c r="Z30" s="221" t="str">
        <f t="shared" ca="1" si="5"/>
        <v>X</v>
      </c>
      <c r="AA30" s="46" t="str">
        <f t="shared" ca="1" si="6"/>
        <v>X</v>
      </c>
      <c r="AB30" s="65" t="str">
        <f t="shared" ca="1" si="7"/>
        <v>C</v>
      </c>
      <c r="AC30" s="65">
        <f>COUNTIF(BOM!B:B,원재료!B30)</f>
        <v>3</v>
      </c>
      <c r="AD30" s="103" t="str">
        <f t="shared" ca="1" si="18"/>
        <v>소진계획필요</v>
      </c>
      <c r="AE30" s="27">
        <v>1.18</v>
      </c>
      <c r="AF30" s="27">
        <v>0.27185999999999994</v>
      </c>
      <c r="AG30" s="27">
        <v>11.8986</v>
      </c>
      <c r="AH30" s="27">
        <v>45.812399999999997</v>
      </c>
      <c r="AI30" s="27">
        <v>23.75</v>
      </c>
      <c r="AJ30" s="27">
        <v>0</v>
      </c>
      <c r="AK30" s="27">
        <v>8.7185999999999986</v>
      </c>
      <c r="AL30" s="27">
        <v>0.27185999999999994</v>
      </c>
      <c r="AM30" s="27">
        <v>0</v>
      </c>
      <c r="AN30" s="27">
        <v>0</v>
      </c>
      <c r="AO30" s="27">
        <v>12</v>
      </c>
      <c r="AP30" s="28">
        <v>8</v>
      </c>
      <c r="AQ30" s="27">
        <f>SUMIF(BOM!$B:$B,원재료!$B30,BOM!E:E)</f>
        <v>0</v>
      </c>
      <c r="AR30" s="27">
        <f>SUMIF(BOM!$B:$B,원재료!$B30,BOM!F:F)</f>
        <v>0</v>
      </c>
      <c r="AS30" s="27">
        <f>SUMIF(BOM!$B:$B,원재료!$B30,BOM!G:G)</f>
        <v>0</v>
      </c>
      <c r="AT30" s="27">
        <f>SUMIF(BOM!$B:$B,원재료!$B30,BOM!H:H)</f>
        <v>0</v>
      </c>
      <c r="AU30" s="27">
        <f>SUMIF(BOM!$B:$B,원재료!$B30,BOM!I:I)</f>
        <v>6</v>
      </c>
      <c r="AV30" s="27">
        <f>SUMIF(BOM!$B:$B,원재료!$B30,BOM!J:J)</f>
        <v>0</v>
      </c>
      <c r="AW30" s="27">
        <f>SUMIF(BOM!$B:$B,원재료!$B30,BOM!K:K)</f>
        <v>0</v>
      </c>
      <c r="AX30" s="27">
        <f>SUMIF(BOM!$B:$B,원재료!$B30,BOM!L:L)</f>
        <v>0</v>
      </c>
      <c r="AY30" s="27">
        <f>SUMIF(BOM!$B:$B,원재료!$B30,BOM!M:M)</f>
        <v>0</v>
      </c>
      <c r="AZ30" s="27">
        <f>SUMIF(BOM!$B:$B,원재료!$B30,BOM!N:N)</f>
        <v>0</v>
      </c>
      <c r="BA30" s="27">
        <f>SUMIF(BOM!$B:$B,원재료!$B30,BOM!O:O)</f>
        <v>0</v>
      </c>
      <c r="BB30" s="28">
        <f>SUMIF(BOM!$B:$B,원재료!$B30,BOM!P:P)</f>
        <v>0</v>
      </c>
    </row>
    <row r="31" spans="1:54" x14ac:dyDescent="0.3">
      <c r="A31" s="21" t="s">
        <v>122</v>
      </c>
      <c r="B31" s="81">
        <v>324581</v>
      </c>
      <c r="C31" s="81" t="s">
        <v>72</v>
      </c>
      <c r="D31" s="82">
        <v>0</v>
      </c>
      <c r="E31" s="99">
        <v>34000</v>
      </c>
      <c r="F31" s="22">
        <f t="shared" si="2"/>
        <v>0</v>
      </c>
      <c r="G31" s="22">
        <f t="shared" si="19"/>
        <v>0</v>
      </c>
      <c r="H31" s="22">
        <f>IFERROR(VLOOKUP(B31,'음성공장 재고장'!A:E,4,FALSE),0)</f>
        <v>0</v>
      </c>
      <c r="I31" s="22">
        <f t="shared" si="9"/>
        <v>0</v>
      </c>
      <c r="J31" s="95" t="str">
        <f>IFERROR(VLOOKUP(B31,'음성공장 재고장'!A:E,5,FALSE),0)</f>
        <v>없음</v>
      </c>
      <c r="K31" s="97">
        <f>IFERROR(VLOOKUP(B31,'음성공장 재고장'!A:F,6,FALSE),0)</f>
        <v>0</v>
      </c>
      <c r="L31" s="22">
        <f t="shared" si="10"/>
        <v>0</v>
      </c>
      <c r="M31" s="95" t="str">
        <f>IFERROR(VLOOKUP(B31,'음성공장 재고장'!A:G,7,FALSE),0)</f>
        <v>없음</v>
      </c>
      <c r="N31" s="22"/>
      <c r="O31" s="22">
        <f t="shared" si="15"/>
        <v>0</v>
      </c>
      <c r="P31" s="89"/>
      <c r="Q31" s="22">
        <f t="shared" ca="1" si="20"/>
        <v>0</v>
      </c>
      <c r="R31" s="123">
        <f t="shared" ca="1" si="3"/>
        <v>0</v>
      </c>
      <c r="S31" s="6">
        <f t="shared" si="11"/>
        <v>0</v>
      </c>
      <c r="T31" s="63">
        <f t="shared" si="21"/>
        <v>0</v>
      </c>
      <c r="U31" s="48" t="str">
        <f t="shared" si="12"/>
        <v>재고없음</v>
      </c>
      <c r="V31" s="50" t="str">
        <f t="shared" si="16"/>
        <v>재고없음</v>
      </c>
      <c r="W31" s="177">
        <v>3</v>
      </c>
      <c r="X31" s="178">
        <v>20</v>
      </c>
      <c r="Y31" s="221">
        <f t="shared" si="17"/>
        <v>0</v>
      </c>
      <c r="Z31" s="221">
        <f t="shared" ca="1" si="5"/>
        <v>0</v>
      </c>
      <c r="AA31" s="46">
        <f t="shared" si="6"/>
        <v>0</v>
      </c>
      <c r="AB31" s="65" t="str">
        <f t="shared" si="7"/>
        <v>-</v>
      </c>
      <c r="AC31" s="65">
        <f>COUNTIF(BOM!B:B,원재료!B31)</f>
        <v>1</v>
      </c>
      <c r="AD31" s="103" t="str">
        <f t="shared" si="18"/>
        <v>판매활성화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8">
        <v>0</v>
      </c>
      <c r="AQ31" s="27">
        <f>SUMIF(BOM!$B:$B,원재료!$B31,BOM!E:E)</f>
        <v>0</v>
      </c>
      <c r="AR31" s="27">
        <f>SUMIF(BOM!$B:$B,원재료!$B31,BOM!F:F)</f>
        <v>0</v>
      </c>
      <c r="AS31" s="27">
        <f>SUMIF(BOM!$B:$B,원재료!$B31,BOM!G:G)</f>
        <v>0</v>
      </c>
      <c r="AT31" s="27">
        <f>SUMIF(BOM!$B:$B,원재료!$B31,BOM!H:H)</f>
        <v>0</v>
      </c>
      <c r="AU31" s="27">
        <f>SUMIF(BOM!$B:$B,원재료!$B31,BOM!I:I)</f>
        <v>0</v>
      </c>
      <c r="AV31" s="27">
        <f>SUMIF(BOM!$B:$B,원재료!$B31,BOM!J:J)</f>
        <v>0</v>
      </c>
      <c r="AW31" s="27">
        <f>SUMIF(BOM!$B:$B,원재료!$B31,BOM!K:K)</f>
        <v>0</v>
      </c>
      <c r="AX31" s="27">
        <f>SUMIF(BOM!$B:$B,원재료!$B31,BOM!L:L)</f>
        <v>0</v>
      </c>
      <c r="AY31" s="27">
        <f>SUMIF(BOM!$B:$B,원재료!$B31,BOM!M:M)</f>
        <v>0</v>
      </c>
      <c r="AZ31" s="27">
        <f>SUMIF(BOM!$B:$B,원재료!$B31,BOM!N:N)</f>
        <v>0</v>
      </c>
      <c r="BA31" s="27">
        <f>SUMIF(BOM!$B:$B,원재료!$B31,BOM!O:O)</f>
        <v>0</v>
      </c>
      <c r="BB31" s="28">
        <f>SUMIF(BOM!$B:$B,원재료!$B31,BOM!P:P)</f>
        <v>0</v>
      </c>
    </row>
    <row r="32" spans="1:54" x14ac:dyDescent="0.3">
      <c r="A32" s="21" t="s">
        <v>122</v>
      </c>
      <c r="B32" s="81">
        <v>324582</v>
      </c>
      <c r="C32" s="81" t="s">
        <v>73</v>
      </c>
      <c r="D32" s="82">
        <v>0</v>
      </c>
      <c r="E32" s="99">
        <v>37400</v>
      </c>
      <c r="F32" s="22">
        <f t="shared" si="2"/>
        <v>0</v>
      </c>
      <c r="G32" s="22">
        <f t="shared" si="19"/>
        <v>0</v>
      </c>
      <c r="H32" s="22">
        <f>IFERROR(VLOOKUP(B32,'음성공장 재고장'!A:E,4,FALSE),0)</f>
        <v>0</v>
      </c>
      <c r="I32" s="22">
        <f t="shared" si="9"/>
        <v>0</v>
      </c>
      <c r="J32" s="95" t="str">
        <f>IFERROR(VLOOKUP(B32,'음성공장 재고장'!A:E,5,FALSE),0)</f>
        <v>없음</v>
      </c>
      <c r="K32" s="97">
        <f>IFERROR(VLOOKUP(B32,'음성공장 재고장'!A:F,6,FALSE),0)</f>
        <v>0</v>
      </c>
      <c r="L32" s="22">
        <f t="shared" si="10"/>
        <v>0</v>
      </c>
      <c r="M32" s="95" t="str">
        <f>IFERROR(VLOOKUP(B32,'음성공장 재고장'!A:G,7,FALSE),0)</f>
        <v>없음</v>
      </c>
      <c r="N32" s="22"/>
      <c r="O32" s="22">
        <f t="shared" si="15"/>
        <v>0</v>
      </c>
      <c r="P32" s="89"/>
      <c r="Q32" s="22">
        <f t="shared" ca="1" si="20"/>
        <v>0</v>
      </c>
      <c r="R32" s="123">
        <f t="shared" ca="1" si="3"/>
        <v>0</v>
      </c>
      <c r="S32" s="6">
        <f t="shared" si="11"/>
        <v>0</v>
      </c>
      <c r="T32" s="63">
        <f t="shared" si="21"/>
        <v>0</v>
      </c>
      <c r="U32" s="48" t="str">
        <f t="shared" si="12"/>
        <v>재고없음</v>
      </c>
      <c r="V32" s="50" t="str">
        <f t="shared" si="16"/>
        <v>재고없음</v>
      </c>
      <c r="W32" s="177">
        <v>3</v>
      </c>
      <c r="X32" s="178">
        <v>20</v>
      </c>
      <c r="Y32" s="221">
        <f t="shared" si="17"/>
        <v>0</v>
      </c>
      <c r="Z32" s="221">
        <f t="shared" ca="1" si="5"/>
        <v>0</v>
      </c>
      <c r="AA32" s="46">
        <f t="shared" si="6"/>
        <v>0</v>
      </c>
      <c r="AB32" s="65" t="str">
        <f t="shared" si="7"/>
        <v>-</v>
      </c>
      <c r="AC32" s="65">
        <f>COUNTIF(BOM!B:B,원재료!B32)</f>
        <v>1</v>
      </c>
      <c r="AD32" s="103" t="str">
        <f t="shared" si="18"/>
        <v>판매활성화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8">
        <v>0</v>
      </c>
      <c r="AQ32" s="27">
        <f>SUMIF(BOM!$B:$B,원재료!$B32,BOM!E:E)</f>
        <v>0</v>
      </c>
      <c r="AR32" s="27">
        <f>SUMIF(BOM!$B:$B,원재료!$B32,BOM!F:F)</f>
        <v>0</v>
      </c>
      <c r="AS32" s="27">
        <f>SUMIF(BOM!$B:$B,원재료!$B32,BOM!G:G)</f>
        <v>0</v>
      </c>
      <c r="AT32" s="27">
        <f>SUMIF(BOM!$B:$B,원재료!$B32,BOM!H:H)</f>
        <v>0</v>
      </c>
      <c r="AU32" s="27">
        <f>SUMIF(BOM!$B:$B,원재료!$B32,BOM!I:I)</f>
        <v>0</v>
      </c>
      <c r="AV32" s="27">
        <f>SUMIF(BOM!$B:$B,원재료!$B32,BOM!J:J)</f>
        <v>0</v>
      </c>
      <c r="AW32" s="27">
        <f>SUMIF(BOM!$B:$B,원재료!$B32,BOM!K:K)</f>
        <v>0</v>
      </c>
      <c r="AX32" s="27">
        <f>SUMIF(BOM!$B:$B,원재료!$B32,BOM!L:L)</f>
        <v>0</v>
      </c>
      <c r="AY32" s="27">
        <f>SUMIF(BOM!$B:$B,원재료!$B32,BOM!M:M)</f>
        <v>0</v>
      </c>
      <c r="AZ32" s="27">
        <f>SUMIF(BOM!$B:$B,원재료!$B32,BOM!N:N)</f>
        <v>0</v>
      </c>
      <c r="BA32" s="27">
        <f>SUMIF(BOM!$B:$B,원재료!$B32,BOM!O:O)</f>
        <v>0</v>
      </c>
      <c r="BB32" s="28">
        <f>SUMIF(BOM!$B:$B,원재료!$B32,BOM!P:P)</f>
        <v>0</v>
      </c>
    </row>
    <row r="33" spans="1:54" x14ac:dyDescent="0.3">
      <c r="A33" s="21" t="s">
        <v>122</v>
      </c>
      <c r="B33" s="83">
        <v>320617</v>
      </c>
      <c r="C33" s="83" t="s">
        <v>74</v>
      </c>
      <c r="D33" s="84">
        <v>5</v>
      </c>
      <c r="E33" s="100">
        <v>3610</v>
      </c>
      <c r="F33" s="98">
        <f t="shared" si="2"/>
        <v>0</v>
      </c>
      <c r="G33" s="22">
        <f t="shared" si="19"/>
        <v>0</v>
      </c>
      <c r="H33" s="22">
        <f>IFERROR(VLOOKUP(B33,'음성공장 재고장'!A:E,4,FALSE),0)</f>
        <v>0</v>
      </c>
      <c r="I33" s="22">
        <f t="shared" si="9"/>
        <v>0</v>
      </c>
      <c r="J33" s="95" t="str">
        <f>IFERROR(VLOOKUP(B33,'음성공장 재고장'!A:E,5,FALSE),0)</f>
        <v>없음</v>
      </c>
      <c r="K33" s="97">
        <f>IFERROR(VLOOKUP(B33,'음성공장 재고장'!A:F,6,FALSE),0)</f>
        <v>0</v>
      </c>
      <c r="L33" s="22">
        <f t="shared" si="10"/>
        <v>0</v>
      </c>
      <c r="M33" s="95" t="str">
        <f>IFERROR(VLOOKUP(B33,'음성공장 재고장'!A:G,7,FALSE),0)</f>
        <v>없음</v>
      </c>
      <c r="N33" s="85"/>
      <c r="O33" s="22">
        <f t="shared" si="15"/>
        <v>0</v>
      </c>
      <c r="P33" s="118"/>
      <c r="Q33" s="22">
        <f t="shared" ca="1" si="20"/>
        <v>0</v>
      </c>
      <c r="R33" s="123">
        <f t="shared" ca="1" si="3"/>
        <v>0</v>
      </c>
      <c r="S33" s="6">
        <f t="shared" si="11"/>
        <v>0</v>
      </c>
      <c r="T33" s="63">
        <f t="shared" si="21"/>
        <v>0</v>
      </c>
      <c r="U33" s="48" t="str">
        <f t="shared" si="12"/>
        <v>재고없음</v>
      </c>
      <c r="V33" s="50" t="str">
        <f t="shared" si="16"/>
        <v>재고없음</v>
      </c>
      <c r="W33" s="177">
        <f>3*7</f>
        <v>21</v>
      </c>
      <c r="X33" s="178">
        <v>1500</v>
      </c>
      <c r="Y33" s="221">
        <f t="shared" si="17"/>
        <v>0</v>
      </c>
      <c r="Z33" s="221">
        <f t="shared" ca="1" si="5"/>
        <v>0</v>
      </c>
      <c r="AA33" s="46">
        <f t="shared" si="6"/>
        <v>0</v>
      </c>
      <c r="AB33" s="65" t="str">
        <f t="shared" si="7"/>
        <v>-</v>
      </c>
      <c r="AC33" s="65">
        <f>COUNTIF(BOM!B:B,원재료!B33)</f>
        <v>2</v>
      </c>
      <c r="AD33" s="103" t="str">
        <f t="shared" si="18"/>
        <v>판매활성화</v>
      </c>
      <c r="AE33" s="27">
        <v>0</v>
      </c>
      <c r="AF33" s="27">
        <v>100.14875999999998</v>
      </c>
      <c r="AG33" s="27">
        <v>1001.4875999999999</v>
      </c>
      <c r="AH33" s="27">
        <v>667.65839999999992</v>
      </c>
      <c r="AI33" s="27">
        <v>0</v>
      </c>
      <c r="AJ33" s="27">
        <v>5</v>
      </c>
      <c r="AK33" s="27">
        <v>1001.4875999999998</v>
      </c>
      <c r="AL33" s="27">
        <v>150.14875999999998</v>
      </c>
      <c r="AM33" s="27">
        <v>0</v>
      </c>
      <c r="AN33" s="27">
        <v>80</v>
      </c>
      <c r="AO33" s="27">
        <v>0</v>
      </c>
      <c r="AP33" s="28">
        <v>0</v>
      </c>
      <c r="AQ33" s="27">
        <f>SUMIF(BOM!$B:$B,원재료!$B33,BOM!E:E)</f>
        <v>0</v>
      </c>
      <c r="AR33" s="27">
        <f>SUMIF(BOM!$B:$B,원재료!$B33,BOM!F:F)</f>
        <v>0</v>
      </c>
      <c r="AS33" s="27">
        <f>SUMIF(BOM!$B:$B,원재료!$B33,BOM!G:G)</f>
        <v>0</v>
      </c>
      <c r="AT33" s="27">
        <f>SUMIF(BOM!$B:$B,원재료!$B33,BOM!H:H)</f>
        <v>0</v>
      </c>
      <c r="AU33" s="27">
        <f>SUMIF(BOM!$B:$B,원재료!$B33,BOM!I:I)</f>
        <v>0</v>
      </c>
      <c r="AV33" s="27">
        <f>SUMIF(BOM!$B:$B,원재료!$B33,BOM!J:J)</f>
        <v>0</v>
      </c>
      <c r="AW33" s="27">
        <f>SUMIF(BOM!$B:$B,원재료!$B33,BOM!K:K)</f>
        <v>0</v>
      </c>
      <c r="AX33" s="27">
        <f>SUMIF(BOM!$B:$B,원재료!$B33,BOM!L:L)</f>
        <v>0</v>
      </c>
      <c r="AY33" s="27">
        <f>SUMIF(BOM!$B:$B,원재료!$B33,BOM!M:M)</f>
        <v>0</v>
      </c>
      <c r="AZ33" s="27">
        <f>SUMIF(BOM!$B:$B,원재료!$B33,BOM!N:N)</f>
        <v>0</v>
      </c>
      <c r="BA33" s="27">
        <f>SUMIF(BOM!$B:$B,원재료!$B33,BOM!O:O)</f>
        <v>0</v>
      </c>
      <c r="BB33" s="28">
        <f>SUMIF(BOM!$B:$B,원재료!$B33,BOM!P:P)</f>
        <v>0</v>
      </c>
    </row>
    <row r="34" spans="1:54" x14ac:dyDescent="0.3">
      <c r="A34" s="21" t="s">
        <v>122</v>
      </c>
      <c r="B34" s="83">
        <v>318063</v>
      </c>
      <c r="C34" s="83" t="s">
        <v>75</v>
      </c>
      <c r="D34" s="84">
        <v>25</v>
      </c>
      <c r="E34" s="100">
        <v>38887.56</v>
      </c>
      <c r="F34" s="98">
        <f t="shared" si="2"/>
        <v>0</v>
      </c>
      <c r="G34" s="22">
        <f t="shared" si="19"/>
        <v>0</v>
      </c>
      <c r="H34" s="22">
        <f>IFERROR(VLOOKUP(B34,'음성공장 재고장'!A:E,4,FALSE),0)</f>
        <v>0</v>
      </c>
      <c r="I34" s="22">
        <f t="shared" si="9"/>
        <v>0</v>
      </c>
      <c r="J34" s="95" t="str">
        <f>IFERROR(VLOOKUP(B34,'음성공장 재고장'!A:E,5,FALSE),0)</f>
        <v>없음</v>
      </c>
      <c r="K34" s="97">
        <f>IFERROR(VLOOKUP(B34,'음성공장 재고장'!A:F,6,FALSE),0)</f>
        <v>0</v>
      </c>
      <c r="L34" s="22">
        <f t="shared" si="10"/>
        <v>0</v>
      </c>
      <c r="M34" s="95" t="str">
        <f>IFERROR(VLOOKUP(B34,'음성공장 재고장'!A:G,7,FALSE),0)</f>
        <v>없음</v>
      </c>
      <c r="N34" s="85"/>
      <c r="O34" s="22"/>
      <c r="P34" s="118"/>
      <c r="Q34" s="22">
        <f t="shared" si="20"/>
        <v>0</v>
      </c>
      <c r="R34" s="123">
        <f>IFERROR(IF(OR(V34&lt;U34,S34=0),G34-S34*E34*(ABS(MONTH($S$1)-MONTH(V34))),0),0)</f>
        <v>0</v>
      </c>
      <c r="S34" s="6">
        <f t="shared" si="11"/>
        <v>1.2163822525597268</v>
      </c>
      <c r="T34" s="63">
        <f t="shared" si="21"/>
        <v>0</v>
      </c>
      <c r="U34" s="48" t="str">
        <f t="shared" si="12"/>
        <v>재고없음</v>
      </c>
      <c r="V34" s="50" t="str">
        <f t="shared" si="16"/>
        <v>재고없음</v>
      </c>
      <c r="W34" s="177">
        <v>120</v>
      </c>
      <c r="X34" s="178">
        <v>200</v>
      </c>
      <c r="Y34" s="221">
        <f t="shared" si="17"/>
        <v>4.865529010238907</v>
      </c>
      <c r="Z34" s="221">
        <f ca="1">IFERROR(IF(AND($S$1+W34-V34&gt;0,(MAX(P34,M34,J34)&lt;V34+W34)),"O",IF(OR(Y34-F34&lt;=0,S34=0),"X","O")),0)</f>
        <v>0</v>
      </c>
      <c r="AA34" s="46">
        <f>IFERROR(IF(U34="사용없음","X",IF(V34-U34&gt;0,"O","X")),0)</f>
        <v>0</v>
      </c>
      <c r="AB34" s="65" t="str">
        <f t="shared" si="7"/>
        <v>-</v>
      </c>
      <c r="AC34" s="65">
        <f>COUNTIF(BOM!B:B,원재료!B34)</f>
        <v>1</v>
      </c>
      <c r="AD34" s="103" t="str">
        <f t="shared" si="18"/>
        <v>판매활성화</v>
      </c>
      <c r="AE34" s="27">
        <v>48.655290102389067</v>
      </c>
      <c r="AF34" s="27">
        <v>107.44709897610919</v>
      </c>
      <c r="AG34" s="27">
        <v>0</v>
      </c>
      <c r="AH34" s="27">
        <v>0</v>
      </c>
      <c r="AI34" s="27">
        <v>0</v>
      </c>
      <c r="AJ34" s="27">
        <v>12.163822525597267</v>
      </c>
      <c r="AK34" s="27">
        <v>24.327645051194533</v>
      </c>
      <c r="AL34" s="27">
        <v>40.546075085324226</v>
      </c>
      <c r="AM34" s="27">
        <v>77.037542662116039</v>
      </c>
      <c r="AN34" s="27">
        <v>6.0819112627986334</v>
      </c>
      <c r="AO34" s="27">
        <v>0</v>
      </c>
      <c r="AP34" s="28">
        <v>0</v>
      </c>
      <c r="AQ34" s="27">
        <f>SUMIF(BOM!$B:$B,원재료!$B34,BOM!E:E)</f>
        <v>0</v>
      </c>
      <c r="AR34" s="27">
        <f>SUMIF(BOM!$B:$B,원재료!$B34,BOM!F:F)</f>
        <v>6.0819112627986334</v>
      </c>
      <c r="AS34" s="27">
        <f>SUMIF(BOM!$B:$B,원재료!$B34,BOM!G:G)</f>
        <v>0</v>
      </c>
      <c r="AT34" s="27">
        <f>SUMIF(BOM!$B:$B,원재료!$B34,BOM!H:H)</f>
        <v>0</v>
      </c>
      <c r="AU34" s="27">
        <f>SUMIF(BOM!$B:$B,원재료!$B34,BOM!I:I)</f>
        <v>0</v>
      </c>
      <c r="AV34" s="27">
        <f>SUMIF(BOM!$B:$B,원재료!$B34,BOM!J:J)</f>
        <v>0</v>
      </c>
      <c r="AW34" s="27">
        <f>SUMIF(BOM!$B:$B,원재료!$B34,BOM!K:K)</f>
        <v>0</v>
      </c>
      <c r="AX34" s="27">
        <f>SUMIF(BOM!$B:$B,원재료!$B34,BOM!L:L)</f>
        <v>0</v>
      </c>
      <c r="AY34" s="27">
        <f>SUMIF(BOM!$B:$B,원재료!$B34,BOM!M:M)</f>
        <v>0</v>
      </c>
      <c r="AZ34" s="27">
        <f>SUMIF(BOM!$B:$B,원재료!$B34,BOM!N:N)</f>
        <v>0</v>
      </c>
      <c r="BA34" s="27">
        <f>SUMIF(BOM!$B:$B,원재료!$B34,BOM!O:O)</f>
        <v>0</v>
      </c>
      <c r="BB34" s="28">
        <f>SUMIF(BOM!$B:$B,원재료!$B34,BOM!P:P)</f>
        <v>0</v>
      </c>
    </row>
    <row r="35" spans="1:54" x14ac:dyDescent="0.3">
      <c r="A35" s="21" t="s">
        <v>122</v>
      </c>
      <c r="B35" s="83">
        <v>318728</v>
      </c>
      <c r="C35" s="83" t="s">
        <v>76</v>
      </c>
      <c r="D35" s="84">
        <v>20</v>
      </c>
      <c r="E35" s="100">
        <v>25000</v>
      </c>
      <c r="F35" s="98">
        <f t="shared" si="2"/>
        <v>41.4</v>
      </c>
      <c r="G35" s="22">
        <f t="shared" si="19"/>
        <v>1035000</v>
      </c>
      <c r="H35" s="22">
        <f>IFERROR(VLOOKUP(B35,'음성공장 재고장'!A:E,4,FALSE),0)</f>
        <v>41.4</v>
      </c>
      <c r="I35" s="22">
        <f t="shared" si="9"/>
        <v>1035000</v>
      </c>
      <c r="J35" s="95">
        <f>IFERROR(VLOOKUP(B35,'음성공장 재고장'!A:E,5,FALSE),0)</f>
        <v>46131</v>
      </c>
      <c r="K35" s="97">
        <f>IFERROR(VLOOKUP(B35,'음성공장 재고장'!A:F,6,FALSE),0)</f>
        <v>0</v>
      </c>
      <c r="L35" s="22">
        <f t="shared" si="10"/>
        <v>0</v>
      </c>
      <c r="M35" s="95" t="str">
        <f>IFERROR(VLOOKUP(B35,'음성공장 재고장'!A:G,7,FALSE),0)</f>
        <v>없음</v>
      </c>
      <c r="N35" s="85"/>
      <c r="O35" s="22">
        <f t="shared" si="15"/>
        <v>0</v>
      </c>
      <c r="P35" s="90"/>
      <c r="Q35" s="22">
        <f t="shared" ca="1" si="20"/>
        <v>40.913447098976107</v>
      </c>
      <c r="R35" s="123">
        <f t="shared" ref="R35:R92" ca="1" si="22">IFERROR(IF(OR(V35&lt;U35,S35=0),G35-S35*E35*(ABS(MONTH($S$1)-MONTH(V35))),0),0)</f>
        <v>1022836.1774744027</v>
      </c>
      <c r="S35" s="6">
        <f t="shared" si="11"/>
        <v>0.48655290102389082</v>
      </c>
      <c r="T35" s="63">
        <f t="shared" si="21"/>
        <v>85.088383838383834</v>
      </c>
      <c r="U35" s="48">
        <f t="shared" ca="1" si="12"/>
        <v>48355.651515151512</v>
      </c>
      <c r="V35" s="50">
        <f t="shared" si="16"/>
        <v>46131</v>
      </c>
      <c r="W35" s="177">
        <v>0</v>
      </c>
      <c r="X35" s="178">
        <v>0</v>
      </c>
      <c r="Y35" s="221">
        <f t="shared" si="17"/>
        <v>0</v>
      </c>
      <c r="Z35" s="221" t="str">
        <f t="shared" ref="Z35:Z92" ca="1" si="23">IFERROR(IF(AND($S$1+W35-V35&gt;0,(MAX(P35,M35,J35)&lt;V35+W35)),"O",IF(OR(Y35-F35&lt;=0,S35=0),"X","O")),0)</f>
        <v>X</v>
      </c>
      <c r="AA35" s="46" t="str">
        <f t="shared" ca="1" si="6"/>
        <v>X</v>
      </c>
      <c r="AB35" s="65" t="str">
        <f t="shared" ca="1" si="7"/>
        <v>C</v>
      </c>
      <c r="AC35" s="65">
        <f>COUNTIF(BOM!B:B,원재료!B35)</f>
        <v>5</v>
      </c>
      <c r="AD35" s="103" t="str">
        <f t="shared" ca="1" si="18"/>
        <v>소진계획필요</v>
      </c>
      <c r="AE35" s="27">
        <v>23.962116040955632</v>
      </c>
      <c r="AF35" s="27">
        <v>43.002865736139682</v>
      </c>
      <c r="AG35" s="27">
        <v>4.7402614569600008</v>
      </c>
      <c r="AH35" s="27">
        <v>0.16017430463999999</v>
      </c>
      <c r="AI35" s="27">
        <v>0</v>
      </c>
      <c r="AJ35" s="27">
        <v>5.3655290102389079</v>
      </c>
      <c r="AK35" s="27">
        <v>9.9713194774378167</v>
      </c>
      <c r="AL35" s="27">
        <v>21.242456179825691</v>
      </c>
      <c r="AM35" s="27">
        <v>30.815017064846415</v>
      </c>
      <c r="AN35" s="27">
        <v>12.394973807445036</v>
      </c>
      <c r="AO35" s="27">
        <v>0</v>
      </c>
      <c r="AP35" s="28">
        <v>0</v>
      </c>
      <c r="AQ35" s="27">
        <f>SUMIF(BOM!$B:$B,원재료!$B35,BOM!E:E)</f>
        <v>0</v>
      </c>
      <c r="AR35" s="27">
        <f>SUMIF(BOM!$B:$B,원재료!$B35,BOM!F:F)</f>
        <v>2.432764505119454</v>
      </c>
      <c r="AS35" s="27">
        <f>SUMIF(BOM!$B:$B,원재료!$B35,BOM!G:G)</f>
        <v>0</v>
      </c>
      <c r="AT35" s="27">
        <f>SUMIF(BOM!$B:$B,원재료!$B35,BOM!H:H)</f>
        <v>0</v>
      </c>
      <c r="AU35" s="27">
        <f>SUMIF(BOM!$B:$B,원재료!$B35,BOM!I:I)</f>
        <v>0</v>
      </c>
      <c r="AV35" s="27">
        <f>SUMIF(BOM!$B:$B,원재료!$B35,BOM!J:J)</f>
        <v>0</v>
      </c>
      <c r="AW35" s="27">
        <f>SUMIF(BOM!$B:$B,원재료!$B35,BOM!K:K)</f>
        <v>0</v>
      </c>
      <c r="AX35" s="27">
        <f>SUMIF(BOM!$B:$B,원재료!$B35,BOM!L:L)</f>
        <v>0</v>
      </c>
      <c r="AY35" s="27">
        <f>SUMIF(BOM!$B:$B,원재료!$B35,BOM!M:M)</f>
        <v>0</v>
      </c>
      <c r="AZ35" s="27">
        <f>SUMIF(BOM!$B:$B,원재료!$B35,BOM!N:N)</f>
        <v>0</v>
      </c>
      <c r="BA35" s="27">
        <f>SUMIF(BOM!$B:$B,원재료!$B35,BOM!O:O)</f>
        <v>0</v>
      </c>
      <c r="BB35" s="28">
        <f>SUMIF(BOM!$B:$B,원재료!$B35,BOM!P:P)</f>
        <v>0</v>
      </c>
    </row>
    <row r="36" spans="1:54" x14ac:dyDescent="0.3">
      <c r="A36" s="21" t="s">
        <v>122</v>
      </c>
      <c r="B36" s="83">
        <v>313906</v>
      </c>
      <c r="C36" s="83" t="s">
        <v>77</v>
      </c>
      <c r="D36" s="84">
        <v>10</v>
      </c>
      <c r="E36" s="100">
        <v>78000</v>
      </c>
      <c r="F36" s="98">
        <f t="shared" si="2"/>
        <v>0</v>
      </c>
      <c r="G36" s="22">
        <f t="shared" si="19"/>
        <v>0</v>
      </c>
      <c r="H36" s="22">
        <f>IFERROR(VLOOKUP(B36,'음성공장 재고장'!A:E,4,FALSE),0)</f>
        <v>0</v>
      </c>
      <c r="I36" s="22">
        <f t="shared" si="9"/>
        <v>0</v>
      </c>
      <c r="J36" s="95" t="str">
        <f>IFERROR(VLOOKUP(B36,'음성공장 재고장'!A:E,5,FALSE),0)</f>
        <v>없음</v>
      </c>
      <c r="K36" s="97">
        <f>IFERROR(VLOOKUP(B36,'음성공장 재고장'!A:F,6,FALSE),0)</f>
        <v>0</v>
      </c>
      <c r="L36" s="22">
        <f t="shared" si="10"/>
        <v>0</v>
      </c>
      <c r="M36" s="95" t="str">
        <f>IFERROR(VLOOKUP(B36,'음성공장 재고장'!A:G,7,FALSE),0)</f>
        <v>없음</v>
      </c>
      <c r="N36" s="85"/>
      <c r="O36" s="22">
        <f t="shared" si="15"/>
        <v>0</v>
      </c>
      <c r="P36" s="118"/>
      <c r="Q36" s="22">
        <f t="shared" si="20"/>
        <v>0</v>
      </c>
      <c r="R36" s="123">
        <f t="shared" si="22"/>
        <v>0</v>
      </c>
      <c r="S36" s="6">
        <f t="shared" si="11"/>
        <v>0.63122866894197949</v>
      </c>
      <c r="T36" s="63">
        <f t="shared" si="21"/>
        <v>0</v>
      </c>
      <c r="U36" s="48" t="str">
        <f t="shared" si="12"/>
        <v>재고없음</v>
      </c>
      <c r="V36" s="50" t="str">
        <f t="shared" si="16"/>
        <v>재고없음</v>
      </c>
      <c r="W36" s="177">
        <v>60</v>
      </c>
      <c r="X36" s="178">
        <v>0</v>
      </c>
      <c r="Y36" s="221">
        <f t="shared" si="17"/>
        <v>1.262457337883959</v>
      </c>
      <c r="Z36" s="221">
        <f t="shared" ca="1" si="23"/>
        <v>0</v>
      </c>
      <c r="AA36" s="46">
        <f t="shared" si="6"/>
        <v>0</v>
      </c>
      <c r="AB36" s="65" t="str">
        <f t="shared" si="7"/>
        <v>-</v>
      </c>
      <c r="AC36" s="65">
        <f>COUNTIF(BOM!B:B,원재료!B36)</f>
        <v>3</v>
      </c>
      <c r="AD36" s="103" t="str">
        <f t="shared" si="18"/>
        <v>판매활성화</v>
      </c>
      <c r="AE36" s="27">
        <v>5.6491467576791816</v>
      </c>
      <c r="AF36" s="27">
        <v>8.0585324232081916</v>
      </c>
      <c r="AG36" s="27">
        <v>5.6</v>
      </c>
      <c r="AH36" s="27">
        <v>18</v>
      </c>
      <c r="AI36" s="27">
        <v>9</v>
      </c>
      <c r="AJ36" s="27">
        <v>0.91228668941979529</v>
      </c>
      <c r="AK36" s="27">
        <v>4.5245733788395901</v>
      </c>
      <c r="AL36" s="27">
        <v>3.040955631399318</v>
      </c>
      <c r="AM36" s="27">
        <v>5.7778156996587047</v>
      </c>
      <c r="AN36" s="27">
        <v>0.45614334470989765</v>
      </c>
      <c r="AO36" s="27">
        <v>5.3999999999999995</v>
      </c>
      <c r="AP36" s="28">
        <v>3.6</v>
      </c>
      <c r="AQ36" s="27">
        <f>SUMIF(BOM!$B:$B,원재료!$B36,BOM!E:E)</f>
        <v>0</v>
      </c>
      <c r="AR36" s="27">
        <f>SUMIF(BOM!$B:$B,원재료!$B36,BOM!F:F)</f>
        <v>0.45614334470989765</v>
      </c>
      <c r="AS36" s="27">
        <f>SUMIF(BOM!$B:$B,원재료!$B36,BOM!G:G)</f>
        <v>0</v>
      </c>
      <c r="AT36" s="27">
        <f>SUMIF(BOM!$B:$B,원재료!$B36,BOM!H:H)</f>
        <v>0</v>
      </c>
      <c r="AU36" s="27">
        <f>SUMIF(BOM!$B:$B,원재료!$B36,BOM!I:I)</f>
        <v>2.6999999999999997</v>
      </c>
      <c r="AV36" s="27">
        <f>SUMIF(BOM!$B:$B,원재료!$B36,BOM!J:J)</f>
        <v>0</v>
      </c>
      <c r="AW36" s="27">
        <f>SUMIF(BOM!$B:$B,원재료!$B36,BOM!K:K)</f>
        <v>0</v>
      </c>
      <c r="AX36" s="27">
        <f>SUMIF(BOM!$B:$B,원재료!$B36,BOM!L:L)</f>
        <v>0</v>
      </c>
      <c r="AY36" s="27">
        <f>SUMIF(BOM!$B:$B,원재료!$B36,BOM!M:M)</f>
        <v>0</v>
      </c>
      <c r="AZ36" s="27">
        <f>SUMIF(BOM!$B:$B,원재료!$B36,BOM!N:N)</f>
        <v>0</v>
      </c>
      <c r="BA36" s="27">
        <f>SUMIF(BOM!$B:$B,원재료!$B36,BOM!O:O)</f>
        <v>0</v>
      </c>
      <c r="BB36" s="28">
        <f>SUMIF(BOM!$B:$B,원재료!$B36,BOM!P:P)</f>
        <v>0</v>
      </c>
    </row>
    <row r="37" spans="1:54" x14ac:dyDescent="0.3">
      <c r="A37" s="21" t="s">
        <v>122</v>
      </c>
      <c r="B37" s="83">
        <v>262518</v>
      </c>
      <c r="C37" s="83" t="s">
        <v>78</v>
      </c>
      <c r="D37" s="84">
        <v>20</v>
      </c>
      <c r="E37" s="100">
        <v>36700</v>
      </c>
      <c r="F37" s="98">
        <f t="shared" si="2"/>
        <v>329.34</v>
      </c>
      <c r="G37" s="22">
        <f t="shared" si="19"/>
        <v>12086778</v>
      </c>
      <c r="H37" s="22">
        <f>IFERROR(VLOOKUP(B37,'음성공장 재고장'!A:E,4,FALSE),0)</f>
        <v>29.34</v>
      </c>
      <c r="I37" s="22">
        <f t="shared" si="9"/>
        <v>1076778</v>
      </c>
      <c r="J37" s="95">
        <f>IFERROR(VLOOKUP(B37,'음성공장 재고장'!A:E,5,FALSE),0)</f>
        <v>45968</v>
      </c>
      <c r="K37" s="97">
        <f>IFERROR(VLOOKUP(B37,'음성공장 재고장'!A:F,6,FALSE),0)</f>
        <v>0</v>
      </c>
      <c r="L37" s="22">
        <f t="shared" si="10"/>
        <v>0</v>
      </c>
      <c r="M37" s="95" t="str">
        <f>IFERROR(VLOOKUP(B37,'음성공장 재고장'!A:G,7,FALSE),0)</f>
        <v>없음</v>
      </c>
      <c r="N37" s="97">
        <v>300</v>
      </c>
      <c r="O37" s="22">
        <f t="shared" si="15"/>
        <v>11010000</v>
      </c>
      <c r="P37" s="95">
        <v>46478</v>
      </c>
      <c r="Q37" s="22">
        <f t="shared" ca="1" si="20"/>
        <v>329.34</v>
      </c>
      <c r="R37" s="123">
        <f t="shared" ca="1" si="22"/>
        <v>12086778</v>
      </c>
      <c r="S37" s="6">
        <f t="shared" si="11"/>
        <v>0</v>
      </c>
      <c r="T37" s="63">
        <f t="shared" si="21"/>
        <v>0</v>
      </c>
      <c r="U37" s="48" t="str">
        <f t="shared" si="12"/>
        <v>사용없음</v>
      </c>
      <c r="V37" s="50">
        <f t="shared" si="16"/>
        <v>45968</v>
      </c>
      <c r="W37" s="177">
        <f>5*30</f>
        <v>150</v>
      </c>
      <c r="X37" s="178">
        <v>1000</v>
      </c>
      <c r="Y37" s="221">
        <f t="shared" si="17"/>
        <v>0</v>
      </c>
      <c r="Z37" s="221" t="str">
        <f t="shared" ca="1" si="23"/>
        <v>X</v>
      </c>
      <c r="AA37" s="46" t="str">
        <f t="shared" si="6"/>
        <v>X</v>
      </c>
      <c r="AB37" s="65" t="str">
        <f t="shared" si="7"/>
        <v>C</v>
      </c>
      <c r="AC37" s="65">
        <f>COUNTIF(BOM!B:B,원재료!B37)</f>
        <v>3</v>
      </c>
      <c r="AD37" s="103" t="str">
        <f t="shared" si="18"/>
        <v>소진계획필요</v>
      </c>
      <c r="AE37" s="27">
        <v>18.000000000000004</v>
      </c>
      <c r="AF37" s="27">
        <v>0</v>
      </c>
      <c r="AG37" s="27">
        <v>18.000000000000004</v>
      </c>
      <c r="AH37" s="27">
        <v>0</v>
      </c>
      <c r="AI37" s="27">
        <v>41.727825539945485</v>
      </c>
      <c r="AJ37" s="27">
        <v>1.6</v>
      </c>
      <c r="AK37" s="27">
        <v>0</v>
      </c>
      <c r="AL37" s="27">
        <v>73</v>
      </c>
      <c r="AM37" s="27">
        <v>0</v>
      </c>
      <c r="AN37" s="27">
        <v>25.6</v>
      </c>
      <c r="AO37" s="27">
        <v>0</v>
      </c>
      <c r="AP37" s="28">
        <v>0</v>
      </c>
      <c r="AQ37" s="27">
        <f>SUMIF(BOM!$B:$B,원재료!$B37,BOM!E:E)</f>
        <v>0</v>
      </c>
      <c r="AR37" s="27">
        <f>SUMIF(BOM!$B:$B,원재료!$B37,BOM!F:F)</f>
        <v>0</v>
      </c>
      <c r="AS37" s="27">
        <f>SUMIF(BOM!$B:$B,원재료!$B37,BOM!G:G)</f>
        <v>0</v>
      </c>
      <c r="AT37" s="27">
        <f>SUMIF(BOM!$B:$B,원재료!$B37,BOM!H:H)</f>
        <v>0</v>
      </c>
      <c r="AU37" s="27">
        <f>SUMIF(BOM!$B:$B,원재료!$B37,BOM!I:I)</f>
        <v>0</v>
      </c>
      <c r="AV37" s="27">
        <f>SUMIF(BOM!$B:$B,원재료!$B37,BOM!J:J)</f>
        <v>0</v>
      </c>
      <c r="AW37" s="27">
        <f>SUMIF(BOM!$B:$B,원재료!$B37,BOM!K:K)</f>
        <v>0</v>
      </c>
      <c r="AX37" s="27">
        <f>SUMIF(BOM!$B:$B,원재료!$B37,BOM!L:L)</f>
        <v>0</v>
      </c>
      <c r="AY37" s="27">
        <f>SUMIF(BOM!$B:$B,원재료!$B37,BOM!M:M)</f>
        <v>0</v>
      </c>
      <c r="AZ37" s="27">
        <f>SUMIF(BOM!$B:$B,원재료!$B37,BOM!N:N)</f>
        <v>0</v>
      </c>
      <c r="BA37" s="27">
        <f>SUMIF(BOM!$B:$B,원재료!$B37,BOM!O:O)</f>
        <v>0</v>
      </c>
      <c r="BB37" s="28">
        <f>SUMIF(BOM!$B:$B,원재료!$B37,BOM!P:P)</f>
        <v>0</v>
      </c>
    </row>
    <row r="38" spans="1:54" x14ac:dyDescent="0.3">
      <c r="A38" s="21" t="s">
        <v>122</v>
      </c>
      <c r="B38" s="83">
        <v>320550</v>
      </c>
      <c r="C38" s="83" t="s">
        <v>79</v>
      </c>
      <c r="D38" s="84">
        <v>0</v>
      </c>
      <c r="E38" s="100">
        <v>48750</v>
      </c>
      <c r="F38" s="98">
        <f t="shared" si="2"/>
        <v>0</v>
      </c>
      <c r="G38" s="22">
        <f t="shared" si="19"/>
        <v>0</v>
      </c>
      <c r="H38" s="22">
        <f>IFERROR(VLOOKUP(B38,'음성공장 재고장'!A:E,4,FALSE),0)</f>
        <v>0</v>
      </c>
      <c r="I38" s="22">
        <f t="shared" si="9"/>
        <v>0</v>
      </c>
      <c r="J38" s="95" t="str">
        <f>IFERROR(VLOOKUP(B38,'음성공장 재고장'!A:E,5,FALSE),0)</f>
        <v>없음</v>
      </c>
      <c r="K38" s="97">
        <f>IFERROR(VLOOKUP(B38,'음성공장 재고장'!A:F,6,FALSE),0)</f>
        <v>0</v>
      </c>
      <c r="L38" s="22">
        <f t="shared" si="10"/>
        <v>0</v>
      </c>
      <c r="M38" s="95" t="str">
        <f>IFERROR(VLOOKUP(B38,'음성공장 재고장'!A:G,7,FALSE),0)</f>
        <v>없음</v>
      </c>
      <c r="N38" s="85"/>
      <c r="O38" s="22">
        <f t="shared" si="15"/>
        <v>0</v>
      </c>
      <c r="P38" s="90"/>
      <c r="Q38" s="22">
        <f t="shared" ca="1" si="20"/>
        <v>0</v>
      </c>
      <c r="R38" s="123">
        <f t="shared" ca="1" si="22"/>
        <v>0</v>
      </c>
      <c r="S38" s="6">
        <f t="shared" si="11"/>
        <v>0</v>
      </c>
      <c r="T38" s="63">
        <f t="shared" si="21"/>
        <v>0</v>
      </c>
      <c r="U38" s="48" t="str">
        <f t="shared" si="12"/>
        <v>재고없음</v>
      </c>
      <c r="V38" s="50" t="str">
        <f t="shared" si="16"/>
        <v>재고없음</v>
      </c>
      <c r="W38" s="177">
        <v>60</v>
      </c>
      <c r="X38" s="178">
        <v>20</v>
      </c>
      <c r="Y38" s="221">
        <f t="shared" si="17"/>
        <v>0</v>
      </c>
      <c r="Z38" s="221">
        <f t="shared" ca="1" si="23"/>
        <v>0</v>
      </c>
      <c r="AA38" s="46">
        <f t="shared" si="6"/>
        <v>0</v>
      </c>
      <c r="AB38" s="65" t="str">
        <f t="shared" si="7"/>
        <v>-</v>
      </c>
      <c r="AC38" s="65">
        <f>COUNTIF(BOM!B:B,원재료!B38)</f>
        <v>1</v>
      </c>
      <c r="AD38" s="103" t="str">
        <f t="shared" si="18"/>
        <v>판매활성화</v>
      </c>
      <c r="AE38" s="27">
        <v>0</v>
      </c>
      <c r="AF38" s="27">
        <v>4.0098057216000002E-2</v>
      </c>
      <c r="AG38" s="27">
        <v>0.40098057215999994</v>
      </c>
      <c r="AH38" s="27">
        <v>0.26732038143999998</v>
      </c>
      <c r="AI38" s="27">
        <v>0</v>
      </c>
      <c r="AJ38" s="27">
        <v>0</v>
      </c>
      <c r="AK38" s="27">
        <v>0.40098057215999999</v>
      </c>
      <c r="AL38" s="27">
        <v>4.0098057216000002E-2</v>
      </c>
      <c r="AM38" s="27">
        <v>0</v>
      </c>
      <c r="AN38" s="27">
        <v>0</v>
      </c>
      <c r="AO38" s="27">
        <v>0</v>
      </c>
      <c r="AP38" s="28">
        <v>0</v>
      </c>
      <c r="AQ38" s="27">
        <f>SUMIF(BOM!$B:$B,원재료!$B38,BOM!E:E)</f>
        <v>0</v>
      </c>
      <c r="AR38" s="27">
        <f>SUMIF(BOM!$B:$B,원재료!$B38,BOM!F:F)</f>
        <v>0</v>
      </c>
      <c r="AS38" s="27">
        <f>SUMIF(BOM!$B:$B,원재료!$B38,BOM!G:G)</f>
        <v>0</v>
      </c>
      <c r="AT38" s="27">
        <f>SUMIF(BOM!$B:$B,원재료!$B38,BOM!H:H)</f>
        <v>0</v>
      </c>
      <c r="AU38" s="27">
        <f>SUMIF(BOM!$B:$B,원재료!$B38,BOM!I:I)</f>
        <v>0</v>
      </c>
      <c r="AV38" s="27">
        <f>SUMIF(BOM!$B:$B,원재료!$B38,BOM!J:J)</f>
        <v>0</v>
      </c>
      <c r="AW38" s="27">
        <f>SUMIF(BOM!$B:$B,원재료!$B38,BOM!K:K)</f>
        <v>0</v>
      </c>
      <c r="AX38" s="27">
        <f>SUMIF(BOM!$B:$B,원재료!$B38,BOM!L:L)</f>
        <v>0</v>
      </c>
      <c r="AY38" s="27">
        <f>SUMIF(BOM!$B:$B,원재료!$B38,BOM!M:M)</f>
        <v>0</v>
      </c>
      <c r="AZ38" s="27">
        <f>SUMIF(BOM!$B:$B,원재료!$B38,BOM!N:N)</f>
        <v>0</v>
      </c>
      <c r="BA38" s="27">
        <f>SUMIF(BOM!$B:$B,원재료!$B38,BOM!O:O)</f>
        <v>0</v>
      </c>
      <c r="BB38" s="28">
        <f>SUMIF(BOM!$B:$B,원재료!$B38,BOM!P:P)</f>
        <v>0</v>
      </c>
    </row>
    <row r="39" spans="1:54" x14ac:dyDescent="0.3">
      <c r="A39" s="21" t="s">
        <v>122</v>
      </c>
      <c r="B39" s="83">
        <v>206080</v>
      </c>
      <c r="C39" s="83" t="s">
        <v>80</v>
      </c>
      <c r="D39" s="84">
        <v>20</v>
      </c>
      <c r="E39" s="100">
        <v>6854</v>
      </c>
      <c r="F39" s="98">
        <f t="shared" si="2"/>
        <v>0</v>
      </c>
      <c r="G39" s="22">
        <f t="shared" si="19"/>
        <v>0</v>
      </c>
      <c r="H39" s="22">
        <f>IFERROR(VLOOKUP(B39,'음성공장 재고장'!A:E,4,FALSE),0)</f>
        <v>0</v>
      </c>
      <c r="I39" s="22">
        <f t="shared" si="9"/>
        <v>0</v>
      </c>
      <c r="J39" s="95" t="str">
        <f>IFERROR(VLOOKUP(B39,'음성공장 재고장'!A:E,5,FALSE),0)</f>
        <v>없음</v>
      </c>
      <c r="K39" s="97">
        <f>IFERROR(VLOOKUP(B39,'음성공장 재고장'!A:F,6,FALSE),0)</f>
        <v>0</v>
      </c>
      <c r="L39" s="22">
        <f t="shared" si="10"/>
        <v>0</v>
      </c>
      <c r="M39" s="95" t="str">
        <f>IFERROR(VLOOKUP(B39,'음성공장 재고장'!A:G,7,FALSE),0)</f>
        <v>없음</v>
      </c>
      <c r="N39" s="85"/>
      <c r="O39" s="22">
        <f t="shared" si="15"/>
        <v>0</v>
      </c>
      <c r="P39" s="90"/>
      <c r="Q39" s="22">
        <f t="shared" ca="1" si="20"/>
        <v>0</v>
      </c>
      <c r="R39" s="123">
        <f t="shared" ca="1" si="22"/>
        <v>0</v>
      </c>
      <c r="S39" s="6">
        <f t="shared" si="11"/>
        <v>0</v>
      </c>
      <c r="T39" s="63">
        <f t="shared" si="21"/>
        <v>0</v>
      </c>
      <c r="U39" s="48" t="str">
        <f t="shared" si="12"/>
        <v>재고없음</v>
      </c>
      <c r="V39" s="50" t="str">
        <f t="shared" si="16"/>
        <v>재고없음</v>
      </c>
      <c r="W39" s="177">
        <v>0</v>
      </c>
      <c r="X39" s="178">
        <v>0</v>
      </c>
      <c r="Y39" s="221">
        <f t="shared" si="17"/>
        <v>0</v>
      </c>
      <c r="Z39" s="221">
        <f t="shared" ca="1" si="23"/>
        <v>0</v>
      </c>
      <c r="AA39" s="46">
        <f t="shared" si="6"/>
        <v>0</v>
      </c>
      <c r="AB39" s="65" t="str">
        <f t="shared" si="7"/>
        <v>-</v>
      </c>
      <c r="AC39" s="65">
        <f>COUNTIF(BOM!B:B,원재료!B39)</f>
        <v>2</v>
      </c>
      <c r="AD39" s="103" t="str">
        <f t="shared" si="18"/>
        <v>판매활성화</v>
      </c>
      <c r="AE39" s="27">
        <v>0</v>
      </c>
      <c r="AF39" s="27">
        <v>0</v>
      </c>
      <c r="AG39" s="27">
        <v>0</v>
      </c>
      <c r="AH39" s="27">
        <v>0</v>
      </c>
      <c r="AI39" s="27">
        <v>22.191934018312715</v>
      </c>
      <c r="AJ39" s="27">
        <v>1</v>
      </c>
      <c r="AK39" s="27">
        <v>0</v>
      </c>
      <c r="AL39" s="27">
        <v>41.8</v>
      </c>
      <c r="AM39" s="27">
        <v>0</v>
      </c>
      <c r="AN39" s="27">
        <v>16</v>
      </c>
      <c r="AO39" s="27">
        <v>0</v>
      </c>
      <c r="AP39" s="28">
        <v>0</v>
      </c>
      <c r="AQ39" s="27">
        <f>SUMIF(BOM!$B:$B,원재료!$B39,BOM!E:E)</f>
        <v>0</v>
      </c>
      <c r="AR39" s="27">
        <f>SUMIF(BOM!$B:$B,원재료!$B39,BOM!F:F)</f>
        <v>0</v>
      </c>
      <c r="AS39" s="27">
        <f>SUMIF(BOM!$B:$B,원재료!$B39,BOM!G:G)</f>
        <v>0</v>
      </c>
      <c r="AT39" s="27">
        <f>SUMIF(BOM!$B:$B,원재료!$B39,BOM!H:H)</f>
        <v>0</v>
      </c>
      <c r="AU39" s="27">
        <f>SUMIF(BOM!$B:$B,원재료!$B39,BOM!I:I)</f>
        <v>0</v>
      </c>
      <c r="AV39" s="27">
        <f>SUMIF(BOM!$B:$B,원재료!$B39,BOM!J:J)</f>
        <v>0</v>
      </c>
      <c r="AW39" s="27">
        <f>SUMIF(BOM!$B:$B,원재료!$B39,BOM!K:K)</f>
        <v>0</v>
      </c>
      <c r="AX39" s="27">
        <f>SUMIF(BOM!$B:$B,원재료!$B39,BOM!L:L)</f>
        <v>0</v>
      </c>
      <c r="AY39" s="27">
        <f>SUMIF(BOM!$B:$B,원재료!$B39,BOM!M:M)</f>
        <v>0</v>
      </c>
      <c r="AZ39" s="27">
        <f>SUMIF(BOM!$B:$B,원재료!$B39,BOM!N:N)</f>
        <v>0</v>
      </c>
      <c r="BA39" s="27">
        <f>SUMIF(BOM!$B:$B,원재료!$B39,BOM!O:O)</f>
        <v>0</v>
      </c>
      <c r="BB39" s="28">
        <f>SUMIF(BOM!$B:$B,원재료!$B39,BOM!P:P)</f>
        <v>0</v>
      </c>
    </row>
    <row r="40" spans="1:54" x14ac:dyDescent="0.3">
      <c r="A40" s="21" t="s">
        <v>122</v>
      </c>
      <c r="B40" s="83">
        <v>261874</v>
      </c>
      <c r="C40" s="83" t="s">
        <v>81</v>
      </c>
      <c r="D40" s="84">
        <v>1</v>
      </c>
      <c r="E40" s="100">
        <v>2770</v>
      </c>
      <c r="F40" s="98">
        <f t="shared" si="2"/>
        <v>0</v>
      </c>
      <c r="G40" s="22">
        <f t="shared" si="19"/>
        <v>0</v>
      </c>
      <c r="H40" s="22">
        <f>IFERROR(VLOOKUP(B40,'음성공장 재고장'!A:E,4,FALSE),0)</f>
        <v>0</v>
      </c>
      <c r="I40" s="22">
        <f t="shared" si="9"/>
        <v>0</v>
      </c>
      <c r="J40" s="95" t="str">
        <f>IFERROR(VLOOKUP(B40,'음성공장 재고장'!A:E,5,FALSE),0)</f>
        <v>없음</v>
      </c>
      <c r="K40" s="97">
        <f>IFERROR(VLOOKUP(B40,'음성공장 재고장'!A:F,6,FALSE),0)</f>
        <v>0</v>
      </c>
      <c r="L40" s="22">
        <f t="shared" si="10"/>
        <v>0</v>
      </c>
      <c r="M40" s="95" t="str">
        <f>IFERROR(VLOOKUP(B40,'음성공장 재고장'!A:G,7,FALSE),0)</f>
        <v>없음</v>
      </c>
      <c r="N40" s="85"/>
      <c r="O40" s="22">
        <f t="shared" si="15"/>
        <v>0</v>
      </c>
      <c r="P40" s="118"/>
      <c r="Q40" s="22">
        <f t="shared" ca="1" si="20"/>
        <v>0</v>
      </c>
      <c r="R40" s="123">
        <f t="shared" ca="1" si="22"/>
        <v>0</v>
      </c>
      <c r="S40" s="6">
        <f t="shared" si="11"/>
        <v>0</v>
      </c>
      <c r="T40" s="63">
        <f t="shared" si="21"/>
        <v>0</v>
      </c>
      <c r="U40" s="48" t="str">
        <f t="shared" si="12"/>
        <v>재고없음</v>
      </c>
      <c r="V40" s="50" t="str">
        <f t="shared" si="16"/>
        <v>재고없음</v>
      </c>
      <c r="W40" s="177">
        <v>0</v>
      </c>
      <c r="X40" s="178">
        <v>0</v>
      </c>
      <c r="Y40" s="221">
        <f t="shared" si="17"/>
        <v>0</v>
      </c>
      <c r="Z40" s="221">
        <f t="shared" ca="1" si="23"/>
        <v>0</v>
      </c>
      <c r="AA40" s="46">
        <f t="shared" si="6"/>
        <v>0</v>
      </c>
      <c r="AB40" s="65" t="str">
        <f t="shared" si="7"/>
        <v>-</v>
      </c>
      <c r="AC40" s="65">
        <f>COUNTIF(BOM!B:B,원재료!B40)</f>
        <v>0</v>
      </c>
      <c r="AD40" s="103" t="str">
        <f t="shared" si="18"/>
        <v>판매활성화</v>
      </c>
      <c r="AE40" s="27">
        <v>0</v>
      </c>
      <c r="AF40" s="27">
        <v>0</v>
      </c>
      <c r="AG40" s="27">
        <v>0</v>
      </c>
      <c r="AH40" s="27">
        <v>0</v>
      </c>
      <c r="AI40" s="27">
        <v>339.94548123296295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8">
        <v>0</v>
      </c>
      <c r="AQ40" s="27">
        <f>SUMIF(BOM!$B:$B,원재료!$B40,BOM!E:E)</f>
        <v>0</v>
      </c>
      <c r="AR40" s="27">
        <f>SUMIF(BOM!$B:$B,원재료!$B40,BOM!F:F)</f>
        <v>0</v>
      </c>
      <c r="AS40" s="27">
        <f>SUMIF(BOM!$B:$B,원재료!$B40,BOM!G:G)</f>
        <v>0</v>
      </c>
      <c r="AT40" s="27">
        <f>SUMIF(BOM!$B:$B,원재료!$B40,BOM!H:H)</f>
        <v>0</v>
      </c>
      <c r="AU40" s="27">
        <f>SUMIF(BOM!$B:$B,원재료!$B40,BOM!I:I)</f>
        <v>0</v>
      </c>
      <c r="AV40" s="27">
        <f>SUMIF(BOM!$B:$B,원재료!$B40,BOM!J:J)</f>
        <v>0</v>
      </c>
      <c r="AW40" s="27">
        <f>SUMIF(BOM!$B:$B,원재료!$B40,BOM!K:K)</f>
        <v>0</v>
      </c>
      <c r="AX40" s="27">
        <f>SUMIF(BOM!$B:$B,원재료!$B40,BOM!L:L)</f>
        <v>0</v>
      </c>
      <c r="AY40" s="27">
        <f>SUMIF(BOM!$B:$B,원재료!$B40,BOM!M:M)</f>
        <v>0</v>
      </c>
      <c r="AZ40" s="27">
        <f>SUMIF(BOM!$B:$B,원재료!$B40,BOM!N:N)</f>
        <v>0</v>
      </c>
      <c r="BA40" s="27">
        <f>SUMIF(BOM!$B:$B,원재료!$B40,BOM!O:O)</f>
        <v>0</v>
      </c>
      <c r="BB40" s="28">
        <f>SUMIF(BOM!$B:$B,원재료!$B40,BOM!P:P)</f>
        <v>0</v>
      </c>
    </row>
    <row r="41" spans="1:54" x14ac:dyDescent="0.3">
      <c r="A41" s="21" t="s">
        <v>122</v>
      </c>
      <c r="B41" s="83">
        <v>327149</v>
      </c>
      <c r="C41" s="83" t="s">
        <v>82</v>
      </c>
      <c r="D41" s="84">
        <v>0</v>
      </c>
      <c r="E41" s="100">
        <v>7000</v>
      </c>
      <c r="F41" s="98">
        <f t="shared" si="2"/>
        <v>0</v>
      </c>
      <c r="G41" s="22">
        <f t="shared" si="19"/>
        <v>0</v>
      </c>
      <c r="H41" s="22">
        <f>IFERROR(VLOOKUP(B41,'음성공장 재고장'!A:E,4,FALSE),0)</f>
        <v>0</v>
      </c>
      <c r="I41" s="22">
        <f t="shared" si="9"/>
        <v>0</v>
      </c>
      <c r="J41" s="95" t="str">
        <f>IFERROR(VLOOKUP(B41,'음성공장 재고장'!A:E,5,FALSE),0)</f>
        <v>없음</v>
      </c>
      <c r="K41" s="97">
        <f>IFERROR(VLOOKUP(B41,'음성공장 재고장'!A:F,6,FALSE),0)</f>
        <v>0</v>
      </c>
      <c r="L41" s="22">
        <f t="shared" si="10"/>
        <v>0</v>
      </c>
      <c r="M41" s="95" t="str">
        <f>IFERROR(VLOOKUP(B41,'음성공장 재고장'!A:G,7,FALSE),0)</f>
        <v>없음</v>
      </c>
      <c r="N41" s="85"/>
      <c r="O41" s="22">
        <f t="shared" si="15"/>
        <v>0</v>
      </c>
      <c r="P41" s="90"/>
      <c r="Q41" s="22">
        <f t="shared" ca="1" si="20"/>
        <v>0</v>
      </c>
      <c r="R41" s="123">
        <f t="shared" ca="1" si="22"/>
        <v>0</v>
      </c>
      <c r="S41" s="6">
        <f t="shared" si="11"/>
        <v>0</v>
      </c>
      <c r="T41" s="63">
        <f t="shared" si="21"/>
        <v>0</v>
      </c>
      <c r="U41" s="48" t="str">
        <f t="shared" si="12"/>
        <v>재고없음</v>
      </c>
      <c r="V41" s="50" t="str">
        <f t="shared" si="16"/>
        <v>재고없음</v>
      </c>
      <c r="W41" s="177">
        <v>14</v>
      </c>
      <c r="X41" s="178">
        <v>300</v>
      </c>
      <c r="Y41" s="221">
        <f t="shared" si="17"/>
        <v>0</v>
      </c>
      <c r="Z41" s="221">
        <f t="shared" ca="1" si="23"/>
        <v>0</v>
      </c>
      <c r="AA41" s="46">
        <f t="shared" si="6"/>
        <v>0</v>
      </c>
      <c r="AB41" s="65" t="str">
        <f t="shared" ref="AB41:AB70" si="24">IF(U41="사용없음",$AD$2,IF(T41=0,"-",IF(T41&lt;=1,$AA$2,IF(AND(T41&gt;1,T41&lt;=4),$AB$2,$AD$2))))</f>
        <v>-</v>
      </c>
      <c r="AC41" s="65">
        <f>COUNTIF(BOM!B:B,원재료!B41)</f>
        <v>1</v>
      </c>
      <c r="AD41" s="103" t="str">
        <f t="shared" si="18"/>
        <v>판매활성화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218.02325581395345</v>
      </c>
      <c r="AO41" s="27">
        <v>0</v>
      </c>
      <c r="AP41" s="28">
        <v>0</v>
      </c>
      <c r="AQ41" s="27">
        <f>SUMIF(BOM!$B:$B,원재료!$B41,BOM!E:E)</f>
        <v>0</v>
      </c>
      <c r="AR41" s="27">
        <f>SUMIF(BOM!$B:$B,원재료!$B41,BOM!F:F)</f>
        <v>0</v>
      </c>
      <c r="AS41" s="27">
        <f>SUMIF(BOM!$B:$B,원재료!$B41,BOM!G:G)</f>
        <v>0</v>
      </c>
      <c r="AT41" s="27">
        <f>SUMIF(BOM!$B:$B,원재료!$B41,BOM!H:H)</f>
        <v>0</v>
      </c>
      <c r="AU41" s="27">
        <f>SUMIF(BOM!$B:$B,원재료!$B41,BOM!I:I)</f>
        <v>0</v>
      </c>
      <c r="AV41" s="27">
        <f>SUMIF(BOM!$B:$B,원재료!$B41,BOM!J:J)</f>
        <v>0</v>
      </c>
      <c r="AW41" s="27">
        <f>SUMIF(BOM!$B:$B,원재료!$B41,BOM!K:K)</f>
        <v>0</v>
      </c>
      <c r="AX41" s="27">
        <f>SUMIF(BOM!$B:$B,원재료!$B41,BOM!L:L)</f>
        <v>0</v>
      </c>
      <c r="AY41" s="27">
        <f>SUMIF(BOM!$B:$B,원재료!$B41,BOM!M:M)</f>
        <v>0</v>
      </c>
      <c r="AZ41" s="27">
        <f>SUMIF(BOM!$B:$B,원재료!$B41,BOM!N:N)</f>
        <v>0</v>
      </c>
      <c r="BA41" s="27">
        <f>SUMIF(BOM!$B:$B,원재료!$B41,BOM!O:O)</f>
        <v>0</v>
      </c>
      <c r="BB41" s="28">
        <f>SUMIF(BOM!$B:$B,원재료!$B41,BOM!P:P)</f>
        <v>0</v>
      </c>
    </row>
    <row r="42" spans="1:54" x14ac:dyDescent="0.3">
      <c r="A42" s="21" t="s">
        <v>122</v>
      </c>
      <c r="B42" s="83">
        <v>334592</v>
      </c>
      <c r="C42" s="83" t="s">
        <v>83</v>
      </c>
      <c r="D42" s="84">
        <v>0</v>
      </c>
      <c r="E42" s="100">
        <v>18000</v>
      </c>
      <c r="F42" s="98">
        <f t="shared" si="2"/>
        <v>0</v>
      </c>
      <c r="G42" s="22">
        <f t="shared" si="19"/>
        <v>0</v>
      </c>
      <c r="H42" s="22">
        <f>IFERROR(VLOOKUP(B42,'음성공장 재고장'!A:E,4,FALSE),0)</f>
        <v>0</v>
      </c>
      <c r="I42" s="22">
        <f t="shared" si="9"/>
        <v>0</v>
      </c>
      <c r="J42" s="95" t="str">
        <f>IFERROR(VLOOKUP(B42,'음성공장 재고장'!A:E,5,FALSE),0)</f>
        <v>없음</v>
      </c>
      <c r="K42" s="97">
        <f>IFERROR(VLOOKUP(B42,'음성공장 재고장'!A:F,6,FALSE),0)</f>
        <v>0</v>
      </c>
      <c r="L42" s="22">
        <f t="shared" si="10"/>
        <v>0</v>
      </c>
      <c r="M42" s="95" t="str">
        <f>IFERROR(VLOOKUP(B42,'음성공장 재고장'!A:G,7,FALSE),0)</f>
        <v>없음</v>
      </c>
      <c r="N42" s="85"/>
      <c r="O42" s="22">
        <f t="shared" si="15"/>
        <v>0</v>
      </c>
      <c r="P42" s="90"/>
      <c r="Q42" s="22">
        <f t="shared" ca="1" si="20"/>
        <v>0</v>
      </c>
      <c r="R42" s="123">
        <f t="shared" ca="1" si="22"/>
        <v>0</v>
      </c>
      <c r="S42" s="6">
        <f t="shared" si="11"/>
        <v>0</v>
      </c>
      <c r="T42" s="63">
        <f t="shared" si="21"/>
        <v>0</v>
      </c>
      <c r="U42" s="48" t="str">
        <f t="shared" si="12"/>
        <v>재고없음</v>
      </c>
      <c r="V42" s="50" t="str">
        <f t="shared" si="16"/>
        <v>재고없음</v>
      </c>
      <c r="W42" s="177">
        <v>2</v>
      </c>
      <c r="X42" s="178">
        <v>0</v>
      </c>
      <c r="Y42" s="221">
        <f t="shared" si="17"/>
        <v>0</v>
      </c>
      <c r="Z42" s="221">
        <f t="shared" ca="1" si="23"/>
        <v>0</v>
      </c>
      <c r="AA42" s="46">
        <f t="shared" si="6"/>
        <v>0</v>
      </c>
      <c r="AB42" s="65" t="str">
        <f t="shared" si="24"/>
        <v>-</v>
      </c>
      <c r="AC42" s="65">
        <f>COUNTIF(BOM!B:B,원재료!B42)</f>
        <v>1</v>
      </c>
      <c r="AD42" s="103" t="str">
        <f t="shared" si="18"/>
        <v>판매활성화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2.1802325581395348</v>
      </c>
      <c r="AO42" s="27">
        <v>0</v>
      </c>
      <c r="AP42" s="28">
        <v>0</v>
      </c>
      <c r="AQ42" s="27">
        <f>SUMIF(BOM!$B:$B,원재료!$B42,BOM!E:E)</f>
        <v>0</v>
      </c>
      <c r="AR42" s="27">
        <f>SUMIF(BOM!$B:$B,원재료!$B42,BOM!F:F)</f>
        <v>0</v>
      </c>
      <c r="AS42" s="27">
        <f>SUMIF(BOM!$B:$B,원재료!$B42,BOM!G:G)</f>
        <v>0</v>
      </c>
      <c r="AT42" s="27">
        <f>SUMIF(BOM!$B:$B,원재료!$B42,BOM!H:H)</f>
        <v>0</v>
      </c>
      <c r="AU42" s="27">
        <f>SUMIF(BOM!$B:$B,원재료!$B42,BOM!I:I)</f>
        <v>0</v>
      </c>
      <c r="AV42" s="27">
        <f>SUMIF(BOM!$B:$B,원재료!$B42,BOM!J:J)</f>
        <v>0</v>
      </c>
      <c r="AW42" s="27">
        <f>SUMIF(BOM!$B:$B,원재료!$B42,BOM!K:K)</f>
        <v>0</v>
      </c>
      <c r="AX42" s="27">
        <f>SUMIF(BOM!$B:$B,원재료!$B42,BOM!L:L)</f>
        <v>0</v>
      </c>
      <c r="AY42" s="27">
        <f>SUMIF(BOM!$B:$B,원재료!$B42,BOM!M:M)</f>
        <v>0</v>
      </c>
      <c r="AZ42" s="27">
        <f>SUMIF(BOM!$B:$B,원재료!$B42,BOM!N:N)</f>
        <v>0</v>
      </c>
      <c r="BA42" s="27">
        <f>SUMIF(BOM!$B:$B,원재료!$B42,BOM!O:O)</f>
        <v>0</v>
      </c>
      <c r="BB42" s="28">
        <f>SUMIF(BOM!$B:$B,원재료!$B42,BOM!P:P)</f>
        <v>0</v>
      </c>
    </row>
    <row r="43" spans="1:54" x14ac:dyDescent="0.3">
      <c r="A43" s="21" t="s">
        <v>122</v>
      </c>
      <c r="B43" s="83">
        <v>311181</v>
      </c>
      <c r="C43" s="83" t="s">
        <v>94</v>
      </c>
      <c r="D43" s="84">
        <v>20</v>
      </c>
      <c r="E43" s="100">
        <v>17800</v>
      </c>
      <c r="F43" s="98">
        <f t="shared" si="2"/>
        <v>81.559999999999988</v>
      </c>
      <c r="G43" s="22">
        <f t="shared" si="19"/>
        <v>1451767.9999999998</v>
      </c>
      <c r="H43" s="22">
        <f>IFERROR(VLOOKUP(B43,'음성공장 재고장'!A:E,4,FALSE),0)</f>
        <v>66.459999999999994</v>
      </c>
      <c r="I43" s="22">
        <f t="shared" si="9"/>
        <v>1182988</v>
      </c>
      <c r="J43" s="95">
        <f>IFERROR(VLOOKUP(B43,'음성공장 재고장'!A:E,5,FALSE),0)</f>
        <v>45798</v>
      </c>
      <c r="K43" s="97">
        <f>IFERROR(VLOOKUP(B43,'음성공장 재고장'!A:F,6,FALSE),0)</f>
        <v>15.1</v>
      </c>
      <c r="L43" s="22">
        <f t="shared" si="10"/>
        <v>268780</v>
      </c>
      <c r="M43" s="95">
        <f>IFERROR(VLOOKUP(B43,'음성공장 재고장'!A:G,7,FALSE),0)</f>
        <v>45868</v>
      </c>
      <c r="O43" s="22">
        <f t="shared" si="15"/>
        <v>0</v>
      </c>
      <c r="Q43" s="22">
        <f t="shared" ca="1" si="20"/>
        <v>81.559999999999988</v>
      </c>
      <c r="R43" s="123">
        <f t="shared" ca="1" si="22"/>
        <v>1451767.9999999998</v>
      </c>
      <c r="S43" s="6">
        <f t="shared" si="11"/>
        <v>4.3339249146757677</v>
      </c>
      <c r="T43" s="63">
        <f t="shared" si="21"/>
        <v>18.818969318969316</v>
      </c>
      <c r="U43" s="48">
        <f t="shared" ca="1" si="12"/>
        <v>46367.569079569083</v>
      </c>
      <c r="V43" s="50">
        <f t="shared" si="16"/>
        <v>45798</v>
      </c>
      <c r="W43" s="177">
        <f>4*30</f>
        <v>120</v>
      </c>
      <c r="X43" s="178">
        <v>20</v>
      </c>
      <c r="Y43" s="221">
        <f t="shared" si="17"/>
        <v>17.335699658703071</v>
      </c>
      <c r="Z43" s="221" t="str">
        <f t="shared" ca="1" si="23"/>
        <v>O</v>
      </c>
      <c r="AA43" s="46" t="str">
        <f t="shared" ca="1" si="6"/>
        <v>X</v>
      </c>
      <c r="AB43" s="65" t="str">
        <f t="shared" ca="1" si="24"/>
        <v>C</v>
      </c>
      <c r="AC43" s="65">
        <f>COUNTIF(BOM!B:B,원재료!B43)</f>
        <v>7</v>
      </c>
      <c r="AD43" s="103" t="str">
        <f t="shared" ca="1" si="18"/>
        <v>소진계획필요</v>
      </c>
      <c r="AE43" s="27">
        <v>89.648196587030711</v>
      </c>
      <c r="AF43" s="27">
        <v>164.21707412969283</v>
      </c>
      <c r="AG43" s="27">
        <v>43.161599999999993</v>
      </c>
      <c r="AH43" s="27">
        <v>119.2736</v>
      </c>
      <c r="AI43" s="27">
        <v>58.15</v>
      </c>
      <c r="AJ43" s="27">
        <v>11.739249146757679</v>
      </c>
      <c r="AK43" s="27">
        <v>82.048898293515364</v>
      </c>
      <c r="AL43" s="27">
        <v>49.351203822525591</v>
      </c>
      <c r="AM43" s="27">
        <v>65.481911262798633</v>
      </c>
      <c r="AN43" s="27">
        <v>27.569624573378842</v>
      </c>
      <c r="AO43" s="27">
        <v>33</v>
      </c>
      <c r="AP43" s="28">
        <v>22</v>
      </c>
      <c r="AQ43" s="27">
        <f>SUMIF(BOM!$B:$B,원재료!$B43,BOM!E:E)</f>
        <v>0</v>
      </c>
      <c r="AR43" s="27">
        <f>SUMIF(BOM!$B:$B,원재료!$B43,BOM!F:F)</f>
        <v>5.1696245733788393</v>
      </c>
      <c r="AS43" s="27">
        <f>SUMIF(BOM!$B:$B,원재료!$B43,BOM!G:G)</f>
        <v>0</v>
      </c>
      <c r="AT43" s="27">
        <f>SUMIF(BOM!$B:$B,원재료!$B43,BOM!H:H)</f>
        <v>0</v>
      </c>
      <c r="AU43" s="27">
        <f>SUMIF(BOM!$B:$B,원재료!$B43,BOM!I:I)</f>
        <v>16.5</v>
      </c>
      <c r="AV43" s="27">
        <f>SUMIF(BOM!$B:$B,원재료!$B43,BOM!J:J)</f>
        <v>0</v>
      </c>
      <c r="AW43" s="27">
        <f>SUMIF(BOM!$B:$B,원재료!$B43,BOM!K:K)</f>
        <v>0</v>
      </c>
      <c r="AX43" s="27">
        <f>SUMIF(BOM!$B:$B,원재료!$B43,BOM!L:L)</f>
        <v>0</v>
      </c>
      <c r="AY43" s="27">
        <f>SUMIF(BOM!$B:$B,원재료!$B43,BOM!M:M)</f>
        <v>0</v>
      </c>
      <c r="AZ43" s="27">
        <f>SUMIF(BOM!$B:$B,원재료!$B43,BOM!N:N)</f>
        <v>0</v>
      </c>
      <c r="BA43" s="27">
        <f>SUMIF(BOM!$B:$B,원재료!$B43,BOM!O:O)</f>
        <v>0</v>
      </c>
      <c r="BB43" s="28">
        <f>SUMIF(BOM!$B:$B,원재료!$B43,BOM!P:P)</f>
        <v>0</v>
      </c>
    </row>
    <row r="44" spans="1:54" x14ac:dyDescent="0.3">
      <c r="A44" s="21" t="s">
        <v>122</v>
      </c>
      <c r="B44" s="83">
        <v>94955</v>
      </c>
      <c r="C44" s="83" t="s">
        <v>136</v>
      </c>
      <c r="D44" s="84">
        <v>25</v>
      </c>
      <c r="E44" s="100">
        <f>332450/25</f>
        <v>13298</v>
      </c>
      <c r="F44" s="98">
        <f t="shared" ref="F44:F52" si="25">+H44+K44+N44</f>
        <v>0</v>
      </c>
      <c r="G44" s="22">
        <f t="shared" ref="G44:G52" si="26">+E44*F44</f>
        <v>0</v>
      </c>
      <c r="H44" s="22">
        <f>IFERROR(VLOOKUP(B44,'음성공장 재고장'!A:E,4,FALSE),0)</f>
        <v>0</v>
      </c>
      <c r="I44" s="22">
        <f t="shared" si="9"/>
        <v>0</v>
      </c>
      <c r="J44" s="95" t="str">
        <f>IFERROR(VLOOKUP(B44,'음성공장 재고장'!A:E,5,FALSE),0)</f>
        <v>없음</v>
      </c>
      <c r="K44" s="97">
        <f>IFERROR(VLOOKUP(B44,'음성공장 재고장'!A:F,6,FALSE),0)</f>
        <v>0</v>
      </c>
      <c r="L44" s="22">
        <f t="shared" si="10"/>
        <v>0</v>
      </c>
      <c r="M44" s="95" t="str">
        <f>IFERROR(VLOOKUP(B44,'음성공장 재고장'!A:G,7,FALSE),0)</f>
        <v>없음</v>
      </c>
      <c r="O44" s="22">
        <f t="shared" si="15"/>
        <v>0</v>
      </c>
      <c r="Q44" s="22">
        <f t="shared" ref="Q44:Q51" ca="1" si="27">IFERROR(R44/E44,0)</f>
        <v>0</v>
      </c>
      <c r="R44" s="123">
        <f t="shared" ca="1" si="22"/>
        <v>0</v>
      </c>
      <c r="S44" s="6">
        <f t="shared" si="11"/>
        <v>0</v>
      </c>
      <c r="T44" s="63">
        <f t="shared" si="21"/>
        <v>0</v>
      </c>
      <c r="U44" s="48" t="str">
        <f t="shared" si="12"/>
        <v>재고없음</v>
      </c>
      <c r="V44" s="50" t="str">
        <f t="shared" ref="V44:V51" si="28">IF(F44=0,"재고없음",IF(AND(J44=0,M44=0,P44=0),"없음",MIN(J44,M44,P44)))</f>
        <v>재고없음</v>
      </c>
      <c r="W44" s="177">
        <v>0</v>
      </c>
      <c r="X44" s="178">
        <v>0</v>
      </c>
      <c r="Y44" s="221">
        <f t="shared" si="17"/>
        <v>0</v>
      </c>
      <c r="Z44" s="221">
        <f t="shared" ca="1" si="23"/>
        <v>0</v>
      </c>
      <c r="AA44" s="46">
        <f t="shared" ref="AA44:AA51" si="29">IFERROR(IF(U44="사용없음","X",IF(V44-U44&gt;0,"O","X")),0)</f>
        <v>0</v>
      </c>
      <c r="AB44" s="65" t="str">
        <f t="shared" ref="AB44:AB51" si="30">IF(U44="사용없음",$AD$2,IF(T44=0,"-",IF(T44&lt;=1,$AA$2,IF(AND(T44&gt;1,T44&lt;=4),$AB$2,$AD$2))))</f>
        <v>-</v>
      </c>
      <c r="AC44" s="65">
        <f>COUNTIF(BOM!B:B,원재료!B44)</f>
        <v>1</v>
      </c>
      <c r="AD44" s="103" t="str">
        <f t="shared" ref="AD44:AD51" si="31">IF(AND(AA44="X",AB44="C",AC44&lt;2),"원료대체검토",IF(AND(AA44="X",AB44="C"),"소진계획필요","판매활성화"))</f>
        <v>판매활성화</v>
      </c>
      <c r="AE44" s="27">
        <v>0.94400000000000006</v>
      </c>
      <c r="AF44" s="27">
        <v>0</v>
      </c>
      <c r="AG44" s="27">
        <v>0.94400000000000006</v>
      </c>
      <c r="AH44" s="27">
        <v>3.2</v>
      </c>
      <c r="AI44" s="27">
        <v>3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8">
        <v>0</v>
      </c>
      <c r="AQ44" s="27">
        <f>SUMIF(BOM!$B:$B,원재료!$B44,BOM!E:E)</f>
        <v>0</v>
      </c>
      <c r="AR44" s="27">
        <f>SUMIF(BOM!$B:$B,원재료!$B44,BOM!F:F)</f>
        <v>0</v>
      </c>
      <c r="AS44" s="27">
        <f>SUMIF(BOM!$B:$B,원재료!$B44,BOM!G:G)</f>
        <v>0</v>
      </c>
      <c r="AT44" s="27">
        <f>SUMIF(BOM!$B:$B,원재료!$B44,BOM!H:H)</f>
        <v>0</v>
      </c>
      <c r="AU44" s="27">
        <f>SUMIF(BOM!$B:$B,원재료!$B44,BOM!I:I)</f>
        <v>0</v>
      </c>
      <c r="AV44" s="27">
        <f>SUMIF(BOM!$B:$B,원재료!$B44,BOM!J:J)</f>
        <v>0</v>
      </c>
      <c r="AW44" s="27">
        <f>SUMIF(BOM!$B:$B,원재료!$B44,BOM!K:K)</f>
        <v>0</v>
      </c>
      <c r="AX44" s="27">
        <f>SUMIF(BOM!$B:$B,원재료!$B44,BOM!L:L)</f>
        <v>0</v>
      </c>
      <c r="AY44" s="27">
        <f>SUMIF(BOM!$B:$B,원재료!$B44,BOM!M:M)</f>
        <v>0</v>
      </c>
      <c r="AZ44" s="27">
        <f>SUMIF(BOM!$B:$B,원재료!$B44,BOM!N:N)</f>
        <v>0</v>
      </c>
      <c r="BA44" s="27">
        <f>SUMIF(BOM!$B:$B,원재료!$B44,BOM!O:O)</f>
        <v>0</v>
      </c>
      <c r="BB44" s="28">
        <f>SUMIF(BOM!$B:$B,원재료!$B44,BOM!P:P)</f>
        <v>0</v>
      </c>
    </row>
    <row r="45" spans="1:54" x14ac:dyDescent="0.3">
      <c r="A45" s="21" t="s">
        <v>122</v>
      </c>
      <c r="B45" s="83">
        <v>98579</v>
      </c>
      <c r="C45" s="83" t="s">
        <v>137</v>
      </c>
      <c r="D45" s="84">
        <v>1</v>
      </c>
      <c r="E45" s="100">
        <v>24000</v>
      </c>
      <c r="F45" s="98">
        <f t="shared" si="25"/>
        <v>11.42</v>
      </c>
      <c r="G45" s="22">
        <f t="shared" si="26"/>
        <v>274080</v>
      </c>
      <c r="H45" s="22">
        <f>IFERROR(VLOOKUP(B45,'음성공장 재고장'!A:E,4,FALSE),0)</f>
        <v>11.42</v>
      </c>
      <c r="I45" s="22">
        <f t="shared" si="9"/>
        <v>274080</v>
      </c>
      <c r="J45" s="95">
        <f>IFERROR(VLOOKUP(B45,'음성공장 재고장'!A:E,5,FALSE),0)</f>
        <v>46113</v>
      </c>
      <c r="K45" s="97">
        <f>IFERROR(VLOOKUP(B45,'음성공장 재고장'!A:F,6,FALSE),0)</f>
        <v>0</v>
      </c>
      <c r="L45" s="22">
        <f t="shared" si="10"/>
        <v>0</v>
      </c>
      <c r="M45" s="95" t="str">
        <f>IFERROR(VLOOKUP(B45,'음성공장 재고장'!A:G,7,FALSE),0)</f>
        <v>없음</v>
      </c>
      <c r="O45" s="22"/>
      <c r="Q45" s="22">
        <f t="shared" ca="1" si="27"/>
        <v>0</v>
      </c>
      <c r="R45" s="123">
        <f t="shared" ca="1" si="22"/>
        <v>0</v>
      </c>
      <c r="S45" s="6">
        <f t="shared" si="11"/>
        <v>5.2151947999999999</v>
      </c>
      <c r="T45" s="63">
        <f t="shared" si="21"/>
        <v>2.1897552129788136</v>
      </c>
      <c r="U45" s="48">
        <f t="shared" ca="1" si="12"/>
        <v>45868.692656389365</v>
      </c>
      <c r="V45" s="50">
        <f t="shared" si="28"/>
        <v>46113</v>
      </c>
      <c r="W45" s="177">
        <v>0</v>
      </c>
      <c r="X45" s="178">
        <v>0</v>
      </c>
      <c r="Y45" s="221">
        <f t="shared" si="17"/>
        <v>0</v>
      </c>
      <c r="Z45" s="221" t="str">
        <f t="shared" ca="1" si="23"/>
        <v>X</v>
      </c>
      <c r="AA45" s="46" t="str">
        <f t="shared" ca="1" si="29"/>
        <v>O</v>
      </c>
      <c r="AB45" s="65" t="str">
        <f t="shared" ca="1" si="30"/>
        <v>B</v>
      </c>
      <c r="AC45" s="65">
        <f>COUNTIF(BOM!B:B,원재료!B45)</f>
        <v>7</v>
      </c>
      <c r="AD45" s="103" t="str">
        <f t="shared" ca="1" si="31"/>
        <v>판매활성화</v>
      </c>
      <c r="AE45" s="27">
        <v>22</v>
      </c>
      <c r="AF45" s="27">
        <v>12</v>
      </c>
      <c r="AG45" s="27">
        <v>0</v>
      </c>
      <c r="AH45" s="27">
        <v>52</v>
      </c>
      <c r="AI45" s="27">
        <v>36.816000000000003</v>
      </c>
      <c r="AJ45" s="27">
        <v>57.756</v>
      </c>
      <c r="AK45" s="27">
        <v>22</v>
      </c>
      <c r="AL45" s="27">
        <v>11</v>
      </c>
      <c r="AM45" s="27">
        <v>8</v>
      </c>
      <c r="AN45" s="27">
        <v>26.602325581395348</v>
      </c>
      <c r="AO45" s="27">
        <v>8</v>
      </c>
      <c r="AP45" s="28">
        <v>16</v>
      </c>
      <c r="AQ45" s="27">
        <f>SUMIF(BOM!$B:$B,원재료!$B45,BOM!E:E)</f>
        <v>4.0759739999999995</v>
      </c>
      <c r="AR45" s="27">
        <f>SUMIF(BOM!$B:$B,원재료!$B45,BOM!F:F)</f>
        <v>8</v>
      </c>
      <c r="AS45" s="27">
        <f>SUMIF(BOM!$B:$B,원재료!$B45,BOM!G:G)</f>
        <v>8</v>
      </c>
      <c r="AT45" s="27">
        <f>SUMIF(BOM!$B:$B,원재료!$B45,BOM!H:H)</f>
        <v>6</v>
      </c>
      <c r="AU45" s="27">
        <f>SUMIF(BOM!$B:$B,원재료!$B45,BOM!I:I)</f>
        <v>0</v>
      </c>
      <c r="AV45" s="27">
        <f>SUMIF(BOM!$B:$B,원재료!$B45,BOM!J:J)</f>
        <v>0</v>
      </c>
      <c r="AW45" s="27">
        <f>SUMIF(BOM!$B:$B,원재료!$B45,BOM!K:K)</f>
        <v>0</v>
      </c>
      <c r="AX45" s="27">
        <f>SUMIF(BOM!$B:$B,원재료!$B45,BOM!L:L)</f>
        <v>0</v>
      </c>
      <c r="AY45" s="27">
        <f>SUMIF(BOM!$B:$B,원재료!$B45,BOM!M:M)</f>
        <v>0</v>
      </c>
      <c r="AZ45" s="27">
        <f>SUMIF(BOM!$B:$B,원재료!$B45,BOM!N:N)</f>
        <v>0</v>
      </c>
      <c r="BA45" s="27">
        <f>SUMIF(BOM!$B:$B,원재료!$B45,BOM!O:O)</f>
        <v>0</v>
      </c>
      <c r="BB45" s="28">
        <f>SUMIF(BOM!$B:$B,원재료!$B45,BOM!P:P)</f>
        <v>0</v>
      </c>
    </row>
    <row r="46" spans="1:54" x14ac:dyDescent="0.3">
      <c r="A46" s="21" t="s">
        <v>122</v>
      </c>
      <c r="B46" s="83">
        <v>191969</v>
      </c>
      <c r="C46" s="83" t="s">
        <v>138</v>
      </c>
      <c r="D46" s="84">
        <v>10</v>
      </c>
      <c r="E46" s="100">
        <v>9700</v>
      </c>
      <c r="F46" s="98">
        <f t="shared" si="25"/>
        <v>17.96</v>
      </c>
      <c r="G46" s="22">
        <f t="shared" si="26"/>
        <v>174212</v>
      </c>
      <c r="H46" s="22">
        <f>IFERROR(VLOOKUP(B46,'음성공장 재고장'!A:E,4,FALSE),0)</f>
        <v>17.96</v>
      </c>
      <c r="I46" s="22">
        <f t="shared" si="9"/>
        <v>174212</v>
      </c>
      <c r="J46" s="95">
        <f>IFERROR(VLOOKUP(B46,'음성공장 재고장'!A:E,5,FALSE),0)</f>
        <v>46024</v>
      </c>
      <c r="K46" s="97">
        <f>IFERROR(VLOOKUP(B46,'음성공장 재고장'!A:F,6,FALSE),0)</f>
        <v>0</v>
      </c>
      <c r="L46" s="22">
        <f t="shared" si="10"/>
        <v>0</v>
      </c>
      <c r="M46" s="95" t="str">
        <f>IFERROR(VLOOKUP(B46,'음성공장 재고장'!A:G,7,FALSE),0)</f>
        <v>없음</v>
      </c>
      <c r="O46" s="22"/>
      <c r="Q46" s="22">
        <f t="shared" ca="1" si="27"/>
        <v>0</v>
      </c>
      <c r="R46" s="123">
        <f t="shared" ca="1" si="22"/>
        <v>0</v>
      </c>
      <c r="S46" s="6">
        <f t="shared" si="11"/>
        <v>4.2575973999999999</v>
      </c>
      <c r="T46" s="63">
        <f t="shared" si="21"/>
        <v>4.2183415463378484</v>
      </c>
      <c r="U46" s="48">
        <f t="shared" ca="1" si="12"/>
        <v>45929.550246390136</v>
      </c>
      <c r="V46" s="50">
        <f t="shared" si="28"/>
        <v>46024</v>
      </c>
      <c r="W46" s="177">
        <v>0</v>
      </c>
      <c r="X46" s="178">
        <v>0</v>
      </c>
      <c r="Y46" s="221">
        <f t="shared" si="17"/>
        <v>0</v>
      </c>
      <c r="Z46" s="221" t="str">
        <f t="shared" ca="1" si="23"/>
        <v>X</v>
      </c>
      <c r="AA46" s="46" t="str">
        <f t="shared" ca="1" si="29"/>
        <v>O</v>
      </c>
      <c r="AB46" s="65" t="str">
        <f t="shared" ca="1" si="30"/>
        <v>C</v>
      </c>
      <c r="AC46" s="65">
        <f>COUNTIF(BOM!B:B,원재료!B46)</f>
        <v>6</v>
      </c>
      <c r="AD46" s="103" t="str">
        <f t="shared" ca="1" si="31"/>
        <v>판매활성화</v>
      </c>
      <c r="AE46" s="27">
        <v>17</v>
      </c>
      <c r="AF46" s="27">
        <v>8.25</v>
      </c>
      <c r="AG46" s="27">
        <v>0</v>
      </c>
      <c r="AH46" s="27">
        <v>39.5</v>
      </c>
      <c r="AI46" s="27">
        <v>28.908000000000001</v>
      </c>
      <c r="AJ46" s="27">
        <v>35.478000000000002</v>
      </c>
      <c r="AK46" s="27">
        <v>13.25</v>
      </c>
      <c r="AL46" s="27">
        <v>4</v>
      </c>
      <c r="AM46" s="27">
        <v>7</v>
      </c>
      <c r="AN46" s="27">
        <v>54.505813953488364</v>
      </c>
      <c r="AO46" s="27">
        <v>7</v>
      </c>
      <c r="AP46" s="28">
        <v>11</v>
      </c>
      <c r="AQ46" s="27">
        <f>SUMIF(BOM!$B:$B,원재료!$B46,BOM!E:E)</f>
        <v>2.0379869999999998</v>
      </c>
      <c r="AR46" s="27">
        <f>SUMIF(BOM!$B:$B,원재료!$B46,BOM!F:F)</f>
        <v>7</v>
      </c>
      <c r="AS46" s="27">
        <f>SUMIF(BOM!$B:$B,원재료!$B46,BOM!G:G)</f>
        <v>7</v>
      </c>
      <c r="AT46" s="27">
        <f>SUMIF(BOM!$B:$B,원재료!$B46,BOM!H:H)</f>
        <v>5.25</v>
      </c>
      <c r="AU46" s="27">
        <f>SUMIF(BOM!$B:$B,원재료!$B46,BOM!I:I)</f>
        <v>0</v>
      </c>
      <c r="AV46" s="27">
        <f>SUMIF(BOM!$B:$B,원재료!$B46,BOM!J:J)</f>
        <v>0</v>
      </c>
      <c r="AW46" s="27">
        <f>SUMIF(BOM!$B:$B,원재료!$B46,BOM!K:K)</f>
        <v>0</v>
      </c>
      <c r="AX46" s="27">
        <f>SUMIF(BOM!$B:$B,원재료!$B46,BOM!L:L)</f>
        <v>0</v>
      </c>
      <c r="AY46" s="27">
        <f>SUMIF(BOM!$B:$B,원재료!$B46,BOM!M:M)</f>
        <v>0</v>
      </c>
      <c r="AZ46" s="27">
        <f>SUMIF(BOM!$B:$B,원재료!$B46,BOM!N:N)</f>
        <v>0</v>
      </c>
      <c r="BA46" s="27">
        <f>SUMIF(BOM!$B:$B,원재료!$B46,BOM!O:O)</f>
        <v>0</v>
      </c>
      <c r="BB46" s="28">
        <f>SUMIF(BOM!$B:$B,원재료!$B46,BOM!P:P)</f>
        <v>0</v>
      </c>
    </row>
    <row r="47" spans="1:54" x14ac:dyDescent="0.3">
      <c r="A47" s="21" t="s">
        <v>122</v>
      </c>
      <c r="B47" s="83">
        <v>323323</v>
      </c>
      <c r="C47" s="83" t="s">
        <v>139</v>
      </c>
      <c r="D47" s="84">
        <v>5</v>
      </c>
      <c r="E47" s="100">
        <v>4741.6000000000004</v>
      </c>
      <c r="F47" s="98">
        <f t="shared" si="25"/>
        <v>0</v>
      </c>
      <c r="G47" s="22">
        <f>+I47+L47</f>
        <v>0</v>
      </c>
      <c r="H47" s="22">
        <f>IFERROR(VLOOKUP(B47,'음성공장 재고장'!A:E,4,FALSE),0)</f>
        <v>0</v>
      </c>
      <c r="I47" s="22">
        <f t="shared" si="9"/>
        <v>0</v>
      </c>
      <c r="J47" s="95" t="str">
        <f>IFERROR(VLOOKUP(B47,'음성공장 재고장'!A:E,5,FALSE),0)</f>
        <v>없음</v>
      </c>
      <c r="K47" s="97">
        <f>IFERROR(VLOOKUP(B47,'음성공장 재고장'!A:F,6,FALSE),0)</f>
        <v>0</v>
      </c>
      <c r="L47" s="22">
        <f t="shared" si="10"/>
        <v>0</v>
      </c>
      <c r="M47" s="95" t="str">
        <f>IFERROR(VLOOKUP(B47,'음성공장 재고장'!A:G,7,FALSE),0)</f>
        <v>없음</v>
      </c>
      <c r="N47" s="124"/>
      <c r="O47" s="22"/>
      <c r="Q47" s="22">
        <f t="shared" ca="1" si="27"/>
        <v>0</v>
      </c>
      <c r="R47" s="123">
        <f t="shared" ca="1" si="22"/>
        <v>0</v>
      </c>
      <c r="S47" s="6">
        <f t="shared" si="11"/>
        <v>0</v>
      </c>
      <c r="T47" s="63">
        <f t="shared" si="21"/>
        <v>0</v>
      </c>
      <c r="U47" s="48" t="str">
        <f t="shared" si="12"/>
        <v>재고없음</v>
      </c>
      <c r="V47" s="50" t="str">
        <f t="shared" si="28"/>
        <v>재고없음</v>
      </c>
      <c r="W47" s="177">
        <v>0</v>
      </c>
      <c r="X47" s="178">
        <v>0</v>
      </c>
      <c r="Y47" s="221">
        <f t="shared" si="17"/>
        <v>0</v>
      </c>
      <c r="Z47" s="221">
        <f t="shared" ca="1" si="23"/>
        <v>0</v>
      </c>
      <c r="AA47" s="46">
        <f t="shared" si="29"/>
        <v>0</v>
      </c>
      <c r="AB47" s="65" t="str">
        <f t="shared" si="30"/>
        <v>-</v>
      </c>
      <c r="AC47" s="65">
        <f>COUNTIF(BOM!B:B,원재료!B47)</f>
        <v>0</v>
      </c>
      <c r="AD47" s="103" t="str">
        <f t="shared" si="31"/>
        <v>판매활성화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8">
        <v>0</v>
      </c>
      <c r="AQ47" s="27">
        <f>SUMIF(BOM!$B:$B,원재료!$B47,BOM!E:E)</f>
        <v>0</v>
      </c>
      <c r="AR47" s="27">
        <f>SUMIF(BOM!$B:$B,원재료!$B47,BOM!F:F)</f>
        <v>0</v>
      </c>
      <c r="AS47" s="27">
        <f>SUMIF(BOM!$B:$B,원재료!$B47,BOM!G:G)</f>
        <v>0</v>
      </c>
      <c r="AT47" s="27">
        <f>SUMIF(BOM!$B:$B,원재료!$B47,BOM!H:H)</f>
        <v>0</v>
      </c>
      <c r="AU47" s="27">
        <f>SUMIF(BOM!$B:$B,원재료!$B47,BOM!I:I)</f>
        <v>0</v>
      </c>
      <c r="AV47" s="27">
        <f>SUMIF(BOM!$B:$B,원재료!$B47,BOM!J:J)</f>
        <v>0</v>
      </c>
      <c r="AW47" s="27">
        <f>SUMIF(BOM!$B:$B,원재료!$B47,BOM!K:K)</f>
        <v>0</v>
      </c>
      <c r="AX47" s="27">
        <f>SUMIF(BOM!$B:$B,원재료!$B47,BOM!L:L)</f>
        <v>0</v>
      </c>
      <c r="AY47" s="27">
        <f>SUMIF(BOM!$B:$B,원재료!$B47,BOM!M:M)</f>
        <v>0</v>
      </c>
      <c r="AZ47" s="27">
        <f>SUMIF(BOM!$B:$B,원재료!$B47,BOM!N:N)</f>
        <v>0</v>
      </c>
      <c r="BA47" s="27">
        <f>SUMIF(BOM!$B:$B,원재료!$B47,BOM!O:O)</f>
        <v>0</v>
      </c>
      <c r="BB47" s="28">
        <f>SUMIF(BOM!$B:$B,원재료!$B47,BOM!P:P)</f>
        <v>0</v>
      </c>
    </row>
    <row r="48" spans="1:54" x14ac:dyDescent="0.3">
      <c r="A48" s="21" t="s">
        <v>122</v>
      </c>
      <c r="B48" s="83">
        <v>326809</v>
      </c>
      <c r="C48" s="83" t="s">
        <v>140</v>
      </c>
      <c r="D48" s="84">
        <v>20</v>
      </c>
      <c r="E48" s="100">
        <f>1059000/20</f>
        <v>52950</v>
      </c>
      <c r="F48" s="98">
        <f t="shared" si="25"/>
        <v>0</v>
      </c>
      <c r="G48" s="22">
        <f t="shared" si="26"/>
        <v>0</v>
      </c>
      <c r="H48" s="22">
        <f>IFERROR(VLOOKUP(B48,'음성공장 재고장'!A:E,4,FALSE),0)</f>
        <v>0</v>
      </c>
      <c r="I48" s="22">
        <f t="shared" si="9"/>
        <v>0</v>
      </c>
      <c r="J48" s="95" t="str">
        <f>IFERROR(VLOOKUP(B48,'음성공장 재고장'!A:E,5,FALSE),0)</f>
        <v>없음</v>
      </c>
      <c r="K48" s="97">
        <f>IFERROR(VLOOKUP(B48,'음성공장 재고장'!A:F,6,FALSE),0)</f>
        <v>0</v>
      </c>
      <c r="L48" s="22">
        <f t="shared" si="10"/>
        <v>0</v>
      </c>
      <c r="M48" s="95" t="str">
        <f>IFERROR(VLOOKUP(B48,'음성공장 재고장'!A:G,7,FALSE),0)</f>
        <v>없음</v>
      </c>
      <c r="O48" s="22"/>
      <c r="Q48" s="22">
        <f t="shared" ca="1" si="27"/>
        <v>0</v>
      </c>
      <c r="R48" s="123">
        <f t="shared" ca="1" si="22"/>
        <v>0</v>
      </c>
      <c r="S48" s="6">
        <f t="shared" si="11"/>
        <v>0</v>
      </c>
      <c r="T48" s="63">
        <f t="shared" si="21"/>
        <v>0</v>
      </c>
      <c r="U48" s="48" t="str">
        <f t="shared" si="12"/>
        <v>재고없음</v>
      </c>
      <c r="V48" s="50" t="str">
        <f t="shared" si="28"/>
        <v>재고없음</v>
      </c>
      <c r="W48" s="177">
        <v>0</v>
      </c>
      <c r="X48" s="178">
        <v>0</v>
      </c>
      <c r="Y48" s="221">
        <f t="shared" si="17"/>
        <v>0</v>
      </c>
      <c r="Z48" s="221">
        <f t="shared" ca="1" si="23"/>
        <v>0</v>
      </c>
      <c r="AA48" s="46">
        <f t="shared" si="29"/>
        <v>0</v>
      </c>
      <c r="AB48" s="65" t="str">
        <f t="shared" si="30"/>
        <v>-</v>
      </c>
      <c r="AC48" s="65">
        <f>COUNTIF(BOM!B:B,원재료!B48)</f>
        <v>1</v>
      </c>
      <c r="AD48" s="103" t="str">
        <f t="shared" si="31"/>
        <v>판매활성화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0.8</v>
      </c>
      <c r="AK48" s="27">
        <v>0</v>
      </c>
      <c r="AL48" s="27">
        <v>8</v>
      </c>
      <c r="AM48" s="27">
        <v>0</v>
      </c>
      <c r="AN48" s="27">
        <v>12.8</v>
      </c>
      <c r="AO48" s="27">
        <v>0</v>
      </c>
      <c r="AP48" s="28">
        <v>0</v>
      </c>
      <c r="AQ48" s="27">
        <f>SUMIF(BOM!$B:$B,원재료!$B48,BOM!E:E)</f>
        <v>0</v>
      </c>
      <c r="AR48" s="27">
        <f>SUMIF(BOM!$B:$B,원재료!$B48,BOM!F:F)</f>
        <v>0</v>
      </c>
      <c r="AS48" s="27">
        <f>SUMIF(BOM!$B:$B,원재료!$B48,BOM!G:G)</f>
        <v>0</v>
      </c>
      <c r="AT48" s="27">
        <f>SUMIF(BOM!$B:$B,원재료!$B48,BOM!H:H)</f>
        <v>0</v>
      </c>
      <c r="AU48" s="27">
        <f>SUMIF(BOM!$B:$B,원재료!$B48,BOM!I:I)</f>
        <v>0</v>
      </c>
      <c r="AV48" s="27">
        <f>SUMIF(BOM!$B:$B,원재료!$B48,BOM!J:J)</f>
        <v>0</v>
      </c>
      <c r="AW48" s="27">
        <f>SUMIF(BOM!$B:$B,원재료!$B48,BOM!K:K)</f>
        <v>0</v>
      </c>
      <c r="AX48" s="27">
        <f>SUMIF(BOM!$B:$B,원재료!$B48,BOM!L:L)</f>
        <v>0</v>
      </c>
      <c r="AY48" s="27">
        <f>SUMIF(BOM!$B:$B,원재료!$B48,BOM!M:M)</f>
        <v>0</v>
      </c>
      <c r="AZ48" s="27">
        <f>SUMIF(BOM!$B:$B,원재료!$B48,BOM!N:N)</f>
        <v>0</v>
      </c>
      <c r="BA48" s="27">
        <f>SUMIF(BOM!$B:$B,원재료!$B48,BOM!O:O)</f>
        <v>0</v>
      </c>
      <c r="BB48" s="28">
        <f>SUMIF(BOM!$B:$B,원재료!$B48,BOM!P:P)</f>
        <v>0</v>
      </c>
    </row>
    <row r="49" spans="1:54" x14ac:dyDescent="0.3">
      <c r="A49" s="21" t="s">
        <v>122</v>
      </c>
      <c r="B49" s="83">
        <v>326810</v>
      </c>
      <c r="C49" s="83" t="s">
        <v>141</v>
      </c>
      <c r="D49" s="84">
        <v>10</v>
      </c>
      <c r="E49" s="100">
        <f>390000/10</f>
        <v>39000</v>
      </c>
      <c r="F49" s="98">
        <f t="shared" si="25"/>
        <v>0</v>
      </c>
      <c r="G49" s="22">
        <f t="shared" si="26"/>
        <v>0</v>
      </c>
      <c r="H49" s="22">
        <f>IFERROR(VLOOKUP(B49,'음성공장 재고장'!A:E,4,FALSE),0)</f>
        <v>0</v>
      </c>
      <c r="I49" s="22">
        <f t="shared" si="9"/>
        <v>0</v>
      </c>
      <c r="J49" s="95" t="str">
        <f>IFERROR(VLOOKUP(B49,'음성공장 재고장'!A:E,5,FALSE),0)</f>
        <v>없음</v>
      </c>
      <c r="K49" s="97">
        <f>IFERROR(VLOOKUP(B49,'음성공장 재고장'!A:F,6,FALSE),0)</f>
        <v>0</v>
      </c>
      <c r="L49" s="22">
        <f t="shared" si="10"/>
        <v>0</v>
      </c>
      <c r="M49" s="95" t="str">
        <f>IFERROR(VLOOKUP(B49,'음성공장 재고장'!A:G,7,FALSE),0)</f>
        <v>없음</v>
      </c>
      <c r="O49" s="22"/>
      <c r="Q49" s="22">
        <f t="shared" ca="1" si="27"/>
        <v>0</v>
      </c>
      <c r="R49" s="123">
        <f t="shared" ca="1" si="22"/>
        <v>0</v>
      </c>
      <c r="S49" s="6">
        <f t="shared" si="11"/>
        <v>0</v>
      </c>
      <c r="T49" s="63">
        <f t="shared" si="21"/>
        <v>0</v>
      </c>
      <c r="U49" s="48" t="str">
        <f t="shared" si="12"/>
        <v>재고없음</v>
      </c>
      <c r="V49" s="50" t="str">
        <f t="shared" si="28"/>
        <v>재고없음</v>
      </c>
      <c r="W49" s="177">
        <v>0</v>
      </c>
      <c r="X49" s="178">
        <v>0</v>
      </c>
      <c r="Y49" s="221">
        <f t="shared" si="17"/>
        <v>0</v>
      </c>
      <c r="Z49" s="221">
        <f t="shared" ca="1" si="23"/>
        <v>0</v>
      </c>
      <c r="AA49" s="46">
        <f t="shared" si="29"/>
        <v>0</v>
      </c>
      <c r="AB49" s="65" t="str">
        <f t="shared" si="30"/>
        <v>-</v>
      </c>
      <c r="AC49" s="65">
        <f>COUNTIF(BOM!B:B,원재료!B49)</f>
        <v>1</v>
      </c>
      <c r="AD49" s="103" t="str">
        <f t="shared" si="31"/>
        <v>판매활성화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0.3</v>
      </c>
      <c r="AK49" s="27">
        <v>0</v>
      </c>
      <c r="AL49" s="27">
        <v>3</v>
      </c>
      <c r="AM49" s="27">
        <v>0</v>
      </c>
      <c r="AN49" s="27">
        <v>4.8</v>
      </c>
      <c r="AO49" s="27">
        <v>0</v>
      </c>
      <c r="AP49" s="28">
        <v>0</v>
      </c>
      <c r="AQ49" s="27">
        <f>SUMIF(BOM!$B:$B,원재료!$B49,BOM!E:E)</f>
        <v>0</v>
      </c>
      <c r="AR49" s="27">
        <f>SUMIF(BOM!$B:$B,원재료!$B49,BOM!F:F)</f>
        <v>0</v>
      </c>
      <c r="AS49" s="27">
        <f>SUMIF(BOM!$B:$B,원재료!$B49,BOM!G:G)</f>
        <v>0</v>
      </c>
      <c r="AT49" s="27">
        <f>SUMIF(BOM!$B:$B,원재료!$B49,BOM!H:H)</f>
        <v>0</v>
      </c>
      <c r="AU49" s="27">
        <f>SUMIF(BOM!$B:$B,원재료!$B49,BOM!I:I)</f>
        <v>0</v>
      </c>
      <c r="AV49" s="27">
        <f>SUMIF(BOM!$B:$B,원재료!$B49,BOM!J:J)</f>
        <v>0</v>
      </c>
      <c r="AW49" s="27">
        <f>SUMIF(BOM!$B:$B,원재료!$B49,BOM!K:K)</f>
        <v>0</v>
      </c>
      <c r="AX49" s="27">
        <f>SUMIF(BOM!$B:$B,원재료!$B49,BOM!L:L)</f>
        <v>0</v>
      </c>
      <c r="AY49" s="27">
        <f>SUMIF(BOM!$B:$B,원재료!$B49,BOM!M:M)</f>
        <v>0</v>
      </c>
      <c r="AZ49" s="27">
        <f>SUMIF(BOM!$B:$B,원재료!$B49,BOM!N:N)</f>
        <v>0</v>
      </c>
      <c r="BA49" s="27">
        <f>SUMIF(BOM!$B:$B,원재료!$B49,BOM!O:O)</f>
        <v>0</v>
      </c>
      <c r="BB49" s="28">
        <f>SUMIF(BOM!$B:$B,원재료!$B49,BOM!P:P)</f>
        <v>0</v>
      </c>
    </row>
    <row r="50" spans="1:54" x14ac:dyDescent="0.3">
      <c r="A50" s="21" t="s">
        <v>122</v>
      </c>
      <c r="B50" s="83">
        <v>326953</v>
      </c>
      <c r="C50" s="83" t="s">
        <v>142</v>
      </c>
      <c r="D50" s="84">
        <v>15</v>
      </c>
      <c r="E50" s="100">
        <f>562500/15</f>
        <v>37500</v>
      </c>
      <c r="F50" s="98">
        <f t="shared" si="25"/>
        <v>8.1199999999999992</v>
      </c>
      <c r="G50" s="22">
        <f t="shared" si="26"/>
        <v>304499.99999999994</v>
      </c>
      <c r="H50" s="22">
        <f>IFERROR(VLOOKUP(B50,'음성공장 재고장'!A:E,4,FALSE),0)</f>
        <v>8.1199999999999992</v>
      </c>
      <c r="I50" s="22">
        <f t="shared" si="9"/>
        <v>304499.99999999994</v>
      </c>
      <c r="J50" s="95">
        <f>IFERROR(VLOOKUP(B50,'음성공장 재고장'!A:E,5,FALSE),0)</f>
        <v>46085</v>
      </c>
      <c r="K50" s="97">
        <f>IFERROR(VLOOKUP(B50,'음성공장 재고장'!A:F,6,FALSE),0)</f>
        <v>0</v>
      </c>
      <c r="L50" s="22">
        <f t="shared" si="10"/>
        <v>0</v>
      </c>
      <c r="M50" s="95" t="str">
        <f>IFERROR(VLOOKUP(B50,'음성공장 재고장'!A:G,7,FALSE),0)</f>
        <v>없음</v>
      </c>
      <c r="O50" s="22"/>
      <c r="Q50" s="22">
        <f t="shared" ca="1" si="27"/>
        <v>8.1199999999999992</v>
      </c>
      <c r="R50" s="123">
        <f t="shared" ca="1" si="22"/>
        <v>304499.99999999994</v>
      </c>
      <c r="S50" s="6">
        <f t="shared" si="11"/>
        <v>0</v>
      </c>
      <c r="T50" s="63">
        <f t="shared" si="21"/>
        <v>0</v>
      </c>
      <c r="U50" s="48" t="str">
        <f t="shared" si="12"/>
        <v>사용없음</v>
      </c>
      <c r="V50" s="50">
        <f t="shared" si="28"/>
        <v>46085</v>
      </c>
      <c r="W50" s="177">
        <v>0</v>
      </c>
      <c r="X50" s="178">
        <v>0</v>
      </c>
      <c r="Y50" s="221">
        <f t="shared" si="17"/>
        <v>0</v>
      </c>
      <c r="Z50" s="221" t="str">
        <f t="shared" ca="1" si="23"/>
        <v>X</v>
      </c>
      <c r="AA50" s="46" t="str">
        <f t="shared" si="29"/>
        <v>X</v>
      </c>
      <c r="AB50" s="65" t="str">
        <f t="shared" si="30"/>
        <v>C</v>
      </c>
      <c r="AC50" s="65">
        <f>COUNTIF(BOM!B:B,원재료!B50)</f>
        <v>1</v>
      </c>
      <c r="AD50" s="103" t="str">
        <f t="shared" si="31"/>
        <v>원료대체검토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8.1</v>
      </c>
      <c r="AM50" s="27">
        <v>0</v>
      </c>
      <c r="AN50" s="27">
        <v>0</v>
      </c>
      <c r="AO50" s="27">
        <v>0</v>
      </c>
      <c r="AP50" s="28">
        <v>0</v>
      </c>
      <c r="AQ50" s="27">
        <f>SUMIF(BOM!$B:$B,원재료!$B50,BOM!E:E)</f>
        <v>0</v>
      </c>
      <c r="AR50" s="27">
        <f>SUMIF(BOM!$B:$B,원재료!$B50,BOM!F:F)</f>
        <v>0</v>
      </c>
      <c r="AS50" s="27">
        <f>SUMIF(BOM!$B:$B,원재료!$B50,BOM!G:G)</f>
        <v>0</v>
      </c>
      <c r="AT50" s="27">
        <f>SUMIF(BOM!$B:$B,원재료!$B50,BOM!H:H)</f>
        <v>0</v>
      </c>
      <c r="AU50" s="27">
        <f>SUMIF(BOM!$B:$B,원재료!$B50,BOM!I:I)</f>
        <v>0</v>
      </c>
      <c r="AV50" s="27">
        <f>SUMIF(BOM!$B:$B,원재료!$B50,BOM!J:J)</f>
        <v>0</v>
      </c>
      <c r="AW50" s="27">
        <f>SUMIF(BOM!$B:$B,원재료!$B50,BOM!K:K)</f>
        <v>0</v>
      </c>
      <c r="AX50" s="27">
        <f>SUMIF(BOM!$B:$B,원재료!$B50,BOM!L:L)</f>
        <v>0</v>
      </c>
      <c r="AY50" s="27">
        <f>SUMIF(BOM!$B:$B,원재료!$B50,BOM!M:M)</f>
        <v>0</v>
      </c>
      <c r="AZ50" s="27">
        <f>SUMIF(BOM!$B:$B,원재료!$B50,BOM!N:N)</f>
        <v>0</v>
      </c>
      <c r="BA50" s="27">
        <f>SUMIF(BOM!$B:$B,원재료!$B50,BOM!O:O)</f>
        <v>0</v>
      </c>
      <c r="BB50" s="28">
        <f>SUMIF(BOM!$B:$B,원재료!$B50,BOM!P:P)</f>
        <v>0</v>
      </c>
    </row>
    <row r="51" spans="1:54" x14ac:dyDescent="0.3">
      <c r="A51" s="21" t="s">
        <v>122</v>
      </c>
      <c r="B51" s="83">
        <v>331935</v>
      </c>
      <c r="C51" s="83" t="s">
        <v>143</v>
      </c>
      <c r="D51" s="84">
        <v>10</v>
      </c>
      <c r="E51" s="100">
        <f>270000/10</f>
        <v>27000</v>
      </c>
      <c r="F51" s="98">
        <f t="shared" si="25"/>
        <v>10</v>
      </c>
      <c r="G51" s="22">
        <f t="shared" si="26"/>
        <v>270000</v>
      </c>
      <c r="H51" s="22">
        <f>IFERROR(VLOOKUP(B51,'음성공장 재고장'!A:E,4,FALSE),0)</f>
        <v>10</v>
      </c>
      <c r="I51" s="22">
        <f t="shared" si="9"/>
        <v>270000</v>
      </c>
      <c r="J51" s="95">
        <f>IFERROR(VLOOKUP(B51,'음성공장 재고장'!A:E,5,FALSE),0)</f>
        <v>46259</v>
      </c>
      <c r="K51" s="97">
        <f>IFERROR(VLOOKUP(B51,'음성공장 재고장'!A:F,6,FALSE),0)</f>
        <v>0</v>
      </c>
      <c r="L51" s="22">
        <f t="shared" si="10"/>
        <v>0</v>
      </c>
      <c r="M51" s="95" t="str">
        <f>IFERROR(VLOOKUP(B51,'음성공장 재고장'!A:G,7,FALSE),0)</f>
        <v>없음</v>
      </c>
      <c r="O51" s="22"/>
      <c r="Q51" s="22">
        <f t="shared" ca="1" si="27"/>
        <v>10</v>
      </c>
      <c r="R51" s="123">
        <f t="shared" ca="1" si="22"/>
        <v>270000</v>
      </c>
      <c r="S51" s="6">
        <f t="shared" si="11"/>
        <v>0</v>
      </c>
      <c r="T51" s="63">
        <f t="shared" si="21"/>
        <v>0</v>
      </c>
      <c r="U51" s="48" t="str">
        <f t="shared" si="12"/>
        <v>사용없음</v>
      </c>
      <c r="V51" s="50">
        <f t="shared" si="28"/>
        <v>46259</v>
      </c>
      <c r="W51" s="177">
        <v>0</v>
      </c>
      <c r="X51" s="178">
        <v>0</v>
      </c>
      <c r="Y51" s="221">
        <f t="shared" si="17"/>
        <v>0</v>
      </c>
      <c r="Z51" s="221" t="str">
        <f t="shared" ca="1" si="23"/>
        <v>X</v>
      </c>
      <c r="AA51" s="46" t="str">
        <f t="shared" si="29"/>
        <v>X</v>
      </c>
      <c r="AB51" s="65" t="str">
        <f t="shared" si="30"/>
        <v>C</v>
      </c>
      <c r="AC51" s="65">
        <f>COUNTIF(BOM!B:B,원재료!B51)</f>
        <v>2</v>
      </c>
      <c r="AD51" s="103" t="str">
        <f t="shared" si="31"/>
        <v>소진계획필요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0.2</v>
      </c>
      <c r="AK51" s="27">
        <v>0</v>
      </c>
      <c r="AL51" s="27">
        <v>15.500000000000002</v>
      </c>
      <c r="AM51" s="27">
        <v>0</v>
      </c>
      <c r="AN51" s="27">
        <v>3.2</v>
      </c>
      <c r="AO51" s="27">
        <v>0</v>
      </c>
      <c r="AP51" s="28">
        <v>0</v>
      </c>
      <c r="AQ51" s="27">
        <f>SUMIF(BOM!$B:$B,원재료!$B51,BOM!E:E)</f>
        <v>0</v>
      </c>
      <c r="AR51" s="27">
        <f>SUMIF(BOM!$B:$B,원재료!$B51,BOM!F:F)</f>
        <v>0</v>
      </c>
      <c r="AS51" s="27">
        <f>SUMIF(BOM!$B:$B,원재료!$B51,BOM!G:G)</f>
        <v>0</v>
      </c>
      <c r="AT51" s="27">
        <f>SUMIF(BOM!$B:$B,원재료!$B51,BOM!H:H)</f>
        <v>0</v>
      </c>
      <c r="AU51" s="27">
        <f>SUMIF(BOM!$B:$B,원재료!$B51,BOM!I:I)</f>
        <v>0</v>
      </c>
      <c r="AV51" s="27">
        <f>SUMIF(BOM!$B:$B,원재료!$B51,BOM!J:J)</f>
        <v>0</v>
      </c>
      <c r="AW51" s="27">
        <f>SUMIF(BOM!$B:$B,원재료!$B51,BOM!K:K)</f>
        <v>0</v>
      </c>
      <c r="AX51" s="27">
        <f>SUMIF(BOM!$B:$B,원재료!$B51,BOM!L:L)</f>
        <v>0</v>
      </c>
      <c r="AY51" s="27">
        <f>SUMIF(BOM!$B:$B,원재료!$B51,BOM!M:M)</f>
        <v>0</v>
      </c>
      <c r="AZ51" s="27">
        <f>SUMIF(BOM!$B:$B,원재료!$B51,BOM!N:N)</f>
        <v>0</v>
      </c>
      <c r="BA51" s="27">
        <f>SUMIF(BOM!$B:$B,원재료!$B51,BOM!O:O)</f>
        <v>0</v>
      </c>
      <c r="BB51" s="28">
        <f>SUMIF(BOM!$B:$B,원재료!$B51,BOM!P:P)</f>
        <v>0</v>
      </c>
    </row>
    <row r="52" spans="1:54" x14ac:dyDescent="0.3">
      <c r="A52" s="21" t="s">
        <v>122</v>
      </c>
      <c r="B52" s="83">
        <v>321472</v>
      </c>
      <c r="C52" s="83" t="s">
        <v>144</v>
      </c>
      <c r="D52" s="84">
        <v>20</v>
      </c>
      <c r="E52" s="100">
        <f>320000/20</f>
        <v>16000</v>
      </c>
      <c r="F52" s="98">
        <f t="shared" si="25"/>
        <v>14.02</v>
      </c>
      <c r="G52" s="22">
        <f t="shared" si="26"/>
        <v>224320</v>
      </c>
      <c r="H52" s="22">
        <f>IFERROR(VLOOKUP(B52,'음성공장 재고장'!A:E,4,FALSE),0)</f>
        <v>14.02</v>
      </c>
      <c r="I52" s="22">
        <f t="shared" si="9"/>
        <v>224320</v>
      </c>
      <c r="J52" s="95">
        <f>IFERROR(VLOOKUP(B52,'음성공장 재고장'!A:E,5,FALSE),0)</f>
        <v>45925</v>
      </c>
      <c r="K52" s="97">
        <f>IFERROR(VLOOKUP(B52,'음성공장 재고장'!A:F,6,FALSE),0)</f>
        <v>0</v>
      </c>
      <c r="L52" s="22">
        <f t="shared" si="10"/>
        <v>0</v>
      </c>
      <c r="M52" s="95" t="str">
        <f>IFERROR(VLOOKUP(B52,'음성공장 재고장'!A:G,7,FALSE),0)</f>
        <v>없음</v>
      </c>
      <c r="O52" s="22"/>
      <c r="Q52" s="22">
        <f ca="1">IFERROR(R52/E52,0)</f>
        <v>14.02</v>
      </c>
      <c r="R52" s="123">
        <f t="shared" ca="1" si="22"/>
        <v>224320</v>
      </c>
      <c r="S52" s="6">
        <f t="shared" si="11"/>
        <v>0</v>
      </c>
      <c r="T52" s="63">
        <f t="shared" si="21"/>
        <v>0</v>
      </c>
      <c r="U52" s="48" t="str">
        <f t="shared" si="12"/>
        <v>사용없음</v>
      </c>
      <c r="V52" s="50">
        <f>IF(F52=0,"재고없음",IF(AND(J52=0,M52=0,P52=0),"없음",MIN(J52,M52,P52)))</f>
        <v>45925</v>
      </c>
      <c r="W52" s="177">
        <v>0</v>
      </c>
      <c r="X52" s="178">
        <v>0</v>
      </c>
      <c r="Y52" s="221">
        <f t="shared" si="17"/>
        <v>0</v>
      </c>
      <c r="Z52" s="221" t="str">
        <f t="shared" ca="1" si="23"/>
        <v>X</v>
      </c>
      <c r="AA52" s="46" t="str">
        <f>IFERROR(IF(U52="사용없음","X",IF(V52-U52&gt;0,"O","X")),0)</f>
        <v>X</v>
      </c>
      <c r="AB52" s="65" t="str">
        <f>IF(U52="사용없음",$AD$2,IF(T52=0,"-",IF(T52&lt;=1,$AA$2,IF(AND(T52&gt;1,T52&lt;=4),$AB$2,$AD$2))))</f>
        <v>C</v>
      </c>
      <c r="AC52" s="65">
        <f>COUNTIF(BOM!B:B,원재료!B52)</f>
        <v>5</v>
      </c>
      <c r="AD52" s="103" t="str">
        <f>IF(AND(AA52="X",AB52="C",AC52&lt;2),"원료대체검토",IF(AND(AA52="X",AB52="C"),"소진계획필요","판매활성화"))</f>
        <v>소진계획필요</v>
      </c>
      <c r="AE52" s="27">
        <v>8.5</v>
      </c>
      <c r="AF52" s="27">
        <v>2.2891199999999996</v>
      </c>
      <c r="AG52" s="27">
        <v>31.391199999999998</v>
      </c>
      <c r="AH52" s="27">
        <v>15.260799999999998</v>
      </c>
      <c r="AI52" s="27">
        <v>0</v>
      </c>
      <c r="AJ52" s="27">
        <v>1</v>
      </c>
      <c r="AK52" s="27">
        <v>22.891199999999998</v>
      </c>
      <c r="AL52" s="27">
        <v>76.789119999999997</v>
      </c>
      <c r="AM52" s="27">
        <v>0</v>
      </c>
      <c r="AN52" s="27">
        <v>16</v>
      </c>
      <c r="AO52" s="27">
        <v>0</v>
      </c>
      <c r="AP52" s="28">
        <v>0</v>
      </c>
      <c r="AQ52" s="27">
        <f>SUMIF(BOM!$B:$B,원재료!$B52,BOM!E:E)</f>
        <v>0</v>
      </c>
      <c r="AR52" s="27">
        <f>SUMIF(BOM!$B:$B,원재료!$B52,BOM!F:F)</f>
        <v>0</v>
      </c>
      <c r="AS52" s="27">
        <f>SUMIF(BOM!$B:$B,원재료!$B52,BOM!G:G)</f>
        <v>0</v>
      </c>
      <c r="AT52" s="27">
        <f>SUMIF(BOM!$B:$B,원재료!$B52,BOM!H:H)</f>
        <v>0</v>
      </c>
      <c r="AU52" s="27">
        <f>SUMIF(BOM!$B:$B,원재료!$B52,BOM!I:I)</f>
        <v>0</v>
      </c>
      <c r="AV52" s="27">
        <f>SUMIF(BOM!$B:$B,원재료!$B52,BOM!J:J)</f>
        <v>0</v>
      </c>
      <c r="AW52" s="27">
        <f>SUMIF(BOM!$B:$B,원재료!$B52,BOM!K:K)</f>
        <v>0</v>
      </c>
      <c r="AX52" s="27">
        <f>SUMIF(BOM!$B:$B,원재료!$B52,BOM!L:L)</f>
        <v>0</v>
      </c>
      <c r="AY52" s="27">
        <f>SUMIF(BOM!$B:$B,원재료!$B52,BOM!M:M)</f>
        <v>0</v>
      </c>
      <c r="AZ52" s="27">
        <f>SUMIF(BOM!$B:$B,원재료!$B52,BOM!N:N)</f>
        <v>0</v>
      </c>
      <c r="BA52" s="27">
        <f>SUMIF(BOM!$B:$B,원재료!$B52,BOM!O:O)</f>
        <v>0</v>
      </c>
      <c r="BB52" s="28">
        <f>SUMIF(BOM!$B:$B,원재료!$B52,BOM!P:P)</f>
        <v>0</v>
      </c>
    </row>
    <row r="53" spans="1:54" x14ac:dyDescent="0.3">
      <c r="A53" s="21" t="s">
        <v>122</v>
      </c>
      <c r="B53" s="83">
        <v>117697</v>
      </c>
      <c r="C53" s="83" t="s">
        <v>231</v>
      </c>
      <c r="D53" s="84">
        <v>20</v>
      </c>
      <c r="E53" s="100">
        <f>36670/20</f>
        <v>1833.5</v>
      </c>
      <c r="F53" s="98">
        <f t="shared" ref="F53:F65" si="32">+H53+K53+N53</f>
        <v>0</v>
      </c>
      <c r="G53" s="22">
        <f t="shared" ref="G53:G65" si="33">+E53*F53</f>
        <v>0</v>
      </c>
      <c r="H53" s="22">
        <f>IFERROR(VLOOKUP(B53,'음성공장 재고장'!A:E,4,FALSE),0)</f>
        <v>0</v>
      </c>
      <c r="I53" s="22">
        <f t="shared" si="9"/>
        <v>0</v>
      </c>
      <c r="J53" s="95" t="str">
        <f>IFERROR(VLOOKUP(B53,'음성공장 재고장'!A:E,5,FALSE),0)</f>
        <v>없음</v>
      </c>
      <c r="K53" s="97">
        <f>IFERROR(VLOOKUP(B53,'음성공장 재고장'!A:F,6,FALSE),0)</f>
        <v>0</v>
      </c>
      <c r="L53" s="22">
        <f t="shared" si="10"/>
        <v>0</v>
      </c>
      <c r="M53" s="95" t="str">
        <f>IFERROR(VLOOKUP(B53,'음성공장 재고장'!A:G,7,FALSE),0)</f>
        <v>없음</v>
      </c>
      <c r="O53" s="22"/>
      <c r="Q53" s="22">
        <f t="shared" ref="Q53:Q67" ca="1" si="34">IFERROR(R53/E53,0)</f>
        <v>0</v>
      </c>
      <c r="R53" s="123">
        <f t="shared" ca="1" si="22"/>
        <v>0</v>
      </c>
      <c r="S53" s="6">
        <f t="shared" si="11"/>
        <v>0</v>
      </c>
      <c r="T53" s="63">
        <f t="shared" si="21"/>
        <v>0</v>
      </c>
      <c r="U53" s="48" t="str">
        <f t="shared" si="12"/>
        <v>재고없음</v>
      </c>
      <c r="V53" s="50" t="str">
        <f t="shared" ref="V53:V67" si="35">IF(F53=0,"재고없음",IF(AND(J53=0,M53=0,P53=0),"없음",MIN(J53,M53,P53)))</f>
        <v>재고없음</v>
      </c>
      <c r="W53" s="177">
        <v>0</v>
      </c>
      <c r="X53" s="178">
        <v>0</v>
      </c>
      <c r="Y53" s="221">
        <f t="shared" ref="Y53:Y67" si="36">+S53*W53/30</f>
        <v>0</v>
      </c>
      <c r="Z53" s="221">
        <f t="shared" ca="1" si="23"/>
        <v>0</v>
      </c>
      <c r="AA53" s="46">
        <f t="shared" ref="AA53:AA67" si="37">IFERROR(IF(U53="사용없음","X",IF(V53-U53&gt;0,"O","X")),0)</f>
        <v>0</v>
      </c>
      <c r="AB53" s="65" t="str">
        <f t="shared" ref="AB53:AB67" si="38">IF(U53="사용없음",$AD$2,IF(T53=0,"-",IF(T53&lt;=1,$AA$2,IF(AND(T53&gt;1,T53&lt;=4),$AB$2,$AD$2))))</f>
        <v>-</v>
      </c>
      <c r="AC53" s="65">
        <f>COUNTIF(BOM!B:B,원재료!B53)</f>
        <v>1</v>
      </c>
      <c r="AD53" s="103" t="str">
        <f t="shared" ref="AD53:AD67" si="39">IF(AND(AA53="X",AB53="C",AC53&lt;2),"원료대체검토",IF(AND(AA53="X",AB53="C"),"소진계획필요","판매활성화"))</f>
        <v>판매활성화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8">
        <v>0</v>
      </c>
      <c r="AQ53" s="27">
        <f>SUMIF(BOM!$B:$B,원재료!$B53,BOM!E:E)</f>
        <v>0</v>
      </c>
      <c r="AR53" s="27">
        <f>SUMIF(BOM!$B:$B,원재료!$B53,BOM!F:F)</f>
        <v>0</v>
      </c>
      <c r="AS53" s="27">
        <f>SUMIF(BOM!$B:$B,원재료!$B53,BOM!G:G)</f>
        <v>0</v>
      </c>
      <c r="AT53" s="27">
        <f>SUMIF(BOM!$B:$B,원재료!$B53,BOM!H:H)</f>
        <v>0</v>
      </c>
      <c r="AU53" s="27">
        <f>SUMIF(BOM!$B:$B,원재료!$B53,BOM!I:I)</f>
        <v>0</v>
      </c>
      <c r="AV53" s="27">
        <f>SUMIF(BOM!$B:$B,원재료!$B53,BOM!J:J)</f>
        <v>0</v>
      </c>
      <c r="AW53" s="27">
        <f>SUMIF(BOM!$B:$B,원재료!$B53,BOM!K:K)</f>
        <v>0</v>
      </c>
      <c r="AX53" s="27">
        <f>SUMIF(BOM!$B:$B,원재료!$B53,BOM!L:L)</f>
        <v>0</v>
      </c>
      <c r="AY53" s="27">
        <f>SUMIF(BOM!$B:$B,원재료!$B53,BOM!M:M)</f>
        <v>0</v>
      </c>
      <c r="AZ53" s="27">
        <f>SUMIF(BOM!$B:$B,원재료!$B53,BOM!N:N)</f>
        <v>0</v>
      </c>
      <c r="BA53" s="27">
        <f>SUMIF(BOM!$B:$B,원재료!$B53,BOM!O:O)</f>
        <v>0</v>
      </c>
      <c r="BB53" s="28">
        <f>SUMIF(BOM!$B:$B,원재료!$B53,BOM!P:P)</f>
        <v>0</v>
      </c>
    </row>
    <row r="54" spans="1:54" x14ac:dyDescent="0.3">
      <c r="A54" s="21" t="s">
        <v>122</v>
      </c>
      <c r="B54" s="331" t="s">
        <v>378</v>
      </c>
      <c r="C54" s="81" t="s">
        <v>234</v>
      </c>
      <c r="D54" s="84">
        <v>68</v>
      </c>
      <c r="E54" s="100">
        <f>2312000/68</f>
        <v>34000</v>
      </c>
      <c r="F54" s="98">
        <f t="shared" si="32"/>
        <v>4.42</v>
      </c>
      <c r="G54" s="22">
        <f t="shared" si="33"/>
        <v>150280</v>
      </c>
      <c r="H54" s="22">
        <f>IFERROR(VLOOKUP(B54,'음성공장 재고장'!A:E,4,FALSE),0)</f>
        <v>4.42</v>
      </c>
      <c r="I54" s="22">
        <f t="shared" si="9"/>
        <v>150280</v>
      </c>
      <c r="J54" s="95">
        <f>IFERROR(VLOOKUP(B54,'음성공장 재고장'!A:E,5,FALSE),0)</f>
        <v>45897</v>
      </c>
      <c r="K54" s="97">
        <f>IFERROR(VLOOKUP(B54,'음성공장 재고장'!A:F,6,FALSE),0)</f>
        <v>0</v>
      </c>
      <c r="L54" s="22">
        <f t="shared" si="10"/>
        <v>0</v>
      </c>
      <c r="M54" s="95" t="str">
        <f>IFERROR(VLOOKUP(B54,'음성공장 재고장'!A:G,7,FALSE),0)</f>
        <v>없음</v>
      </c>
      <c r="O54" s="22"/>
      <c r="Q54" s="22">
        <f t="shared" ca="1" si="34"/>
        <v>4.42</v>
      </c>
      <c r="R54" s="123">
        <f t="shared" ca="1" si="22"/>
        <v>150280</v>
      </c>
      <c r="S54" s="6">
        <f t="shared" si="11"/>
        <v>0</v>
      </c>
      <c r="T54" s="63">
        <f t="shared" si="21"/>
        <v>0</v>
      </c>
      <c r="U54" s="48" t="str">
        <f t="shared" si="12"/>
        <v>사용없음</v>
      </c>
      <c r="V54" s="50">
        <f t="shared" si="35"/>
        <v>45897</v>
      </c>
      <c r="W54" s="177">
        <v>0</v>
      </c>
      <c r="X54" s="178">
        <v>0</v>
      </c>
      <c r="Y54" s="221">
        <f t="shared" si="36"/>
        <v>0</v>
      </c>
      <c r="Z54" s="221" t="str">
        <f t="shared" ca="1" si="23"/>
        <v>X</v>
      </c>
      <c r="AA54" s="46" t="str">
        <f t="shared" si="37"/>
        <v>X</v>
      </c>
      <c r="AB54" s="65" t="str">
        <f t="shared" si="38"/>
        <v>C</v>
      </c>
      <c r="AC54" s="65">
        <f>COUNTIF(BOM!B:B,원재료!B54)</f>
        <v>1</v>
      </c>
      <c r="AD54" s="103" t="str">
        <f t="shared" si="39"/>
        <v>원료대체검토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8">
        <v>0</v>
      </c>
      <c r="AQ54" s="27">
        <f>SUMIF(BOM!$B:$B,원재료!$B54,BOM!E:E)</f>
        <v>0</v>
      </c>
      <c r="AR54" s="27">
        <f>SUMIF(BOM!$B:$B,원재료!$B54,BOM!F:F)</f>
        <v>0</v>
      </c>
      <c r="AS54" s="27">
        <f>SUMIF(BOM!$B:$B,원재료!$B54,BOM!G:G)</f>
        <v>0</v>
      </c>
      <c r="AT54" s="27">
        <f>SUMIF(BOM!$B:$B,원재료!$B54,BOM!H:H)</f>
        <v>0</v>
      </c>
      <c r="AU54" s="27">
        <f>SUMIF(BOM!$B:$B,원재료!$B54,BOM!I:I)</f>
        <v>0</v>
      </c>
      <c r="AV54" s="27">
        <f>SUMIF(BOM!$B:$B,원재료!$B54,BOM!J:J)</f>
        <v>0</v>
      </c>
      <c r="AW54" s="27">
        <f>SUMIF(BOM!$B:$B,원재료!$B54,BOM!K:K)</f>
        <v>0</v>
      </c>
      <c r="AX54" s="27">
        <f>SUMIF(BOM!$B:$B,원재료!$B54,BOM!L:L)</f>
        <v>0</v>
      </c>
      <c r="AY54" s="27">
        <f>SUMIF(BOM!$B:$B,원재료!$B54,BOM!M:M)</f>
        <v>0</v>
      </c>
      <c r="AZ54" s="27">
        <f>SUMIF(BOM!$B:$B,원재료!$B54,BOM!N:N)</f>
        <v>0</v>
      </c>
      <c r="BA54" s="27">
        <f>SUMIF(BOM!$B:$B,원재료!$B54,BOM!O:O)</f>
        <v>0</v>
      </c>
      <c r="BB54" s="28">
        <f>SUMIF(BOM!$B:$B,원재료!$B54,BOM!P:P)</f>
        <v>0</v>
      </c>
    </row>
    <row r="55" spans="1:54" x14ac:dyDescent="0.3">
      <c r="A55" s="21" t="s">
        <v>122</v>
      </c>
      <c r="B55" s="331" t="s">
        <v>375</v>
      </c>
      <c r="C55" s="81" t="s">
        <v>229</v>
      </c>
      <c r="D55" s="84">
        <v>25</v>
      </c>
      <c r="E55" s="100">
        <f>146250/25</f>
        <v>5850</v>
      </c>
      <c r="F55" s="98">
        <f t="shared" si="32"/>
        <v>20.8</v>
      </c>
      <c r="G55" s="22">
        <f t="shared" si="33"/>
        <v>121680</v>
      </c>
      <c r="H55" s="22">
        <f>IFERROR(VLOOKUP(B55,'음성공장 재고장'!A:E,4,FALSE),0)</f>
        <v>20.8</v>
      </c>
      <c r="I55" s="22">
        <f t="shared" si="9"/>
        <v>121680</v>
      </c>
      <c r="J55" s="95">
        <f>IFERROR(VLOOKUP(B55,'음성공장 재고장'!A:E,5,FALSE),0)</f>
        <v>45868</v>
      </c>
      <c r="K55" s="97">
        <f>IFERROR(VLOOKUP(B55,'음성공장 재고장'!A:F,6,FALSE),0)</f>
        <v>0</v>
      </c>
      <c r="L55" s="22">
        <f t="shared" si="10"/>
        <v>0</v>
      </c>
      <c r="M55" s="95" t="str">
        <f>IFERROR(VLOOKUP(B55,'음성공장 재고장'!A:G,7,FALSE),0)</f>
        <v>없음</v>
      </c>
      <c r="O55" s="22"/>
      <c r="Q55" s="22">
        <f t="shared" ca="1" si="34"/>
        <v>20.8</v>
      </c>
      <c r="R55" s="123">
        <f t="shared" ca="1" si="22"/>
        <v>121680</v>
      </c>
      <c r="S55" s="6">
        <f t="shared" si="11"/>
        <v>0</v>
      </c>
      <c r="T55" s="63">
        <f t="shared" si="21"/>
        <v>0</v>
      </c>
      <c r="U55" s="48" t="str">
        <f t="shared" si="12"/>
        <v>사용없음</v>
      </c>
      <c r="V55" s="50">
        <f t="shared" si="35"/>
        <v>45868</v>
      </c>
      <c r="W55" s="177">
        <v>0</v>
      </c>
      <c r="X55" s="178">
        <v>0</v>
      </c>
      <c r="Y55" s="221">
        <f t="shared" si="36"/>
        <v>0</v>
      </c>
      <c r="Z55" s="221" t="str">
        <f t="shared" ca="1" si="23"/>
        <v>X</v>
      </c>
      <c r="AA55" s="46" t="str">
        <f t="shared" si="37"/>
        <v>X</v>
      </c>
      <c r="AB55" s="65" t="str">
        <f t="shared" si="38"/>
        <v>C</v>
      </c>
      <c r="AC55" s="65">
        <f>COUNTIF(BOM!B:B,원재료!B55)</f>
        <v>1</v>
      </c>
      <c r="AD55" s="103" t="str">
        <f t="shared" si="39"/>
        <v>원료대체검토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8">
        <v>0</v>
      </c>
      <c r="AQ55" s="27">
        <f>SUMIF(BOM!$B:$B,원재료!$B55,BOM!E:E)</f>
        <v>0</v>
      </c>
      <c r="AR55" s="27">
        <f>SUMIF(BOM!$B:$B,원재료!$B55,BOM!F:F)</f>
        <v>0</v>
      </c>
      <c r="AS55" s="27">
        <f>SUMIF(BOM!$B:$B,원재료!$B55,BOM!G:G)</f>
        <v>0</v>
      </c>
      <c r="AT55" s="27">
        <f>SUMIF(BOM!$B:$B,원재료!$B55,BOM!H:H)</f>
        <v>0</v>
      </c>
      <c r="AU55" s="27">
        <f>SUMIF(BOM!$B:$B,원재료!$B55,BOM!I:I)</f>
        <v>0</v>
      </c>
      <c r="AV55" s="27">
        <f>SUMIF(BOM!$B:$B,원재료!$B55,BOM!J:J)</f>
        <v>0</v>
      </c>
      <c r="AW55" s="27">
        <f>SUMIF(BOM!$B:$B,원재료!$B55,BOM!K:K)</f>
        <v>0</v>
      </c>
      <c r="AX55" s="27">
        <f>SUMIF(BOM!$B:$B,원재료!$B55,BOM!L:L)</f>
        <v>0</v>
      </c>
      <c r="AY55" s="27">
        <f>SUMIF(BOM!$B:$B,원재료!$B55,BOM!M:M)</f>
        <v>0</v>
      </c>
      <c r="AZ55" s="27">
        <f>SUMIF(BOM!$B:$B,원재료!$B55,BOM!N:N)</f>
        <v>0</v>
      </c>
      <c r="BA55" s="27">
        <f>SUMIF(BOM!$B:$B,원재료!$B55,BOM!O:O)</f>
        <v>0</v>
      </c>
      <c r="BB55" s="28">
        <f>SUMIF(BOM!$B:$B,원재료!$B55,BOM!P:P)</f>
        <v>0</v>
      </c>
    </row>
    <row r="56" spans="1:54" x14ac:dyDescent="0.3">
      <c r="A56" s="21" t="s">
        <v>122</v>
      </c>
      <c r="B56" s="331" t="s">
        <v>876</v>
      </c>
      <c r="C56" s="81" t="s">
        <v>877</v>
      </c>
      <c r="D56" s="84">
        <v>20</v>
      </c>
      <c r="E56" s="100">
        <f>106000/D56</f>
        <v>5300</v>
      </c>
      <c r="F56" s="98">
        <f t="shared" ref="F56:F61" si="40">+H56+K56+N56</f>
        <v>14.06</v>
      </c>
      <c r="G56" s="22">
        <f t="shared" ref="G56:G61" si="41">+E56*F56</f>
        <v>74518</v>
      </c>
      <c r="H56" s="22">
        <f>IFERROR(VLOOKUP(B56,'음성공장 재고장'!A:E,4,FALSE),0)</f>
        <v>14.06</v>
      </c>
      <c r="I56" s="22">
        <f t="shared" si="9"/>
        <v>74518</v>
      </c>
      <c r="J56" s="95" t="s">
        <v>909</v>
      </c>
      <c r="K56" s="97">
        <f>IFERROR(VLOOKUP(B56,'음성공장 재고장'!A:F,6,FALSE),0)</f>
        <v>0</v>
      </c>
      <c r="L56" s="22">
        <f t="shared" si="10"/>
        <v>0</v>
      </c>
      <c r="M56" s="95" t="str">
        <f>IFERROR(VLOOKUP(B56,'음성공장 재고장'!A:G,7,FALSE),0)</f>
        <v>없음</v>
      </c>
      <c r="O56" s="22"/>
      <c r="Q56" s="22">
        <f t="shared" ref="Q56:Q61" ca="1" si="42">IFERROR(R56/E56,0)</f>
        <v>14.06</v>
      </c>
      <c r="R56" s="123">
        <f t="shared" ca="1" si="22"/>
        <v>74518</v>
      </c>
      <c r="S56" s="6">
        <f t="shared" si="11"/>
        <v>0</v>
      </c>
      <c r="T56" s="63">
        <f t="shared" si="21"/>
        <v>0</v>
      </c>
      <c r="U56" s="48" t="str">
        <f t="shared" si="12"/>
        <v>사용없음</v>
      </c>
      <c r="V56" s="50">
        <f t="shared" ref="V56:V61" si="43">IF(F56=0,"재고없음",IF(AND(J56=0,M56=0,P56=0),"없음",MIN(J56,M56,P56)))</f>
        <v>0</v>
      </c>
      <c r="W56" s="177">
        <v>0</v>
      </c>
      <c r="X56" s="178">
        <v>0</v>
      </c>
      <c r="Y56" s="221">
        <f t="shared" ref="Y56:Y61" si="44">+S56*W56/30</f>
        <v>0</v>
      </c>
      <c r="Z56" s="221" t="str">
        <f t="shared" ref="Z56:Z61" ca="1" si="45">IFERROR(IF(AND($S$1+W56-V56&gt;0,(MAX(P56,M56,J56)&lt;V56+W56)),"O",IF(OR(Y56-F56&lt;=0,S56=0),"X","O")),0)</f>
        <v>X</v>
      </c>
      <c r="AA56" s="46" t="str">
        <f t="shared" ref="AA56:AA61" si="46">IFERROR(IF(U56="사용없음","X",IF(V56-U56&gt;0,"O","X")),0)</f>
        <v>X</v>
      </c>
      <c r="AB56" s="65" t="str">
        <f t="shared" ref="AB56:AB61" si="47">IF(U56="사용없음",$AD$2,IF(T56=0,"-",IF(T56&lt;=1,$AA$2,IF(AND(T56&gt;1,T56&lt;=4),$AB$2,$AD$2))))</f>
        <v>C</v>
      </c>
      <c r="AC56" s="65">
        <f>COUNTIF(BOM!B:B,원재료!B56)</f>
        <v>1</v>
      </c>
      <c r="AD56" s="103" t="str">
        <f t="shared" ref="AD56:AD61" si="48">IF(AND(AA56="X",AB56="C",AC56&lt;2),"원료대체검토",IF(AND(AA56="X",AB56="C"),"소진계획필요","판매활성화"))</f>
        <v>원료대체검토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8">
        <v>0</v>
      </c>
      <c r="AQ56" s="27">
        <f>SUMIF(BOM!$B:$B,원재료!$B56,BOM!E:E)</f>
        <v>0</v>
      </c>
      <c r="AR56" s="27">
        <f>SUMIF(BOM!$B:$B,원재료!$B56,BOM!F:F)</f>
        <v>0</v>
      </c>
      <c r="AS56" s="27">
        <f>SUMIF(BOM!$B:$B,원재료!$B56,BOM!G:G)</f>
        <v>0</v>
      </c>
      <c r="AT56" s="27">
        <f>SUMIF(BOM!$B:$B,원재료!$B56,BOM!H:H)</f>
        <v>0</v>
      </c>
      <c r="AU56" s="27">
        <f>SUMIF(BOM!$B:$B,원재료!$B56,BOM!I:I)</f>
        <v>0</v>
      </c>
      <c r="AV56" s="27">
        <f>SUMIF(BOM!$B:$B,원재료!$B56,BOM!J:J)</f>
        <v>0</v>
      </c>
      <c r="AW56" s="27">
        <f>SUMIF(BOM!$B:$B,원재료!$B56,BOM!K:K)</f>
        <v>0</v>
      </c>
      <c r="AX56" s="27">
        <f>SUMIF(BOM!$B:$B,원재료!$B56,BOM!L:L)</f>
        <v>0</v>
      </c>
      <c r="AY56" s="27">
        <f>SUMIF(BOM!$B:$B,원재료!$B56,BOM!M:M)</f>
        <v>0</v>
      </c>
      <c r="AZ56" s="27">
        <f>SUMIF(BOM!$B:$B,원재료!$B56,BOM!N:N)</f>
        <v>0</v>
      </c>
      <c r="BA56" s="27">
        <f>SUMIF(BOM!$B:$B,원재료!$B56,BOM!O:O)</f>
        <v>0</v>
      </c>
      <c r="BB56" s="28">
        <f>SUMIF(BOM!$B:$B,원재료!$B56,BOM!P:P)</f>
        <v>0</v>
      </c>
    </row>
    <row r="57" spans="1:54" x14ac:dyDescent="0.3">
      <c r="A57" s="21" t="s">
        <v>122</v>
      </c>
      <c r="B57" s="331" t="s">
        <v>420</v>
      </c>
      <c r="C57" s="81" t="s">
        <v>308</v>
      </c>
      <c r="D57" s="84">
        <v>0.45</v>
      </c>
      <c r="E57" s="100">
        <f>6284/0.45</f>
        <v>13964.444444444443</v>
      </c>
      <c r="F57" s="98">
        <f t="shared" si="40"/>
        <v>0.9</v>
      </c>
      <c r="G57" s="22">
        <f t="shared" si="41"/>
        <v>12568</v>
      </c>
      <c r="H57" s="22">
        <f>IFERROR(VLOOKUP(B57,'음성공장 재고장'!A:E,4,FALSE),0)</f>
        <v>0.9</v>
      </c>
      <c r="I57" s="22">
        <f t="shared" si="9"/>
        <v>12568</v>
      </c>
      <c r="J57" s="95">
        <f>IFERROR(VLOOKUP(B57,'음성공장 재고장'!A:E,5,FALSE),0)</f>
        <v>45827</v>
      </c>
      <c r="K57" s="97">
        <f>IFERROR(VLOOKUP(B57,'음성공장 재고장'!A:F,6,FALSE),0)</f>
        <v>0</v>
      </c>
      <c r="L57" s="22">
        <f t="shared" si="10"/>
        <v>0</v>
      </c>
      <c r="M57" s="95" t="str">
        <f>IFERROR(VLOOKUP(B57,'음성공장 재고장'!A:G,7,FALSE),0)</f>
        <v>없음</v>
      </c>
      <c r="O57" s="22"/>
      <c r="Q57" s="22">
        <f t="shared" ca="1" si="42"/>
        <v>0.9</v>
      </c>
      <c r="R57" s="123">
        <f t="shared" ca="1" si="22"/>
        <v>12568</v>
      </c>
      <c r="S57" s="6">
        <f t="shared" si="11"/>
        <v>0</v>
      </c>
      <c r="T57" s="63">
        <f t="shared" si="21"/>
        <v>0</v>
      </c>
      <c r="U57" s="48" t="str">
        <f t="shared" si="12"/>
        <v>사용없음</v>
      </c>
      <c r="V57" s="50">
        <f t="shared" si="43"/>
        <v>45827</v>
      </c>
      <c r="W57" s="177">
        <v>0</v>
      </c>
      <c r="X57" s="178">
        <v>0</v>
      </c>
      <c r="Y57" s="221">
        <f t="shared" si="44"/>
        <v>0</v>
      </c>
      <c r="Z57" s="221" t="str">
        <f t="shared" ca="1" si="45"/>
        <v>X</v>
      </c>
      <c r="AA57" s="46" t="str">
        <f t="shared" si="46"/>
        <v>X</v>
      </c>
      <c r="AB57" s="65" t="str">
        <f t="shared" si="47"/>
        <v>C</v>
      </c>
      <c r="AC57" s="65">
        <f>COUNTIF(BOM!B:B,원재료!B57)</f>
        <v>1</v>
      </c>
      <c r="AD57" s="103" t="str">
        <f t="shared" si="48"/>
        <v>원료대체검토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8">
        <v>0</v>
      </c>
      <c r="AQ57" s="27">
        <f>SUMIF(BOM!$B:$B,원재료!$B57,BOM!E:E)</f>
        <v>0</v>
      </c>
      <c r="AR57" s="27">
        <f>SUMIF(BOM!$B:$B,원재료!$B57,BOM!F:F)</f>
        <v>0</v>
      </c>
      <c r="AS57" s="27">
        <f>SUMIF(BOM!$B:$B,원재료!$B57,BOM!G:G)</f>
        <v>0</v>
      </c>
      <c r="AT57" s="27">
        <f>SUMIF(BOM!$B:$B,원재료!$B57,BOM!H:H)</f>
        <v>0</v>
      </c>
      <c r="AU57" s="27">
        <f>SUMIF(BOM!$B:$B,원재료!$B57,BOM!I:I)</f>
        <v>0</v>
      </c>
      <c r="AV57" s="27">
        <f>SUMIF(BOM!$B:$B,원재료!$B57,BOM!J:J)</f>
        <v>0</v>
      </c>
      <c r="AW57" s="27">
        <f>SUMIF(BOM!$B:$B,원재료!$B57,BOM!K:K)</f>
        <v>0</v>
      </c>
      <c r="AX57" s="27">
        <f>SUMIF(BOM!$B:$B,원재료!$B57,BOM!L:L)</f>
        <v>0</v>
      </c>
      <c r="AY57" s="27">
        <f>SUMIF(BOM!$B:$B,원재료!$B57,BOM!M:M)</f>
        <v>0</v>
      </c>
      <c r="AZ57" s="27">
        <f>SUMIF(BOM!$B:$B,원재료!$B57,BOM!N:N)</f>
        <v>0</v>
      </c>
      <c r="BA57" s="27">
        <f>SUMIF(BOM!$B:$B,원재료!$B57,BOM!O:O)</f>
        <v>0</v>
      </c>
      <c r="BB57" s="28">
        <f>SUMIF(BOM!$B:$B,원재료!$B57,BOM!P:P)</f>
        <v>0</v>
      </c>
    </row>
    <row r="58" spans="1:54" x14ac:dyDescent="0.3">
      <c r="A58" s="21" t="s">
        <v>122</v>
      </c>
      <c r="B58" s="331" t="s">
        <v>398</v>
      </c>
      <c r="C58" s="81" t="s">
        <v>277</v>
      </c>
      <c r="D58" s="84">
        <v>13</v>
      </c>
      <c r="E58" s="100">
        <v>2384.6153846153848</v>
      </c>
      <c r="F58" s="98">
        <f t="shared" si="40"/>
        <v>13</v>
      </c>
      <c r="G58" s="22">
        <f t="shared" si="41"/>
        <v>31000</v>
      </c>
      <c r="H58" s="22">
        <f>IFERROR(VLOOKUP(B58,'음성공장 재고장'!A:E,4,FALSE),0)</f>
        <v>13</v>
      </c>
      <c r="I58" s="22">
        <f t="shared" si="9"/>
        <v>31000</v>
      </c>
      <c r="J58" s="95">
        <f>IFERROR(VLOOKUP(B58,'음성공장 재고장'!A:E,5,FALSE),0)</f>
        <v>46098</v>
      </c>
      <c r="K58" s="97">
        <f>IFERROR(VLOOKUP(B58,'음성공장 재고장'!A:F,6,FALSE),0)</f>
        <v>0</v>
      </c>
      <c r="L58" s="22">
        <f t="shared" si="10"/>
        <v>0</v>
      </c>
      <c r="M58" s="95" t="str">
        <f>IFERROR(VLOOKUP(B58,'음성공장 재고장'!A:G,7,FALSE),0)</f>
        <v>없음</v>
      </c>
      <c r="O58" s="22"/>
      <c r="Q58" s="22">
        <f t="shared" ca="1" si="42"/>
        <v>13</v>
      </c>
      <c r="R58" s="123">
        <f t="shared" ca="1" si="22"/>
        <v>31000</v>
      </c>
      <c r="S58" s="6">
        <f t="shared" si="11"/>
        <v>0</v>
      </c>
      <c r="T58" s="63">
        <f t="shared" si="21"/>
        <v>0</v>
      </c>
      <c r="U58" s="48" t="str">
        <f t="shared" si="12"/>
        <v>사용없음</v>
      </c>
      <c r="V58" s="50">
        <f t="shared" si="43"/>
        <v>46098</v>
      </c>
      <c r="W58" s="177">
        <v>0</v>
      </c>
      <c r="X58" s="178">
        <v>0</v>
      </c>
      <c r="Y58" s="221">
        <f t="shared" si="44"/>
        <v>0</v>
      </c>
      <c r="Z58" s="221" t="str">
        <f t="shared" ca="1" si="45"/>
        <v>X</v>
      </c>
      <c r="AA58" s="46" t="str">
        <f t="shared" si="46"/>
        <v>X</v>
      </c>
      <c r="AB58" s="65" t="str">
        <f t="shared" si="47"/>
        <v>C</v>
      </c>
      <c r="AC58" s="65">
        <f>COUNTIF(BOM!B:B,원재료!B58)</f>
        <v>1</v>
      </c>
      <c r="AD58" s="103" t="str">
        <f t="shared" si="48"/>
        <v>원료대체검토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8">
        <v>0</v>
      </c>
      <c r="AQ58" s="27">
        <f>SUMIF(BOM!$B:$B,원재료!$B58,BOM!E:E)</f>
        <v>0</v>
      </c>
      <c r="AR58" s="27">
        <f>SUMIF(BOM!$B:$B,원재료!$B58,BOM!F:F)</f>
        <v>0</v>
      </c>
      <c r="AS58" s="27">
        <f>SUMIF(BOM!$B:$B,원재료!$B58,BOM!G:G)</f>
        <v>0</v>
      </c>
      <c r="AT58" s="27">
        <f>SUMIF(BOM!$B:$B,원재료!$B58,BOM!H:H)</f>
        <v>0</v>
      </c>
      <c r="AU58" s="27">
        <f>SUMIF(BOM!$B:$B,원재료!$B58,BOM!I:I)</f>
        <v>0</v>
      </c>
      <c r="AV58" s="27">
        <f>SUMIF(BOM!$B:$B,원재료!$B58,BOM!J:J)</f>
        <v>0</v>
      </c>
      <c r="AW58" s="27">
        <f>SUMIF(BOM!$B:$B,원재료!$B58,BOM!K:K)</f>
        <v>0</v>
      </c>
      <c r="AX58" s="27">
        <f>SUMIF(BOM!$B:$B,원재료!$B58,BOM!L:L)</f>
        <v>0</v>
      </c>
      <c r="AY58" s="27">
        <f>SUMIF(BOM!$B:$B,원재료!$B58,BOM!M:M)</f>
        <v>0</v>
      </c>
      <c r="AZ58" s="27">
        <f>SUMIF(BOM!$B:$B,원재료!$B58,BOM!N:N)</f>
        <v>0</v>
      </c>
      <c r="BA58" s="27">
        <f>SUMIF(BOM!$B:$B,원재료!$B58,BOM!O:O)</f>
        <v>0</v>
      </c>
      <c r="BB58" s="28">
        <f>SUMIF(BOM!$B:$B,원재료!$B58,BOM!P:P)</f>
        <v>0</v>
      </c>
    </row>
    <row r="59" spans="1:54" x14ac:dyDescent="0.3">
      <c r="A59" s="21" t="s">
        <v>122</v>
      </c>
      <c r="B59" s="331" t="s">
        <v>368</v>
      </c>
      <c r="C59" s="81" t="s">
        <v>878</v>
      </c>
      <c r="D59" s="84">
        <v>25</v>
      </c>
      <c r="E59" s="100">
        <f>150000/25</f>
        <v>6000</v>
      </c>
      <c r="F59" s="98">
        <f t="shared" si="40"/>
        <v>66.930000000000007</v>
      </c>
      <c r="G59" s="22">
        <f t="shared" si="41"/>
        <v>401580.00000000006</v>
      </c>
      <c r="H59" s="22">
        <f>IFERROR(VLOOKUP(B59,'음성공장 재고장'!A:E,4,FALSE),0)</f>
        <v>42.21</v>
      </c>
      <c r="I59" s="22">
        <f t="shared" si="9"/>
        <v>253260</v>
      </c>
      <c r="J59" s="95">
        <f>IFERROR(VLOOKUP(B59,'음성공장 재고장'!A:E,5,FALSE),0)</f>
        <v>45888</v>
      </c>
      <c r="K59" s="97">
        <f>IFERROR(VLOOKUP(B59,'음성공장 재고장'!A:F,6,FALSE),0)</f>
        <v>24.72</v>
      </c>
      <c r="L59" s="22">
        <f t="shared" si="10"/>
        <v>148320</v>
      </c>
      <c r="M59" s="95">
        <f>IFERROR(VLOOKUP(B59,'음성공장 재고장'!A:G,7,FALSE),0)</f>
        <v>46228</v>
      </c>
      <c r="O59" s="22"/>
      <c r="Q59" s="22">
        <f t="shared" ca="1" si="42"/>
        <v>66.656313993174066</v>
      </c>
      <c r="R59" s="123">
        <f t="shared" ca="1" si="22"/>
        <v>399937.88395904441</v>
      </c>
      <c r="S59" s="6">
        <f t="shared" si="11"/>
        <v>9.1228668941979535E-2</v>
      </c>
      <c r="T59" s="63">
        <f t="shared" si="21"/>
        <v>733.6509539842873</v>
      </c>
      <c r="U59" s="48">
        <f t="shared" ca="1" si="12"/>
        <v>67812.528619528617</v>
      </c>
      <c r="V59" s="50">
        <f t="shared" si="43"/>
        <v>45888</v>
      </c>
      <c r="W59" s="177">
        <v>0</v>
      </c>
      <c r="X59" s="178">
        <v>0</v>
      </c>
      <c r="Y59" s="221">
        <f t="shared" si="44"/>
        <v>0</v>
      </c>
      <c r="Z59" s="221" t="str">
        <f t="shared" ca="1" si="45"/>
        <v>X</v>
      </c>
      <c r="AA59" s="46" t="str">
        <f t="shared" ca="1" si="46"/>
        <v>X</v>
      </c>
      <c r="AB59" s="65" t="str">
        <f t="shared" ca="1" si="47"/>
        <v>C</v>
      </c>
      <c r="AC59" s="65">
        <f>COUNTIF(BOM!B:B,원재료!B59)</f>
        <v>2</v>
      </c>
      <c r="AD59" s="103" t="str">
        <f t="shared" ca="1" si="48"/>
        <v>소진계획필요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0</v>
      </c>
      <c r="AO59" s="27">
        <v>0</v>
      </c>
      <c r="AP59" s="28">
        <v>0</v>
      </c>
      <c r="AQ59" s="27">
        <f>SUMIF(BOM!$B:$B,원재료!$B59,BOM!E:E)</f>
        <v>0</v>
      </c>
      <c r="AR59" s="27">
        <f>SUMIF(BOM!$B:$B,원재료!$B59,BOM!F:F)</f>
        <v>0.45614334470989765</v>
      </c>
      <c r="AS59" s="27">
        <f>SUMIF(BOM!$B:$B,원재료!$B59,BOM!G:G)</f>
        <v>0</v>
      </c>
      <c r="AT59" s="27">
        <f>SUMIF(BOM!$B:$B,원재료!$B59,BOM!H:H)</f>
        <v>0</v>
      </c>
      <c r="AU59" s="27">
        <f>SUMIF(BOM!$B:$B,원재료!$B59,BOM!I:I)</f>
        <v>0</v>
      </c>
      <c r="AV59" s="27">
        <f>SUMIF(BOM!$B:$B,원재료!$B59,BOM!J:J)</f>
        <v>0</v>
      </c>
      <c r="AW59" s="27">
        <f>SUMIF(BOM!$B:$B,원재료!$B59,BOM!K:K)</f>
        <v>0</v>
      </c>
      <c r="AX59" s="27">
        <f>SUMIF(BOM!$B:$B,원재료!$B59,BOM!L:L)</f>
        <v>0</v>
      </c>
      <c r="AY59" s="27">
        <f>SUMIF(BOM!$B:$B,원재료!$B59,BOM!M:M)</f>
        <v>0</v>
      </c>
      <c r="AZ59" s="27">
        <f>SUMIF(BOM!$B:$B,원재료!$B59,BOM!N:N)</f>
        <v>0</v>
      </c>
      <c r="BA59" s="27">
        <f>SUMIF(BOM!$B:$B,원재료!$B59,BOM!O:O)</f>
        <v>0</v>
      </c>
      <c r="BB59" s="28">
        <f>SUMIF(BOM!$B:$B,원재료!$B59,BOM!P:P)</f>
        <v>0</v>
      </c>
    </row>
    <row r="60" spans="1:54" x14ac:dyDescent="0.3">
      <c r="A60" s="21" t="s">
        <v>122</v>
      </c>
      <c r="B60" s="331" t="s">
        <v>424</v>
      </c>
      <c r="C60" s="81" t="s">
        <v>312</v>
      </c>
      <c r="D60" s="84">
        <v>20</v>
      </c>
      <c r="E60" s="100">
        <f>500000/20</f>
        <v>25000</v>
      </c>
      <c r="F60" s="98">
        <f t="shared" si="40"/>
        <v>16.88</v>
      </c>
      <c r="G60" s="22">
        <f t="shared" si="41"/>
        <v>422000</v>
      </c>
      <c r="H60" s="22">
        <f>IFERROR(VLOOKUP(B60,'음성공장 재고장'!A:E,4,FALSE),0)</f>
        <v>16.88</v>
      </c>
      <c r="I60" s="22">
        <f t="shared" si="9"/>
        <v>422000</v>
      </c>
      <c r="J60" s="95">
        <f>IFERROR(VLOOKUP(B60,'음성공장 재고장'!A:E,5,FALSE),0)</f>
        <v>46527</v>
      </c>
      <c r="K60" s="97">
        <f>IFERROR(VLOOKUP(B60,'음성공장 재고장'!A:F,6,FALSE),0)</f>
        <v>0</v>
      </c>
      <c r="L60" s="22">
        <f t="shared" si="10"/>
        <v>0</v>
      </c>
      <c r="M60" s="95" t="str">
        <f>IFERROR(VLOOKUP(B60,'음성공장 재고장'!A:G,7,FALSE),0)</f>
        <v>없음</v>
      </c>
      <c r="O60" s="22"/>
      <c r="Q60" s="22">
        <f t="shared" ca="1" si="42"/>
        <v>16.88</v>
      </c>
      <c r="R60" s="123">
        <f t="shared" ca="1" si="22"/>
        <v>422000</v>
      </c>
      <c r="S60" s="6">
        <f t="shared" si="11"/>
        <v>0</v>
      </c>
      <c r="T60" s="63">
        <f t="shared" si="21"/>
        <v>0</v>
      </c>
      <c r="U60" s="48" t="str">
        <f t="shared" si="12"/>
        <v>사용없음</v>
      </c>
      <c r="V60" s="50">
        <f t="shared" si="43"/>
        <v>46527</v>
      </c>
      <c r="W60" s="177">
        <v>0</v>
      </c>
      <c r="X60" s="178">
        <v>0</v>
      </c>
      <c r="Y60" s="221">
        <f t="shared" si="44"/>
        <v>0</v>
      </c>
      <c r="Z60" s="221" t="str">
        <f t="shared" ca="1" si="45"/>
        <v>X</v>
      </c>
      <c r="AA60" s="46" t="str">
        <f t="shared" si="46"/>
        <v>X</v>
      </c>
      <c r="AB60" s="65" t="str">
        <f t="shared" si="47"/>
        <v>C</v>
      </c>
      <c r="AC60" s="65">
        <f>COUNTIF(BOM!B:B,원재료!B60)</f>
        <v>1</v>
      </c>
      <c r="AD60" s="103" t="str">
        <f t="shared" si="48"/>
        <v>원료대체검토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8">
        <v>0</v>
      </c>
      <c r="AQ60" s="27">
        <f>SUMIF(BOM!$B:$B,원재료!$B60,BOM!E:E)</f>
        <v>0</v>
      </c>
      <c r="AR60" s="27">
        <f>SUMIF(BOM!$B:$B,원재료!$B60,BOM!F:F)</f>
        <v>0</v>
      </c>
      <c r="AS60" s="27">
        <f>SUMIF(BOM!$B:$B,원재료!$B60,BOM!G:G)</f>
        <v>0</v>
      </c>
      <c r="AT60" s="27">
        <f>SUMIF(BOM!$B:$B,원재료!$B60,BOM!H:H)</f>
        <v>0</v>
      </c>
      <c r="AU60" s="27">
        <f>SUMIF(BOM!$B:$B,원재료!$B60,BOM!I:I)</f>
        <v>0</v>
      </c>
      <c r="AV60" s="27">
        <f>SUMIF(BOM!$B:$B,원재료!$B60,BOM!J:J)</f>
        <v>0</v>
      </c>
      <c r="AW60" s="27">
        <f>SUMIF(BOM!$B:$B,원재료!$B60,BOM!K:K)</f>
        <v>0</v>
      </c>
      <c r="AX60" s="27">
        <f>SUMIF(BOM!$B:$B,원재료!$B60,BOM!L:L)</f>
        <v>0</v>
      </c>
      <c r="AY60" s="27">
        <f>SUMIF(BOM!$B:$B,원재료!$B60,BOM!M:M)</f>
        <v>0</v>
      </c>
      <c r="AZ60" s="27">
        <f>SUMIF(BOM!$B:$B,원재료!$B60,BOM!N:N)</f>
        <v>0</v>
      </c>
      <c r="BA60" s="27">
        <f>SUMIF(BOM!$B:$B,원재료!$B60,BOM!O:O)</f>
        <v>0</v>
      </c>
      <c r="BB60" s="28">
        <f>SUMIF(BOM!$B:$B,원재료!$B60,BOM!P:P)</f>
        <v>0</v>
      </c>
    </row>
    <row r="61" spans="1:54" x14ac:dyDescent="0.3">
      <c r="A61" s="21" t="s">
        <v>122</v>
      </c>
      <c r="B61" s="332" t="s">
        <v>388</v>
      </c>
      <c r="C61" s="83" t="s">
        <v>879</v>
      </c>
      <c r="D61" s="84">
        <v>20</v>
      </c>
      <c r="E61" s="100">
        <f>130000/20</f>
        <v>6500</v>
      </c>
      <c r="F61" s="98">
        <f t="shared" si="40"/>
        <v>19.63</v>
      </c>
      <c r="G61" s="22">
        <f t="shared" si="41"/>
        <v>127595</v>
      </c>
      <c r="H61" s="22">
        <f>IFERROR(VLOOKUP(B61,'음성공장 재고장'!A:E,4,FALSE),0)</f>
        <v>19.63</v>
      </c>
      <c r="I61" s="22">
        <f t="shared" si="9"/>
        <v>127595</v>
      </c>
      <c r="J61" s="95">
        <f>IFERROR(VLOOKUP(B61,'음성공장 재고장'!A:E,5,FALSE),0)</f>
        <v>46660</v>
      </c>
      <c r="K61" s="97">
        <f>IFERROR(VLOOKUP(B61,'음성공장 재고장'!A:F,6,FALSE),0)</f>
        <v>0</v>
      </c>
      <c r="L61" s="22">
        <f t="shared" si="10"/>
        <v>0</v>
      </c>
      <c r="M61" s="95" t="str">
        <f>IFERROR(VLOOKUP(B61,'음성공장 재고장'!A:G,7,FALSE),0)</f>
        <v>없음</v>
      </c>
      <c r="O61" s="22"/>
      <c r="Q61" s="22">
        <f t="shared" ca="1" si="42"/>
        <v>19.63</v>
      </c>
      <c r="R61" s="123">
        <f t="shared" ca="1" si="22"/>
        <v>127595</v>
      </c>
      <c r="S61" s="6">
        <f t="shared" si="11"/>
        <v>0</v>
      </c>
      <c r="T61" s="63">
        <f t="shared" si="21"/>
        <v>0</v>
      </c>
      <c r="U61" s="48" t="str">
        <f t="shared" si="12"/>
        <v>사용없음</v>
      </c>
      <c r="V61" s="50">
        <f t="shared" si="43"/>
        <v>46660</v>
      </c>
      <c r="W61" s="177">
        <v>0</v>
      </c>
      <c r="X61" s="178">
        <v>0</v>
      </c>
      <c r="Y61" s="221">
        <f t="shared" si="44"/>
        <v>0</v>
      </c>
      <c r="Z61" s="221" t="str">
        <f t="shared" ca="1" si="45"/>
        <v>X</v>
      </c>
      <c r="AA61" s="46" t="str">
        <f t="shared" si="46"/>
        <v>X</v>
      </c>
      <c r="AB61" s="65" t="str">
        <f t="shared" si="47"/>
        <v>C</v>
      </c>
      <c r="AC61" s="65">
        <f>COUNTIF(BOM!B:B,원재료!B61)</f>
        <v>1</v>
      </c>
      <c r="AD61" s="103" t="str">
        <f t="shared" si="48"/>
        <v>원료대체검토</v>
      </c>
      <c r="AE61" s="27">
        <v>0</v>
      </c>
      <c r="AF61" s="27">
        <v>0</v>
      </c>
      <c r="AG61" s="27">
        <v>0</v>
      </c>
      <c r="AH61" s="27">
        <v>0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0</v>
      </c>
      <c r="AO61" s="27">
        <v>0</v>
      </c>
      <c r="AP61" s="28">
        <v>0</v>
      </c>
      <c r="AQ61" s="27">
        <f>SUMIF(BOM!$B:$B,원재료!$B61,BOM!E:E)</f>
        <v>0</v>
      </c>
      <c r="AR61" s="27">
        <f>SUMIF(BOM!$B:$B,원재료!$B61,BOM!F:F)</f>
        <v>0</v>
      </c>
      <c r="AS61" s="27">
        <f>SUMIF(BOM!$B:$B,원재료!$B61,BOM!G:G)</f>
        <v>0</v>
      </c>
      <c r="AT61" s="27">
        <f>SUMIF(BOM!$B:$B,원재료!$B61,BOM!H:H)</f>
        <v>0</v>
      </c>
      <c r="AU61" s="27">
        <f>SUMIF(BOM!$B:$B,원재료!$B61,BOM!I:I)</f>
        <v>0</v>
      </c>
      <c r="AV61" s="27">
        <f>SUMIF(BOM!$B:$B,원재료!$B61,BOM!J:J)</f>
        <v>0</v>
      </c>
      <c r="AW61" s="27">
        <f>SUMIF(BOM!$B:$B,원재료!$B61,BOM!K:K)</f>
        <v>0</v>
      </c>
      <c r="AX61" s="27">
        <f>SUMIF(BOM!$B:$B,원재료!$B61,BOM!L:L)</f>
        <v>0</v>
      </c>
      <c r="AY61" s="27">
        <f>SUMIF(BOM!$B:$B,원재료!$B61,BOM!M:M)</f>
        <v>0</v>
      </c>
      <c r="AZ61" s="27">
        <f>SUMIF(BOM!$B:$B,원재료!$B61,BOM!N:N)</f>
        <v>0</v>
      </c>
      <c r="BA61" s="27">
        <f>SUMIF(BOM!$B:$B,원재료!$B61,BOM!O:O)</f>
        <v>0</v>
      </c>
      <c r="BB61" s="28">
        <f>SUMIF(BOM!$B:$B,원재료!$B61,BOM!P:P)</f>
        <v>0</v>
      </c>
    </row>
    <row r="62" spans="1:54" x14ac:dyDescent="0.3">
      <c r="A62" s="21" t="s">
        <v>122</v>
      </c>
      <c r="B62" s="83">
        <v>199175</v>
      </c>
      <c r="C62" s="83" t="s">
        <v>233</v>
      </c>
      <c r="D62" s="84">
        <v>0.45</v>
      </c>
      <c r="E62" s="100">
        <v>5307</v>
      </c>
      <c r="F62" s="98">
        <f t="shared" si="32"/>
        <v>0</v>
      </c>
      <c r="G62" s="22">
        <f t="shared" si="33"/>
        <v>0</v>
      </c>
      <c r="H62" s="22">
        <f>IFERROR(VLOOKUP(B62,'음성공장 재고장'!A:E,4,FALSE),0)</f>
        <v>0</v>
      </c>
      <c r="I62" s="22">
        <f t="shared" si="9"/>
        <v>0</v>
      </c>
      <c r="J62" s="95" t="str">
        <f>IFERROR(VLOOKUP(B62,'음성공장 재고장'!A:E,5,FALSE),0)</f>
        <v>없음</v>
      </c>
      <c r="K62" s="97">
        <f>IFERROR(VLOOKUP(B62,'음성공장 재고장'!A:F,6,FALSE),0)</f>
        <v>0</v>
      </c>
      <c r="L62" s="22">
        <f t="shared" si="10"/>
        <v>0</v>
      </c>
      <c r="M62" s="95" t="str">
        <f>IFERROR(VLOOKUP(B62,'음성공장 재고장'!A:G,7,FALSE),0)</f>
        <v>없음</v>
      </c>
      <c r="O62" s="22"/>
      <c r="Q62" s="22">
        <f t="shared" ca="1" si="34"/>
        <v>0</v>
      </c>
      <c r="R62" s="123">
        <f t="shared" ca="1" si="22"/>
        <v>0</v>
      </c>
      <c r="S62" s="6">
        <f t="shared" si="11"/>
        <v>0</v>
      </c>
      <c r="T62" s="63">
        <f t="shared" si="21"/>
        <v>0</v>
      </c>
      <c r="U62" s="48" t="str">
        <f t="shared" si="12"/>
        <v>재고없음</v>
      </c>
      <c r="V62" s="50" t="str">
        <f t="shared" si="35"/>
        <v>재고없음</v>
      </c>
      <c r="W62" s="177">
        <v>0</v>
      </c>
      <c r="X62" s="178">
        <v>0</v>
      </c>
      <c r="Y62" s="221">
        <f t="shared" si="36"/>
        <v>0</v>
      </c>
      <c r="Z62" s="221">
        <f t="shared" ca="1" si="23"/>
        <v>0</v>
      </c>
      <c r="AA62" s="46">
        <f t="shared" si="37"/>
        <v>0</v>
      </c>
      <c r="AB62" s="65" t="str">
        <f t="shared" si="38"/>
        <v>-</v>
      </c>
      <c r="AC62" s="65">
        <f>COUNTIF(BOM!B:B,원재료!B62)</f>
        <v>1</v>
      </c>
      <c r="AD62" s="103" t="str">
        <f t="shared" si="39"/>
        <v>판매활성화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8">
        <v>0</v>
      </c>
      <c r="AQ62" s="27">
        <f>SUMIF(BOM!$B:$B,원재료!$B62,BOM!E:E)</f>
        <v>0</v>
      </c>
      <c r="AR62" s="27">
        <f>SUMIF(BOM!$B:$B,원재료!$B62,BOM!F:F)</f>
        <v>0</v>
      </c>
      <c r="AS62" s="27">
        <f>SUMIF(BOM!$B:$B,원재료!$B62,BOM!G:G)</f>
        <v>0</v>
      </c>
      <c r="AT62" s="27">
        <f>SUMIF(BOM!$B:$B,원재료!$B62,BOM!H:H)</f>
        <v>0</v>
      </c>
      <c r="AU62" s="27">
        <f>SUMIF(BOM!$B:$B,원재료!$B62,BOM!I:I)</f>
        <v>0</v>
      </c>
      <c r="AV62" s="27">
        <f>SUMIF(BOM!$B:$B,원재료!$B62,BOM!J:J)</f>
        <v>0</v>
      </c>
      <c r="AW62" s="27">
        <f>SUMIF(BOM!$B:$B,원재료!$B62,BOM!K:K)</f>
        <v>0</v>
      </c>
      <c r="AX62" s="27">
        <f>SUMIF(BOM!$B:$B,원재료!$B62,BOM!L:L)</f>
        <v>0</v>
      </c>
      <c r="AY62" s="27">
        <f>SUMIF(BOM!$B:$B,원재료!$B62,BOM!M:M)</f>
        <v>0</v>
      </c>
      <c r="AZ62" s="27">
        <f>SUMIF(BOM!$B:$B,원재료!$B62,BOM!N:N)</f>
        <v>0</v>
      </c>
      <c r="BA62" s="27">
        <f>SUMIF(BOM!$B:$B,원재료!$B62,BOM!O:O)</f>
        <v>0</v>
      </c>
      <c r="BB62" s="28">
        <f>SUMIF(BOM!$B:$B,원재료!$B62,BOM!P:P)</f>
        <v>0</v>
      </c>
    </row>
    <row r="63" spans="1:54" x14ac:dyDescent="0.3">
      <c r="A63" s="21" t="s">
        <v>122</v>
      </c>
      <c r="B63" s="83" t="s">
        <v>352</v>
      </c>
      <c r="C63" s="83" t="s">
        <v>186</v>
      </c>
      <c r="D63" s="84">
        <v>0.25</v>
      </c>
      <c r="E63" s="100">
        <f>5365/0.25</f>
        <v>21460</v>
      </c>
      <c r="F63" s="98">
        <f t="shared" ref="F63:F64" si="49">+H63+K63+N63</f>
        <v>0.87</v>
      </c>
      <c r="G63" s="22">
        <f t="shared" ref="G63:G66" si="50">+E63*F63</f>
        <v>18670.2</v>
      </c>
      <c r="H63" s="22">
        <f>IFERROR(VLOOKUP(B63,'음성공장 재고장'!A:E,4,FALSE),0)</f>
        <v>0.87</v>
      </c>
      <c r="I63" s="22">
        <f t="shared" si="9"/>
        <v>18670.2</v>
      </c>
      <c r="J63" s="95">
        <f>IFERROR(VLOOKUP(B63,'음성공장 재고장'!A:E,5,FALSE),0)</f>
        <v>46066</v>
      </c>
      <c r="K63" s="97">
        <f>IFERROR(VLOOKUP(B63,'음성공장 재고장'!A:F,6,FALSE),0)</f>
        <v>0</v>
      </c>
      <c r="L63" s="22">
        <f t="shared" si="10"/>
        <v>0</v>
      </c>
      <c r="M63" s="95" t="str">
        <f>IFERROR(VLOOKUP(B63,'음성공장 재고장'!A:G,7,FALSE),0)</f>
        <v>없음</v>
      </c>
      <c r="O63" s="22"/>
      <c r="Q63" s="22">
        <f t="shared" ref="Q63:Q64" ca="1" si="51">IFERROR(R63/E63,0)</f>
        <v>0</v>
      </c>
      <c r="R63" s="123">
        <f t="shared" ref="R63:R64" ca="1" si="52">IFERROR(IF(OR(V63&lt;U63,S63=0),G63-S63*E63*(ABS(MONTH($S$1)-MONTH(V63))),0),0)</f>
        <v>0</v>
      </c>
      <c r="S63" s="6">
        <f t="shared" si="11"/>
        <v>0.99</v>
      </c>
      <c r="T63" s="63">
        <f t="shared" si="21"/>
        <v>0.87878787878787878</v>
      </c>
      <c r="U63" s="48">
        <f t="shared" ca="1" si="12"/>
        <v>45829.36363636364</v>
      </c>
      <c r="V63" s="50">
        <f t="shared" ref="V63:V64" si="53">IF(F63=0,"재고없음",IF(AND(J63=0,M63=0,P63=0),"없음",MIN(J63,M63,P63)))</f>
        <v>46066</v>
      </c>
      <c r="W63" s="177">
        <v>0</v>
      </c>
      <c r="X63" s="178">
        <v>0</v>
      </c>
      <c r="Y63" s="221">
        <f t="shared" ref="Y63:Y64" si="54">+S63*W63/30</f>
        <v>0</v>
      </c>
      <c r="Z63" s="221" t="str">
        <f t="shared" ref="Z63:Z64" ca="1" si="55">IFERROR(IF(AND($S$1+W63-V63&gt;0,(MAX(P63,M63,J63)&lt;V63+W63)),"O",IF(OR(Y63-F63&lt;=0,S63=0),"X","O")),0)</f>
        <v>X</v>
      </c>
      <c r="AA63" s="46" t="str">
        <f t="shared" ref="AA63:AA64" ca="1" si="56">IFERROR(IF(U63="사용없음","X",IF(V63-U63&gt;0,"O","X")),0)</f>
        <v>O</v>
      </c>
      <c r="AB63" s="65" t="str">
        <f t="shared" ref="AB63:AB64" ca="1" si="57">IF(U63="사용없음",$AD$2,IF(T63=0,"-",IF(T63&lt;=1,$AA$2,IF(AND(T63&gt;1,T63&lt;=4),$AB$2,$AD$2))))</f>
        <v>A</v>
      </c>
      <c r="AC63" s="65">
        <f>COUNTIF(BOM!B:B,원재료!B63)</f>
        <v>3</v>
      </c>
      <c r="AD63" s="103" t="str">
        <f t="shared" ref="AD63:AD64" ca="1" si="58">IF(AND(AA63="X",AB63="C",AC63&lt;2),"원료대체검토",IF(AND(AA63="X",AB63="C"),"소진계획필요","판매활성화"))</f>
        <v>판매활성화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8">
        <v>0</v>
      </c>
      <c r="AQ63" s="27">
        <f>SUMIF(BOM!$B:$B,원재료!$B63,BOM!E:E)</f>
        <v>0</v>
      </c>
      <c r="AR63" s="27">
        <f>SUMIF(BOM!$B:$B,원재료!$B63,BOM!F:F)</f>
        <v>1.8</v>
      </c>
      <c r="AS63" s="27">
        <f>SUMIF(BOM!$B:$B,원재료!$B63,BOM!G:G)</f>
        <v>1.8</v>
      </c>
      <c r="AT63" s="27">
        <f>SUMIF(BOM!$B:$B,원재료!$B63,BOM!H:H)</f>
        <v>1.3499999999999999</v>
      </c>
      <c r="AU63" s="27">
        <f>SUMIF(BOM!$B:$B,원재료!$B63,BOM!I:I)</f>
        <v>0</v>
      </c>
      <c r="AV63" s="27">
        <f>SUMIF(BOM!$B:$B,원재료!$B63,BOM!J:J)</f>
        <v>0</v>
      </c>
      <c r="AW63" s="27">
        <f>SUMIF(BOM!$B:$B,원재료!$B63,BOM!K:K)</f>
        <v>0</v>
      </c>
      <c r="AX63" s="27">
        <f>SUMIF(BOM!$B:$B,원재료!$B63,BOM!L:L)</f>
        <v>0</v>
      </c>
      <c r="AY63" s="27">
        <f>SUMIF(BOM!$B:$B,원재료!$B63,BOM!M:M)</f>
        <v>0</v>
      </c>
      <c r="AZ63" s="27">
        <f>SUMIF(BOM!$B:$B,원재료!$B63,BOM!N:N)</f>
        <v>0</v>
      </c>
      <c r="BA63" s="27">
        <f>SUMIF(BOM!$B:$B,원재료!$B63,BOM!O:O)</f>
        <v>0</v>
      </c>
      <c r="BB63" s="28">
        <f>SUMIF(BOM!$B:$B,원재료!$B63,BOM!P:P)</f>
        <v>0</v>
      </c>
    </row>
    <row r="64" spans="1:54" x14ac:dyDescent="0.3">
      <c r="A64" s="21" t="s">
        <v>122</v>
      </c>
      <c r="B64" s="83" t="s">
        <v>353</v>
      </c>
      <c r="C64" s="83" t="s">
        <v>187</v>
      </c>
      <c r="D64" s="84" t="s">
        <v>882</v>
      </c>
      <c r="E64" s="100">
        <v>16991.111111111109</v>
      </c>
      <c r="F64" s="98">
        <f t="shared" si="49"/>
        <v>4.04</v>
      </c>
      <c r="G64" s="22">
        <f t="shared" si="50"/>
        <v>68644.088888888888</v>
      </c>
      <c r="H64" s="22">
        <f>IFERROR(VLOOKUP(B64,'음성공장 재고장'!A:E,4,FALSE),0)</f>
        <v>4.04</v>
      </c>
      <c r="I64" s="22">
        <f t="shared" si="9"/>
        <v>68644.088888888888</v>
      </c>
      <c r="J64" s="95">
        <f>IFERROR(VLOOKUP(B64,'음성공장 재고장'!A:E,5,FALSE),0)</f>
        <v>46075</v>
      </c>
      <c r="K64" s="97">
        <f>IFERROR(VLOOKUP(B64,'음성공장 재고장'!A:F,6,FALSE),0)</f>
        <v>0</v>
      </c>
      <c r="L64" s="22">
        <f t="shared" si="10"/>
        <v>0</v>
      </c>
      <c r="M64" s="95" t="str">
        <f>IFERROR(VLOOKUP(B64,'음성공장 재고장'!A:G,7,FALSE),0)</f>
        <v>없음</v>
      </c>
      <c r="O64" s="22"/>
      <c r="Q64" s="22">
        <f t="shared" ca="1" si="51"/>
        <v>0</v>
      </c>
      <c r="R64" s="123">
        <f t="shared" ca="1" si="52"/>
        <v>0</v>
      </c>
      <c r="S64" s="6">
        <f t="shared" si="11"/>
        <v>1.1499999999999999</v>
      </c>
      <c r="T64" s="63">
        <f t="shared" si="21"/>
        <v>3.5130434782608697</v>
      </c>
      <c r="U64" s="48">
        <f t="shared" ca="1" si="12"/>
        <v>45908.391304347824</v>
      </c>
      <c r="V64" s="50">
        <f t="shared" si="53"/>
        <v>46075</v>
      </c>
      <c r="W64" s="177">
        <v>0</v>
      </c>
      <c r="X64" s="178">
        <v>0</v>
      </c>
      <c r="Y64" s="221">
        <f t="shared" si="54"/>
        <v>0</v>
      </c>
      <c r="Z64" s="221" t="str">
        <f t="shared" ca="1" si="55"/>
        <v>X</v>
      </c>
      <c r="AA64" s="46" t="str">
        <f t="shared" ca="1" si="56"/>
        <v>O</v>
      </c>
      <c r="AB64" s="65" t="str">
        <f t="shared" ca="1" si="57"/>
        <v>B</v>
      </c>
      <c r="AC64" s="65">
        <f>COUNTIF(BOM!B:B,원재료!B64)</f>
        <v>3</v>
      </c>
      <c r="AD64" s="103" t="str">
        <f t="shared" ca="1" si="58"/>
        <v>판매활성화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8">
        <v>0</v>
      </c>
      <c r="AQ64" s="27">
        <f>SUMIF(BOM!$B:$B,원재료!$B64,BOM!E:E)</f>
        <v>0</v>
      </c>
      <c r="AR64" s="27">
        <f>SUMIF(BOM!$B:$B,원재료!$B64,BOM!F:F)</f>
        <v>2.2000000000000002</v>
      </c>
      <c r="AS64" s="335">
        <f>SUMIF(BOM!$B:$B,원재료!$B64,BOM!G:G)</f>
        <v>2.2000000000000002</v>
      </c>
      <c r="AT64" s="27">
        <f>SUMIF(BOM!$B:$B,원재료!$B64,BOM!H:H)</f>
        <v>1.3499999999999999</v>
      </c>
      <c r="AU64" s="27">
        <f>SUMIF(BOM!$B:$B,원재료!$B64,BOM!I:I)</f>
        <v>0</v>
      </c>
      <c r="AV64" s="27">
        <f>SUMIF(BOM!$B:$B,원재료!$B64,BOM!J:J)</f>
        <v>0</v>
      </c>
      <c r="AW64" s="27">
        <f>SUMIF(BOM!$B:$B,원재료!$B64,BOM!K:K)</f>
        <v>0</v>
      </c>
      <c r="AX64" s="27">
        <f>SUMIF(BOM!$B:$B,원재료!$B64,BOM!L:L)</f>
        <v>0</v>
      </c>
      <c r="AY64" s="27">
        <f>SUMIF(BOM!$B:$B,원재료!$B64,BOM!M:M)</f>
        <v>0</v>
      </c>
      <c r="AZ64" s="27">
        <f>SUMIF(BOM!$B:$B,원재료!$B64,BOM!N:N)</f>
        <v>0</v>
      </c>
      <c r="BA64" s="27">
        <f>SUMIF(BOM!$B:$B,원재료!$B64,BOM!O:O)</f>
        <v>0</v>
      </c>
      <c r="BB64" s="28">
        <f>SUMIF(BOM!$B:$B,원재료!$B64,BOM!P:P)</f>
        <v>0</v>
      </c>
    </row>
    <row r="65" spans="1:54" x14ac:dyDescent="0.3">
      <c r="A65" s="21" t="s">
        <v>122</v>
      </c>
      <c r="B65" s="83">
        <v>333459</v>
      </c>
      <c r="C65" s="83" t="s">
        <v>767</v>
      </c>
      <c r="D65" s="84">
        <v>20</v>
      </c>
      <c r="E65" s="100">
        <f>40600/20</f>
        <v>2030</v>
      </c>
      <c r="F65" s="98">
        <f t="shared" si="32"/>
        <v>0</v>
      </c>
      <c r="G65" s="22">
        <f t="shared" si="33"/>
        <v>0</v>
      </c>
      <c r="H65" s="22">
        <f>IFERROR(VLOOKUP(B65,'음성공장 재고장'!A:E,4,FALSE),0)</f>
        <v>0</v>
      </c>
      <c r="I65" s="22">
        <f t="shared" si="9"/>
        <v>0</v>
      </c>
      <c r="J65" s="95" t="str">
        <f>IFERROR(VLOOKUP(B65,'음성공장 재고장'!A:E,5,FALSE),0)</f>
        <v>없음</v>
      </c>
      <c r="K65" s="97">
        <f>IFERROR(VLOOKUP(B65,'음성공장 재고장'!A:F,6,FALSE),0)</f>
        <v>0</v>
      </c>
      <c r="L65" s="22">
        <f t="shared" si="10"/>
        <v>0</v>
      </c>
      <c r="M65" s="95" t="str">
        <f>IFERROR(VLOOKUP(B65,'음성공장 재고장'!A:G,7,FALSE),0)</f>
        <v>없음</v>
      </c>
      <c r="O65" s="22"/>
      <c r="Q65" s="22">
        <f t="shared" ca="1" si="34"/>
        <v>0</v>
      </c>
      <c r="R65" s="123">
        <f t="shared" ca="1" si="22"/>
        <v>0</v>
      </c>
      <c r="S65" s="6">
        <f t="shared" si="11"/>
        <v>0</v>
      </c>
      <c r="T65" s="63">
        <f t="shared" si="21"/>
        <v>0</v>
      </c>
      <c r="U65" s="48" t="str">
        <f t="shared" si="12"/>
        <v>재고없음</v>
      </c>
      <c r="V65" s="50" t="str">
        <f t="shared" si="35"/>
        <v>재고없음</v>
      </c>
      <c r="W65" s="177">
        <v>0</v>
      </c>
      <c r="X65" s="178">
        <v>0</v>
      </c>
      <c r="Y65" s="221">
        <f t="shared" si="36"/>
        <v>0</v>
      </c>
      <c r="Z65" s="221">
        <f t="shared" ca="1" si="23"/>
        <v>0</v>
      </c>
      <c r="AA65" s="46">
        <f t="shared" si="37"/>
        <v>0</v>
      </c>
      <c r="AB65" s="65" t="str">
        <f t="shared" si="38"/>
        <v>-</v>
      </c>
      <c r="AC65" s="65">
        <f>COUNTIF(BOM!B:B,원재료!B65)</f>
        <v>1</v>
      </c>
      <c r="AD65" s="103" t="str">
        <f t="shared" si="39"/>
        <v>판매활성화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304.92</v>
      </c>
      <c r="AM65" s="27">
        <v>0</v>
      </c>
      <c r="AN65" s="27">
        <v>0</v>
      </c>
      <c r="AO65" s="27">
        <v>0</v>
      </c>
      <c r="AP65" s="28">
        <v>0</v>
      </c>
      <c r="AQ65" s="27">
        <f>SUMIF(BOM!$B:$B,원재료!$B65,BOM!E:E)</f>
        <v>0</v>
      </c>
      <c r="AR65" s="27">
        <f>SUMIF(BOM!$B:$B,원재료!$B65,BOM!F:F)</f>
        <v>0</v>
      </c>
      <c r="AS65" s="27">
        <f>SUMIF(BOM!$B:$B,원재료!$B65,BOM!G:G)</f>
        <v>0</v>
      </c>
      <c r="AT65" s="27">
        <f>SUMIF(BOM!$B:$B,원재료!$B65,BOM!H:H)</f>
        <v>0</v>
      </c>
      <c r="AU65" s="27">
        <f>SUMIF(BOM!$B:$B,원재료!$B65,BOM!I:I)</f>
        <v>0</v>
      </c>
      <c r="AV65" s="27">
        <f>SUMIF(BOM!$B:$B,원재료!$B65,BOM!J:J)</f>
        <v>0</v>
      </c>
      <c r="AW65" s="27">
        <f>SUMIF(BOM!$B:$B,원재료!$B65,BOM!K:K)</f>
        <v>0</v>
      </c>
      <c r="AX65" s="27">
        <f>SUMIF(BOM!$B:$B,원재료!$B65,BOM!L:L)</f>
        <v>0</v>
      </c>
      <c r="AY65" s="27">
        <f>SUMIF(BOM!$B:$B,원재료!$B65,BOM!M:M)</f>
        <v>0</v>
      </c>
      <c r="AZ65" s="27">
        <f>SUMIF(BOM!$B:$B,원재료!$B65,BOM!N:N)</f>
        <v>0</v>
      </c>
      <c r="BA65" s="27">
        <f>SUMIF(BOM!$B:$B,원재료!$B65,BOM!O:O)</f>
        <v>0</v>
      </c>
      <c r="BB65" s="28">
        <f>SUMIF(BOM!$B:$B,원재료!$B65,BOM!P:P)</f>
        <v>0</v>
      </c>
    </row>
    <row r="66" spans="1:54" x14ac:dyDescent="0.3">
      <c r="A66" s="21" t="s">
        <v>122</v>
      </c>
      <c r="B66" s="83">
        <v>315722</v>
      </c>
      <c r="C66" s="363" t="s">
        <v>987</v>
      </c>
      <c r="D66" s="84">
        <v>7.5</v>
      </c>
      <c r="E66" s="100">
        <f>83389/7.5</f>
        <v>11118.533333333333</v>
      </c>
      <c r="F66" s="98">
        <f t="shared" ref="F66" si="59">+H66+K66+N66</f>
        <v>1575</v>
      </c>
      <c r="G66" s="22">
        <f t="shared" si="50"/>
        <v>17511690</v>
      </c>
      <c r="H66" s="22">
        <v>1575</v>
      </c>
      <c r="I66" s="22">
        <f t="shared" ref="I66" si="60">+$E66*H66</f>
        <v>17511690</v>
      </c>
      <c r="J66" s="95">
        <v>45870</v>
      </c>
      <c r="K66" s="97">
        <f>IFERROR(VLOOKUP(B66,'음성공장 재고장'!A:F,6,FALSE),0)</f>
        <v>0</v>
      </c>
      <c r="L66" s="22">
        <f t="shared" ref="L66" si="61">+$E66*K66</f>
        <v>0</v>
      </c>
      <c r="M66" s="95"/>
      <c r="O66" s="22"/>
      <c r="Q66" s="22">
        <f t="shared" ref="Q66" ca="1" si="62">IFERROR(R66/E66,0)</f>
        <v>1575</v>
      </c>
      <c r="R66" s="123">
        <f t="shared" ref="R66" ca="1" si="63">IFERROR(IF(OR(V66&lt;U66,S66=0),G66-S66*E66*(ABS(MONTH($S$1)-MONTH(V66))),0),0)</f>
        <v>17511690</v>
      </c>
      <c r="S66" s="6">
        <f t="shared" si="11"/>
        <v>0</v>
      </c>
      <c r="T66" s="63">
        <f t="shared" ref="T66" si="64">IFERROR(F66/S66,0)</f>
        <v>0</v>
      </c>
      <c r="U66" s="48" t="str">
        <f t="shared" ref="U66" si="65">IF(H66=0,"재고없음",IF(S66=0,"사용없음",$S$1+T66*30))</f>
        <v>사용없음</v>
      </c>
      <c r="V66" s="50">
        <f t="shared" ref="V66" si="66">IF(F66=0,"재고없음",IF(AND(J66=0,M66=0,P66=0),"없음",MIN(J66,M66,P66)))</f>
        <v>45870</v>
      </c>
      <c r="W66" s="177">
        <v>0</v>
      </c>
      <c r="X66" s="178">
        <v>0</v>
      </c>
      <c r="Y66" s="221">
        <f t="shared" ref="Y66" si="67">+S66*W66/30</f>
        <v>0</v>
      </c>
      <c r="Z66" s="221" t="str">
        <f t="shared" ref="Z66" ca="1" si="68">IFERROR(IF(AND($S$1+W66-V66&gt;0,(MAX(P66,M66,J66)&lt;V66+W66)),"O",IF(OR(Y66-F66&lt;=0,S66=0),"X","O")),0)</f>
        <v>X</v>
      </c>
      <c r="AA66" s="46" t="str">
        <f t="shared" ref="AA66" si="69">IFERROR(IF(U66="사용없음","X",IF(V66-U66&gt;0,"O","X")),0)</f>
        <v>X</v>
      </c>
      <c r="AB66" s="65" t="str">
        <f t="shared" ref="AB66" si="70">IF(U66="사용없음",$AD$2,IF(T66=0,"-",IF(T66&lt;=1,$AA$2,IF(AND(T66&gt;1,T66&lt;=4),$AB$2,$AD$2))))</f>
        <v>C</v>
      </c>
      <c r="AC66" s="65">
        <f>COUNTIF(BOM!B:B,원재료!B66)</f>
        <v>0</v>
      </c>
      <c r="AD66" s="103" t="str">
        <f t="shared" ref="AD66" si="71">IF(AND(AA66="X",AB66="C",AC66&lt;2),"원료대체검토",IF(AND(AA66="X",AB66="C"),"소진계획필요","판매활성화"))</f>
        <v>원료대체검토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304.92</v>
      </c>
      <c r="AM66" s="27">
        <v>0</v>
      </c>
      <c r="AN66" s="27">
        <v>0</v>
      </c>
      <c r="AO66" s="27">
        <v>0</v>
      </c>
      <c r="AP66" s="28">
        <v>0</v>
      </c>
      <c r="AQ66" s="27">
        <f>SUMIF(BOM!$B:$B,원재료!$B66,BOM!E:E)</f>
        <v>0</v>
      </c>
      <c r="AR66" s="27">
        <f>SUMIF(BOM!$B:$B,원재료!$B66,BOM!F:F)</f>
        <v>0</v>
      </c>
      <c r="AS66" s="27">
        <f>SUMIF(BOM!$B:$B,원재료!$B66,BOM!G:G)</f>
        <v>0</v>
      </c>
      <c r="AT66" s="27">
        <f>SUMIF(BOM!$B:$B,원재료!$B66,BOM!H:H)</f>
        <v>0</v>
      </c>
      <c r="AU66" s="27">
        <f>SUMIF(BOM!$B:$B,원재료!$B66,BOM!I:I)</f>
        <v>0</v>
      </c>
      <c r="AV66" s="27">
        <f>SUMIF(BOM!$B:$B,원재료!$B66,BOM!J:J)</f>
        <v>0</v>
      </c>
      <c r="AW66" s="27">
        <f>SUMIF(BOM!$B:$B,원재료!$B66,BOM!K:K)</f>
        <v>0</v>
      </c>
      <c r="AX66" s="27">
        <f>SUMIF(BOM!$B:$B,원재료!$B66,BOM!L:L)</f>
        <v>0</v>
      </c>
      <c r="AY66" s="27">
        <f>SUMIF(BOM!$B:$B,원재료!$B66,BOM!M:M)</f>
        <v>0</v>
      </c>
      <c r="AZ66" s="27">
        <f>SUMIF(BOM!$B:$B,원재료!$B66,BOM!N:N)</f>
        <v>0</v>
      </c>
      <c r="BA66" s="27">
        <f>SUMIF(BOM!$B:$B,원재료!$B66,BOM!O:O)</f>
        <v>0</v>
      </c>
      <c r="BB66" s="28">
        <f>SUMIF(BOM!$B:$B,원재료!$B66,BOM!P:P)</f>
        <v>0</v>
      </c>
    </row>
    <row r="67" spans="1:54" x14ac:dyDescent="0.3">
      <c r="A67" s="21" t="s">
        <v>128</v>
      </c>
      <c r="B67" s="81">
        <v>323298</v>
      </c>
      <c r="C67" s="81" t="s">
        <v>85</v>
      </c>
      <c r="D67" s="82">
        <v>3</v>
      </c>
      <c r="E67" s="99">
        <v>15194</v>
      </c>
      <c r="F67" s="22">
        <f t="shared" si="2"/>
        <v>0</v>
      </c>
      <c r="G67" s="22">
        <f>+E67*F67</f>
        <v>0</v>
      </c>
      <c r="H67" s="22">
        <v>0</v>
      </c>
      <c r="I67" s="22">
        <f t="shared" ref="I67:I81" si="72">+$E67*H67</f>
        <v>0</v>
      </c>
      <c r="J67" s="95" t="str">
        <f>IFERROR(VLOOKUP($B67,'음성공장 재고장'!$A:$E,5,FALSE),0)</f>
        <v>없음</v>
      </c>
      <c r="K67" s="97"/>
      <c r="L67" s="22">
        <f t="shared" ref="L67:L80" si="73">+$E67*K67</f>
        <v>0</v>
      </c>
      <c r="M67" s="95"/>
      <c r="N67" s="22"/>
      <c r="O67" s="22">
        <f t="shared" si="15"/>
        <v>0</v>
      </c>
      <c r="P67" s="95"/>
      <c r="Q67" s="22">
        <f t="shared" si="34"/>
        <v>0</v>
      </c>
      <c r="R67" s="123">
        <f t="shared" si="22"/>
        <v>0</v>
      </c>
      <c r="S67" s="6">
        <f t="shared" si="11"/>
        <v>8.91</v>
      </c>
      <c r="T67" s="63">
        <f t="shared" si="21"/>
        <v>0</v>
      </c>
      <c r="U67" s="48" t="str">
        <f t="shared" si="12"/>
        <v>재고없음</v>
      </c>
      <c r="V67" s="50" t="str">
        <f t="shared" si="35"/>
        <v>재고없음</v>
      </c>
      <c r="W67" s="177">
        <v>0</v>
      </c>
      <c r="X67" s="178">
        <v>0</v>
      </c>
      <c r="Y67" s="221">
        <f t="shared" si="36"/>
        <v>0</v>
      </c>
      <c r="Z67" s="221">
        <f t="shared" ca="1" si="23"/>
        <v>0</v>
      </c>
      <c r="AA67" s="46">
        <f t="shared" si="37"/>
        <v>0</v>
      </c>
      <c r="AB67" s="65" t="str">
        <f t="shared" si="38"/>
        <v>-</v>
      </c>
      <c r="AC67" s="65">
        <f>COUNTIF(BOM!B:B,원재료!B67)</f>
        <v>1</v>
      </c>
      <c r="AD67" s="103" t="str">
        <f t="shared" si="39"/>
        <v>판매활성화</v>
      </c>
      <c r="AE67" s="27">
        <v>8.5</v>
      </c>
      <c r="AF67" s="27">
        <v>2.2891199999999996</v>
      </c>
      <c r="AG67" s="27">
        <v>31.391199999999998</v>
      </c>
      <c r="AH67" s="27">
        <v>15.260799999999998</v>
      </c>
      <c r="AI67" s="27">
        <v>0</v>
      </c>
      <c r="AJ67" s="27">
        <v>1</v>
      </c>
      <c r="AK67" s="27">
        <v>22.891199999999998</v>
      </c>
      <c r="AL67" s="27">
        <v>76.789119999999997</v>
      </c>
      <c r="AM67" s="27">
        <v>0</v>
      </c>
      <c r="AN67" s="27">
        <v>16</v>
      </c>
      <c r="AO67" s="27">
        <v>0</v>
      </c>
      <c r="AP67" s="28">
        <v>0</v>
      </c>
      <c r="AQ67" s="27">
        <f>SUMIF(BOM!$B:$B,원재료!$B67,BOM!E:E)</f>
        <v>0</v>
      </c>
      <c r="AR67" s="27">
        <f>SUMIF(BOM!$B:$B,원재료!$B67,BOM!F:F)</f>
        <v>44.55</v>
      </c>
      <c r="AS67" s="27">
        <f>SUMIF(BOM!$B:$B,원재료!$B67,BOM!G:G)</f>
        <v>0</v>
      </c>
      <c r="AT67" s="27">
        <f>SUMIF(BOM!$B:$B,원재료!$B67,BOM!H:H)</f>
        <v>0</v>
      </c>
      <c r="AU67" s="27">
        <f>SUMIF(BOM!$B:$B,원재료!$B67,BOM!I:I)</f>
        <v>0</v>
      </c>
      <c r="AV67" s="27">
        <f>SUMIF(BOM!$B:$B,원재료!$B67,BOM!J:J)</f>
        <v>0</v>
      </c>
      <c r="AW67" s="27">
        <f>SUMIF(BOM!$B:$B,원재료!$B67,BOM!K:K)</f>
        <v>0</v>
      </c>
      <c r="AX67" s="27">
        <f>SUMIF(BOM!$B:$B,원재료!$B67,BOM!L:L)</f>
        <v>0</v>
      </c>
      <c r="AY67" s="27">
        <f>SUMIF(BOM!$B:$B,원재료!$B67,BOM!M:M)</f>
        <v>0</v>
      </c>
      <c r="AZ67" s="27">
        <f>SUMIF(BOM!$B:$B,원재료!$B67,BOM!N:N)</f>
        <v>0</v>
      </c>
      <c r="BA67" s="27">
        <f>SUMIF(BOM!$B:$B,원재료!$B67,BOM!O:O)</f>
        <v>0</v>
      </c>
      <c r="BB67" s="28">
        <f>SUMIF(BOM!$B:$B,원재료!$B67,BOM!P:P)</f>
        <v>0</v>
      </c>
    </row>
    <row r="68" spans="1:54" x14ac:dyDescent="0.3">
      <c r="A68" s="21" t="s">
        <v>128</v>
      </c>
      <c r="B68" s="81">
        <v>323299</v>
      </c>
      <c r="C68" s="81" t="s">
        <v>86</v>
      </c>
      <c r="D68" s="82">
        <v>3</v>
      </c>
      <c r="E68" s="99">
        <v>35666</v>
      </c>
      <c r="F68" s="22">
        <f t="shared" si="2"/>
        <v>84</v>
      </c>
      <c r="G68" s="22">
        <f>+E68*F68</f>
        <v>2995944</v>
      </c>
      <c r="H68" s="22">
        <v>84</v>
      </c>
      <c r="I68" s="22">
        <f t="shared" si="72"/>
        <v>2995944</v>
      </c>
      <c r="J68" s="95">
        <v>45901</v>
      </c>
      <c r="K68" s="97"/>
      <c r="L68" s="22">
        <f t="shared" si="73"/>
        <v>0</v>
      </c>
      <c r="M68" s="95"/>
      <c r="N68" s="22"/>
      <c r="O68" s="22">
        <f t="shared" si="15"/>
        <v>0</v>
      </c>
      <c r="P68" s="95"/>
      <c r="Q68" s="22">
        <f t="shared" ca="1" si="20"/>
        <v>78.48</v>
      </c>
      <c r="R68" s="123">
        <f t="shared" ca="1" si="22"/>
        <v>2799067.68</v>
      </c>
      <c r="S68" s="6">
        <f t="shared" si="11"/>
        <v>1.38</v>
      </c>
      <c r="T68" s="63">
        <f t="shared" si="21"/>
        <v>60.869565217391312</v>
      </c>
      <c r="U68" s="48">
        <f t="shared" ca="1" si="12"/>
        <v>47629.086956521736</v>
      </c>
      <c r="V68" s="50">
        <f t="shared" si="16"/>
        <v>45901</v>
      </c>
      <c r="W68" s="177">
        <v>0</v>
      </c>
      <c r="X68" s="178">
        <v>0</v>
      </c>
      <c r="Y68" s="221">
        <f t="shared" si="17"/>
        <v>0</v>
      </c>
      <c r="Z68" s="221" t="str">
        <f t="shared" ca="1" si="23"/>
        <v>X</v>
      </c>
      <c r="AA68" s="46" t="str">
        <f ca="1">IFERROR(IF(U68="사용없음","X",IF(V68-U68&gt;0,"O","X")),0)</f>
        <v>X</v>
      </c>
      <c r="AB68" s="65" t="str">
        <f t="shared" ca="1" si="24"/>
        <v>C</v>
      </c>
      <c r="AC68" s="65">
        <f>COUNTIF(BOM!B:B,원재료!B68)</f>
        <v>1</v>
      </c>
      <c r="AD68" s="103" t="str">
        <f t="shared" ca="1" si="18"/>
        <v>원료대체검토</v>
      </c>
      <c r="AE68" s="27">
        <v>55.199999999999996</v>
      </c>
      <c r="AF68" s="27">
        <v>121.89999999999999</v>
      </c>
      <c r="AG68" s="27">
        <v>0</v>
      </c>
      <c r="AH68" s="27">
        <v>0</v>
      </c>
      <c r="AI68" s="27">
        <v>0</v>
      </c>
      <c r="AJ68" s="27">
        <v>13.799999999999999</v>
      </c>
      <c r="AK68" s="27">
        <v>27.599999999999998</v>
      </c>
      <c r="AL68" s="27">
        <v>46</v>
      </c>
      <c r="AM68" s="27">
        <v>87.4</v>
      </c>
      <c r="AN68" s="27">
        <v>6.8999999999999995</v>
      </c>
      <c r="AO68" s="27">
        <v>0</v>
      </c>
      <c r="AP68" s="28">
        <v>0</v>
      </c>
      <c r="AQ68" s="27">
        <f>SUMIF(BOM!$B:$B,원재료!$B68,BOM!E:E)</f>
        <v>0</v>
      </c>
      <c r="AR68" s="27">
        <f>SUMIF(BOM!$B:$B,원재료!$B68,BOM!F:F)</f>
        <v>6.8999999999999995</v>
      </c>
      <c r="AS68" s="27">
        <f>SUMIF(BOM!$B:$B,원재료!$B68,BOM!G:G)</f>
        <v>0</v>
      </c>
      <c r="AT68" s="27">
        <f>SUMIF(BOM!$B:$B,원재료!$B68,BOM!H:H)</f>
        <v>0</v>
      </c>
      <c r="AU68" s="27">
        <f>SUMIF(BOM!$B:$B,원재료!$B68,BOM!I:I)</f>
        <v>0</v>
      </c>
      <c r="AV68" s="27">
        <f>SUMIF(BOM!$B:$B,원재료!$B68,BOM!J:J)</f>
        <v>0</v>
      </c>
      <c r="AW68" s="27">
        <f>SUMIF(BOM!$B:$B,원재료!$B68,BOM!K:K)</f>
        <v>0</v>
      </c>
      <c r="AX68" s="27">
        <f>SUMIF(BOM!$B:$B,원재료!$B68,BOM!L:L)</f>
        <v>0</v>
      </c>
      <c r="AY68" s="27">
        <f>SUMIF(BOM!$B:$B,원재료!$B68,BOM!M:M)</f>
        <v>0</v>
      </c>
      <c r="AZ68" s="27">
        <f>SUMIF(BOM!$B:$B,원재료!$B68,BOM!N:N)</f>
        <v>0</v>
      </c>
      <c r="BA68" s="27">
        <f>SUMIF(BOM!$B:$B,원재료!$B68,BOM!O:O)</f>
        <v>0</v>
      </c>
      <c r="BB68" s="28">
        <f>SUMIF(BOM!$B:$B,원재료!$B68,BOM!P:P)</f>
        <v>0</v>
      </c>
    </row>
    <row r="69" spans="1:54" x14ac:dyDescent="0.3">
      <c r="A69" s="21" t="s">
        <v>128</v>
      </c>
      <c r="B69" s="81">
        <v>320193</v>
      </c>
      <c r="C69" s="81" t="s">
        <v>49</v>
      </c>
      <c r="D69" s="82">
        <v>10</v>
      </c>
      <c r="E69" s="99">
        <f>61000/10</f>
        <v>6100</v>
      </c>
      <c r="F69" s="22">
        <f t="shared" ref="F69:F81" si="74">+H69+K69+N69</f>
        <v>0</v>
      </c>
      <c r="G69" s="22">
        <f t="shared" ref="G69:G81" si="75">+E69*F69</f>
        <v>0</v>
      </c>
      <c r="H69" s="22">
        <f>IFERROR(VLOOKUP($B69,'음성공장 재고장'!$A:$E,4,FALSE),0)</f>
        <v>0</v>
      </c>
      <c r="I69" s="22">
        <f t="shared" si="72"/>
        <v>0</v>
      </c>
      <c r="J69" s="95" t="str">
        <f>IFERROR(VLOOKUP($B69,'음성공장 재고장'!$A:$E,5,FALSE),0)</f>
        <v>없음</v>
      </c>
      <c r="K69" s="97">
        <v>0</v>
      </c>
      <c r="L69" s="22">
        <f t="shared" si="73"/>
        <v>0</v>
      </c>
      <c r="M69" s="95">
        <v>45776</v>
      </c>
      <c r="N69" s="22"/>
      <c r="O69" s="22">
        <f t="shared" si="15"/>
        <v>0</v>
      </c>
      <c r="P69" s="95"/>
      <c r="Q69" s="22">
        <f t="shared" ca="1" si="20"/>
        <v>0</v>
      </c>
      <c r="R69" s="123">
        <f t="shared" ca="1" si="22"/>
        <v>0</v>
      </c>
      <c r="S69" s="6">
        <f t="shared" si="11"/>
        <v>0</v>
      </c>
      <c r="T69" s="63">
        <f t="shared" si="21"/>
        <v>0</v>
      </c>
      <c r="U69" s="48" t="str">
        <f t="shared" si="12"/>
        <v>재고없음</v>
      </c>
      <c r="V69" s="50" t="str">
        <f t="shared" si="16"/>
        <v>재고없음</v>
      </c>
      <c r="W69" s="177">
        <v>0</v>
      </c>
      <c r="X69" s="178">
        <v>0</v>
      </c>
      <c r="Y69" s="221">
        <f t="shared" si="17"/>
        <v>0</v>
      </c>
      <c r="Z69" s="221">
        <f t="shared" ca="1" si="23"/>
        <v>0</v>
      </c>
      <c r="AA69" s="46">
        <f>IFERROR(IF(U69="사용없음","X",IF(V69-U69&gt;0,"O","X")),0)</f>
        <v>0</v>
      </c>
      <c r="AB69" s="65" t="str">
        <f t="shared" si="24"/>
        <v>-</v>
      </c>
      <c r="AC69" s="65">
        <f>COUNTIF(BOM!B:B,원재료!B69)</f>
        <v>1</v>
      </c>
      <c r="AD69" s="103" t="str">
        <f t="shared" si="18"/>
        <v>판매활성화</v>
      </c>
      <c r="AE69" s="27">
        <v>0</v>
      </c>
      <c r="AF69" s="27">
        <v>8.0119199999999999</v>
      </c>
      <c r="AG69" s="27">
        <v>80.119199999999992</v>
      </c>
      <c r="AH69" s="27">
        <v>53.412799999999997</v>
      </c>
      <c r="AI69" s="27">
        <v>0</v>
      </c>
      <c r="AJ69" s="27">
        <v>0</v>
      </c>
      <c r="AK69" s="27">
        <v>80.119199999999992</v>
      </c>
      <c r="AL69" s="27">
        <v>8.0119199999999999</v>
      </c>
      <c r="AM69" s="27">
        <v>0</v>
      </c>
      <c r="AN69" s="27">
        <v>0</v>
      </c>
      <c r="AO69" s="27">
        <v>0</v>
      </c>
      <c r="AP69" s="28">
        <v>0</v>
      </c>
      <c r="AQ69" s="27">
        <f>SUMIF(BOM!$B:$B,원재료!$B69,BOM!E:E)</f>
        <v>0</v>
      </c>
      <c r="AR69" s="27">
        <f>SUMIF(BOM!$B:$B,원재료!$B69,BOM!F:F)</f>
        <v>0</v>
      </c>
      <c r="AS69" s="27">
        <f>SUMIF(BOM!$B:$B,원재료!$B69,BOM!G:G)</f>
        <v>0</v>
      </c>
      <c r="AT69" s="27">
        <f>SUMIF(BOM!$B:$B,원재료!$B69,BOM!H:H)</f>
        <v>0</v>
      </c>
      <c r="AU69" s="27">
        <f>SUMIF(BOM!$B:$B,원재료!$B69,BOM!I:I)</f>
        <v>0</v>
      </c>
      <c r="AV69" s="27">
        <f>SUMIF(BOM!$B:$B,원재료!$B69,BOM!J:J)</f>
        <v>0</v>
      </c>
      <c r="AW69" s="27">
        <f>SUMIF(BOM!$B:$B,원재료!$B69,BOM!K:K)</f>
        <v>0</v>
      </c>
      <c r="AX69" s="27">
        <f>SUMIF(BOM!$B:$B,원재료!$B69,BOM!L:L)</f>
        <v>0</v>
      </c>
      <c r="AY69" s="27">
        <f>SUMIF(BOM!$B:$B,원재료!$B69,BOM!M:M)</f>
        <v>0</v>
      </c>
      <c r="AZ69" s="27">
        <f>SUMIF(BOM!$B:$B,원재료!$B69,BOM!N:N)</f>
        <v>0</v>
      </c>
      <c r="BA69" s="27">
        <f>SUMIF(BOM!$B:$B,원재료!$B69,BOM!O:O)</f>
        <v>0</v>
      </c>
      <c r="BB69" s="28">
        <f>SUMIF(BOM!$B:$B,원재료!$B69,BOM!P:P)</f>
        <v>0</v>
      </c>
    </row>
    <row r="70" spans="1:54" x14ac:dyDescent="0.3">
      <c r="A70" s="21" t="s">
        <v>128</v>
      </c>
      <c r="B70" s="81">
        <v>325062</v>
      </c>
      <c r="C70" s="81" t="s">
        <v>50</v>
      </c>
      <c r="D70" s="82">
        <v>10</v>
      </c>
      <c r="E70" s="99">
        <f>+E69</f>
        <v>6100</v>
      </c>
      <c r="F70" s="22">
        <f t="shared" si="74"/>
        <v>390</v>
      </c>
      <c r="G70" s="22">
        <f t="shared" si="75"/>
        <v>2379000</v>
      </c>
      <c r="H70" s="22">
        <f>IFERROR(VLOOKUP($B70,'음성공장 재고장'!$A:$E,4,FALSE),0)</f>
        <v>70</v>
      </c>
      <c r="I70" s="22">
        <f t="shared" si="72"/>
        <v>427000</v>
      </c>
      <c r="J70" s="95">
        <v>45990</v>
      </c>
      <c r="K70" s="97">
        <v>320</v>
      </c>
      <c r="L70" s="22">
        <f t="shared" si="73"/>
        <v>1952000</v>
      </c>
      <c r="M70" s="95">
        <v>45990</v>
      </c>
      <c r="N70" s="22"/>
      <c r="O70" s="22">
        <f t="shared" si="15"/>
        <v>0</v>
      </c>
      <c r="P70" s="95"/>
      <c r="Q70" s="22">
        <f t="shared" ca="1" si="20"/>
        <v>390</v>
      </c>
      <c r="R70" s="123">
        <f t="shared" ca="1" si="22"/>
        <v>2379000</v>
      </c>
      <c r="S70" s="6">
        <f t="shared" si="11"/>
        <v>0</v>
      </c>
      <c r="T70" s="63">
        <f t="shared" si="21"/>
        <v>0</v>
      </c>
      <c r="U70" s="48" t="str">
        <f t="shared" si="12"/>
        <v>사용없음</v>
      </c>
      <c r="V70" s="50">
        <f t="shared" si="16"/>
        <v>45990</v>
      </c>
      <c r="W70" s="177">
        <v>0</v>
      </c>
      <c r="X70" s="178">
        <v>0</v>
      </c>
      <c r="Y70" s="221">
        <f t="shared" si="17"/>
        <v>0</v>
      </c>
      <c r="Z70" s="221" t="str">
        <f t="shared" ca="1" si="23"/>
        <v>X</v>
      </c>
      <c r="AA70" s="46" t="str">
        <f>IFERROR(IF(U70="사용없음","X",IF(V70-U70&gt;0,"O","X")),0)</f>
        <v>X</v>
      </c>
      <c r="AB70" s="65" t="str">
        <f t="shared" si="24"/>
        <v>C</v>
      </c>
      <c r="AC70" s="65">
        <f>COUNTIF(BOM!B:B,원재료!B70)</f>
        <v>1</v>
      </c>
      <c r="AD70" s="103" t="str">
        <f t="shared" si="18"/>
        <v>원료대체검토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8">
        <v>0</v>
      </c>
      <c r="AQ70" s="27">
        <f>SUMIF(BOM!$B:$B,원재료!$B70,BOM!E:E)</f>
        <v>0</v>
      </c>
      <c r="AR70" s="27">
        <f>SUMIF(BOM!$B:$B,원재료!$B70,BOM!F:F)</f>
        <v>0</v>
      </c>
      <c r="AS70" s="27">
        <f>SUMIF(BOM!$B:$B,원재료!$B70,BOM!G:G)</f>
        <v>0</v>
      </c>
      <c r="AT70" s="27">
        <f>SUMIF(BOM!$B:$B,원재료!$B70,BOM!H:H)</f>
        <v>0</v>
      </c>
      <c r="AU70" s="27">
        <f>SUMIF(BOM!$B:$B,원재료!$B70,BOM!I:I)</f>
        <v>0</v>
      </c>
      <c r="AV70" s="27">
        <f>SUMIF(BOM!$B:$B,원재료!$B70,BOM!J:J)</f>
        <v>0</v>
      </c>
      <c r="AW70" s="27">
        <f>SUMIF(BOM!$B:$B,원재료!$B70,BOM!K:K)</f>
        <v>0</v>
      </c>
      <c r="AX70" s="27">
        <f>SUMIF(BOM!$B:$B,원재료!$B70,BOM!L:L)</f>
        <v>0</v>
      </c>
      <c r="AY70" s="27">
        <f>SUMIF(BOM!$B:$B,원재료!$B70,BOM!M:M)</f>
        <v>0</v>
      </c>
      <c r="AZ70" s="27">
        <f>SUMIF(BOM!$B:$B,원재료!$B70,BOM!N:N)</f>
        <v>0</v>
      </c>
      <c r="BA70" s="27">
        <f>SUMIF(BOM!$B:$B,원재료!$B70,BOM!O:O)</f>
        <v>0</v>
      </c>
      <c r="BB70" s="28">
        <f>SUMIF(BOM!$B:$B,원재료!$B70,BOM!P:P)</f>
        <v>0</v>
      </c>
    </row>
    <row r="71" spans="1:54" x14ac:dyDescent="0.3">
      <c r="A71" s="21" t="s">
        <v>123</v>
      </c>
      <c r="B71" s="104">
        <v>253602</v>
      </c>
      <c r="C71" s="368" t="s">
        <v>108</v>
      </c>
      <c r="D71" s="344"/>
      <c r="E71" s="107">
        <v>120</v>
      </c>
      <c r="F71" s="22">
        <f t="shared" si="74"/>
        <v>21767.599999999999</v>
      </c>
      <c r="G71" s="22">
        <f t="shared" si="75"/>
        <v>2612112</v>
      </c>
      <c r="H71" s="106">
        <v>21767.599999999999</v>
      </c>
      <c r="I71" s="22">
        <f t="shared" si="72"/>
        <v>2612112</v>
      </c>
      <c r="J71" s="22"/>
      <c r="L71" s="22">
        <f t="shared" si="73"/>
        <v>0</v>
      </c>
      <c r="O71" s="22">
        <f t="shared" si="15"/>
        <v>0</v>
      </c>
      <c r="Q71" s="22">
        <f t="shared" ca="1" si="20"/>
        <v>0</v>
      </c>
      <c r="R71" s="123">
        <f t="shared" ca="1" si="22"/>
        <v>0</v>
      </c>
      <c r="S71" s="6">
        <f t="shared" si="11"/>
        <v>0</v>
      </c>
      <c r="T71" s="63">
        <f t="shared" ref="T71:T92" si="76">IFERROR(F71/S71,0)</f>
        <v>0</v>
      </c>
      <c r="U71" s="48" t="str">
        <f t="shared" ref="U71:U92" si="77">IF(H71=0,"재고없음",IF(S71=0,"사용없음",$S$1+T71*30))</f>
        <v>사용없음</v>
      </c>
      <c r="V71" s="50" t="str">
        <f t="shared" si="16"/>
        <v>없음</v>
      </c>
      <c r="W71" s="177">
        <v>0</v>
      </c>
      <c r="X71" s="178">
        <v>0</v>
      </c>
      <c r="Y71" s="221">
        <f t="shared" si="17"/>
        <v>0</v>
      </c>
      <c r="Z71" s="221">
        <f t="shared" ca="1" si="23"/>
        <v>0</v>
      </c>
      <c r="AA71" s="46" t="str">
        <f t="shared" ref="AA71:AA92" si="78">IFERROR(IF(U71="사용없음","X",IF(V71-U71&gt;0,"O","X")),0)</f>
        <v>X</v>
      </c>
      <c r="AB71" s="65" t="str">
        <f t="shared" ref="AB71:AB92" si="79">IF(U71="사용없음",$AD$2,IF(T71=0,"-",IF(T71&lt;=1,$AA$2,IF(AND(T71&gt;1,T71&lt;=4),$AB$2,$AD$2))))</f>
        <v>C</v>
      </c>
      <c r="AC71" s="76">
        <f>COUNTIF(BOM!B:B,원재료!B71)</f>
        <v>0</v>
      </c>
      <c r="AD71" s="103" t="str">
        <f>IF(AND(AA71="X",AB71="C",AC71&lt;2),"원료대체검토",IF(AND(AA71="X",AB71="C"),"소진계획필요","판매활성화"))</f>
        <v>원료대체검토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8">
        <v>0</v>
      </c>
      <c r="AQ71" s="27">
        <f>SUMIF(BOM!$B:$B,원재료!$B71,BOM!E:E)</f>
        <v>0</v>
      </c>
      <c r="AR71" s="27">
        <f>SUMIF(BOM!$B:$B,원재료!$B71,BOM!F:F)</f>
        <v>0</v>
      </c>
      <c r="AS71" s="27">
        <f>SUMIF(BOM!$B:$B,원재료!$B71,BOM!G:G)</f>
        <v>0</v>
      </c>
      <c r="AT71" s="27">
        <f>SUMIF(BOM!$B:$B,원재료!$B71,BOM!H:H)</f>
        <v>0</v>
      </c>
      <c r="AU71" s="27">
        <f>SUMIF(BOM!$B:$B,원재료!$B71,BOM!I:I)</f>
        <v>0</v>
      </c>
      <c r="AV71" s="27">
        <f>SUMIF(BOM!$B:$B,원재료!$B71,BOM!J:J)</f>
        <v>0</v>
      </c>
      <c r="AW71" s="27">
        <f>SUMIF(BOM!$B:$B,원재료!$B71,BOM!K:K)</f>
        <v>0</v>
      </c>
      <c r="AX71" s="27">
        <f>SUMIF(BOM!$B:$B,원재료!$B71,BOM!L:L)</f>
        <v>0</v>
      </c>
      <c r="AY71" s="27">
        <f>SUMIF(BOM!$B:$B,원재료!$B71,BOM!M:M)</f>
        <v>0</v>
      </c>
      <c r="AZ71" s="27">
        <f>SUMIF(BOM!$B:$B,원재료!$B71,BOM!N:N)</f>
        <v>0</v>
      </c>
      <c r="BA71" s="27">
        <f>SUMIF(BOM!$B:$B,원재료!$B71,BOM!O:O)</f>
        <v>0</v>
      </c>
      <c r="BB71" s="28">
        <f>SUMIF(BOM!$B:$B,원재료!$B71,BOM!P:P)</f>
        <v>0</v>
      </c>
    </row>
    <row r="72" spans="1:54" x14ac:dyDescent="0.3">
      <c r="A72" s="21" t="s">
        <v>123</v>
      </c>
      <c r="B72" s="105">
        <v>253603</v>
      </c>
      <c r="C72" s="105" t="s">
        <v>107</v>
      </c>
      <c r="D72" s="344"/>
      <c r="E72" s="107">
        <v>220</v>
      </c>
      <c r="F72" s="22">
        <f t="shared" si="74"/>
        <v>7400</v>
      </c>
      <c r="G72" s="22">
        <f t="shared" si="75"/>
        <v>1628000</v>
      </c>
      <c r="H72" s="105">
        <v>7400</v>
      </c>
      <c r="I72" s="22">
        <f t="shared" si="72"/>
        <v>1628000</v>
      </c>
      <c r="J72" s="22"/>
      <c r="L72" s="22">
        <f t="shared" si="73"/>
        <v>0</v>
      </c>
      <c r="O72" s="22">
        <f t="shared" si="15"/>
        <v>0</v>
      </c>
      <c r="Q72" s="22">
        <f t="shared" ca="1" si="20"/>
        <v>0</v>
      </c>
      <c r="R72" s="123">
        <f t="shared" ca="1" si="22"/>
        <v>0</v>
      </c>
      <c r="S72" s="6">
        <f t="shared" si="11"/>
        <v>0</v>
      </c>
      <c r="T72" s="63">
        <f t="shared" si="76"/>
        <v>0</v>
      </c>
      <c r="U72" s="48" t="str">
        <f t="shared" si="77"/>
        <v>사용없음</v>
      </c>
      <c r="V72" s="50" t="str">
        <f t="shared" si="16"/>
        <v>없음</v>
      </c>
      <c r="W72" s="177">
        <v>0</v>
      </c>
      <c r="X72" s="178">
        <v>0</v>
      </c>
      <c r="Y72" s="221">
        <f t="shared" si="17"/>
        <v>0</v>
      </c>
      <c r="Z72" s="221">
        <f t="shared" ca="1" si="23"/>
        <v>0</v>
      </c>
      <c r="AA72" s="46" t="str">
        <f t="shared" si="78"/>
        <v>X</v>
      </c>
      <c r="AB72" s="65" t="str">
        <f t="shared" si="79"/>
        <v>C</v>
      </c>
      <c r="AC72" s="76">
        <f>COUNTIF(BOM!B:B,원재료!B72)</f>
        <v>3</v>
      </c>
      <c r="AD72" s="103" t="str">
        <f t="shared" si="18"/>
        <v>소진계획필요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8">
        <v>0</v>
      </c>
      <c r="AQ72" s="27">
        <f>SUMIF(BOM!$B:$B,원재료!$B72,BOM!E:E)</f>
        <v>0</v>
      </c>
      <c r="AR72" s="27">
        <f>SUMIF(BOM!$B:$B,원재료!$B72,BOM!F:F)</f>
        <v>0</v>
      </c>
      <c r="AS72" s="27">
        <f>SUMIF(BOM!$B:$B,원재료!$B72,BOM!G:G)</f>
        <v>0</v>
      </c>
      <c r="AT72" s="27">
        <f>SUMIF(BOM!$B:$B,원재료!$B72,BOM!H:H)</f>
        <v>0</v>
      </c>
      <c r="AU72" s="27">
        <f>SUMIF(BOM!$B:$B,원재료!$B72,BOM!I:I)</f>
        <v>0</v>
      </c>
      <c r="AV72" s="27">
        <f>SUMIF(BOM!$B:$B,원재료!$B72,BOM!J:J)</f>
        <v>0</v>
      </c>
      <c r="AW72" s="27">
        <f>SUMIF(BOM!$B:$B,원재료!$B72,BOM!K:K)</f>
        <v>0</v>
      </c>
      <c r="AX72" s="27">
        <f>SUMIF(BOM!$B:$B,원재료!$B72,BOM!L:L)</f>
        <v>0</v>
      </c>
      <c r="AY72" s="27">
        <f>SUMIF(BOM!$B:$B,원재료!$B72,BOM!M:M)</f>
        <v>0</v>
      </c>
      <c r="AZ72" s="27">
        <f>SUMIF(BOM!$B:$B,원재료!$B72,BOM!N:N)</f>
        <v>0</v>
      </c>
      <c r="BA72" s="27">
        <f>SUMIF(BOM!$B:$B,원재료!$B72,BOM!O:O)</f>
        <v>0</v>
      </c>
      <c r="BB72" s="28">
        <f>SUMIF(BOM!$B:$B,원재료!$B72,BOM!P:P)</f>
        <v>0</v>
      </c>
    </row>
    <row r="73" spans="1:54" x14ac:dyDescent="0.3">
      <c r="A73" s="21" t="s">
        <v>123</v>
      </c>
      <c r="B73" s="105">
        <v>241531</v>
      </c>
      <c r="C73" s="105" t="s">
        <v>974</v>
      </c>
      <c r="D73" s="344"/>
      <c r="E73" s="107">
        <v>80000</v>
      </c>
      <c r="F73" s="22">
        <f t="shared" si="74"/>
        <v>11</v>
      </c>
      <c r="G73" s="22">
        <f t="shared" si="75"/>
        <v>880000</v>
      </c>
      <c r="H73" s="105">
        <v>11</v>
      </c>
      <c r="I73" s="22">
        <f t="shared" si="72"/>
        <v>880000</v>
      </c>
      <c r="J73" s="22"/>
      <c r="L73" s="22">
        <f t="shared" si="73"/>
        <v>0</v>
      </c>
      <c r="O73" s="22">
        <f t="shared" si="15"/>
        <v>0</v>
      </c>
      <c r="Q73" s="22"/>
      <c r="R73" s="123"/>
      <c r="S73" s="6">
        <f t="shared" ref="S73:S92" si="80">AVERAGE(AQ73:AU73)</f>
        <v>0</v>
      </c>
      <c r="T73" s="63">
        <f t="shared" ref="T73" si="81">IFERROR(F73/S73,0)</f>
        <v>0</v>
      </c>
      <c r="U73" s="48" t="str">
        <f t="shared" ref="U73" si="82">IF(H73=0,"재고없음",IF(S73=0,"사용없음",$S$1+T73*30))</f>
        <v>사용없음</v>
      </c>
      <c r="V73" s="50" t="str">
        <f t="shared" ref="V73" si="83">IF(F73=0,"재고없음",IF(AND(J73=0,M73=0,P73=0),"없음",MIN(J73,M73,P73)))</f>
        <v>없음</v>
      </c>
      <c r="W73" s="177">
        <v>0</v>
      </c>
      <c r="X73" s="178">
        <v>0</v>
      </c>
      <c r="Y73" s="221">
        <f t="shared" ref="Y73" si="84">+S73*W73/30</f>
        <v>0</v>
      </c>
      <c r="Z73" s="221">
        <f t="shared" ref="Z73" ca="1" si="85">IFERROR(IF(AND($S$1+W73-V73&gt;0,(MAX(P73,M73,J73)&lt;V73+W73)),"O",IF(OR(Y73-F73&lt;=0,S73=0),"X","O")),0)</f>
        <v>0</v>
      </c>
      <c r="AA73" s="46" t="str">
        <f t="shared" ref="AA73" si="86">IFERROR(IF(U73="사용없음","X",IF(V73-U73&gt;0,"O","X")),0)</f>
        <v>X</v>
      </c>
      <c r="AB73" s="65" t="str">
        <f t="shared" ref="AB73" si="87">IF(U73="사용없음",$AD$2,IF(T73=0,"-",IF(T73&lt;=1,$AA$2,IF(AND(T73&gt;1,T73&lt;=4),$AB$2,$AD$2))))</f>
        <v>C</v>
      </c>
      <c r="AC73" s="76">
        <f>COUNTIF(BOM!B:B,원재료!B73)</f>
        <v>2</v>
      </c>
      <c r="AD73" s="103" t="str">
        <f t="shared" ref="AD73" si="88">IF(AND(AA73="X",AB73="C",AC73&lt;2),"원료대체검토",IF(AND(AA73="X",AB73="C"),"소진계획필요","판매활성화"))</f>
        <v>소진계획필요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0</v>
      </c>
      <c r="AO73" s="27">
        <v>0</v>
      </c>
      <c r="AP73" s="28">
        <v>0</v>
      </c>
      <c r="AQ73" s="27">
        <f>SUMIF(BOM!$B:$B,원재료!$B73,BOM!E:E)</f>
        <v>0</v>
      </c>
      <c r="AR73" s="27">
        <f>SUMIF(BOM!$B:$B,원재료!$B73,BOM!F:F)</f>
        <v>0</v>
      </c>
      <c r="AS73" s="27">
        <f>SUMIF(BOM!$B:$B,원재료!$B73,BOM!G:G)</f>
        <v>0</v>
      </c>
      <c r="AT73" s="27">
        <f>SUMIF(BOM!$B:$B,원재료!$B73,BOM!H:H)</f>
        <v>0</v>
      </c>
      <c r="AU73" s="27">
        <f>SUMIF(BOM!$B:$B,원재료!$B73,BOM!I:I)</f>
        <v>0</v>
      </c>
      <c r="AV73" s="27">
        <f>SUMIF(BOM!$B:$B,원재료!$B73,BOM!J:J)</f>
        <v>0</v>
      </c>
      <c r="AW73" s="27">
        <f>SUMIF(BOM!$B:$B,원재료!$B73,BOM!K:K)</f>
        <v>0</v>
      </c>
      <c r="AX73" s="27">
        <f>SUMIF(BOM!$B:$B,원재료!$B73,BOM!L:L)</f>
        <v>0</v>
      </c>
      <c r="AY73" s="27">
        <f>SUMIF(BOM!$B:$B,원재료!$B73,BOM!M:M)</f>
        <v>0</v>
      </c>
      <c r="AZ73" s="27">
        <f>SUMIF(BOM!$B:$B,원재료!$B73,BOM!N:N)</f>
        <v>0</v>
      </c>
      <c r="BA73" s="27">
        <f>SUMIF(BOM!$B:$B,원재료!$B73,BOM!O:O)</f>
        <v>0</v>
      </c>
      <c r="BB73" s="28">
        <f>SUMIF(BOM!$B:$B,원재료!$B73,BOM!P:P)</f>
        <v>0</v>
      </c>
    </row>
    <row r="74" spans="1:54" x14ac:dyDescent="0.3">
      <c r="A74" s="21" t="s">
        <v>123</v>
      </c>
      <c r="B74" s="101">
        <v>326082</v>
      </c>
      <c r="C74" s="101" t="s">
        <v>109</v>
      </c>
      <c r="D74" s="344"/>
      <c r="E74" s="100">
        <v>80</v>
      </c>
      <c r="F74" s="22">
        <f t="shared" si="74"/>
        <v>4764</v>
      </c>
      <c r="G74" s="22">
        <f t="shared" si="75"/>
        <v>381120</v>
      </c>
      <c r="H74" s="102">
        <v>4764</v>
      </c>
      <c r="I74" s="22">
        <f t="shared" si="72"/>
        <v>381120</v>
      </c>
      <c r="J74" s="22"/>
      <c r="L74" s="22">
        <f t="shared" si="73"/>
        <v>0</v>
      </c>
      <c r="O74" s="22">
        <f t="shared" si="15"/>
        <v>0</v>
      </c>
      <c r="Q74" s="22">
        <f t="shared" ca="1" si="20"/>
        <v>0</v>
      </c>
      <c r="R74" s="123">
        <f t="shared" ca="1" si="22"/>
        <v>0</v>
      </c>
      <c r="S74" s="6">
        <f t="shared" si="80"/>
        <v>0</v>
      </c>
      <c r="T74" s="63">
        <f t="shared" si="76"/>
        <v>0</v>
      </c>
      <c r="U74" s="48" t="str">
        <f t="shared" si="77"/>
        <v>사용없음</v>
      </c>
      <c r="V74" s="50" t="str">
        <f t="shared" si="16"/>
        <v>없음</v>
      </c>
      <c r="W74" s="177">
        <v>0</v>
      </c>
      <c r="X74" s="178">
        <v>0</v>
      </c>
      <c r="Y74" s="221">
        <f t="shared" si="17"/>
        <v>0</v>
      </c>
      <c r="Z74" s="221">
        <f t="shared" ca="1" si="23"/>
        <v>0</v>
      </c>
      <c r="AA74" s="46" t="str">
        <f t="shared" si="78"/>
        <v>X</v>
      </c>
      <c r="AB74" s="65" t="str">
        <f t="shared" si="79"/>
        <v>C</v>
      </c>
      <c r="AC74" s="76">
        <f>COUNTIF(BOM!B:B,원재료!B74)</f>
        <v>0</v>
      </c>
      <c r="AD74" s="103" t="str">
        <f t="shared" si="18"/>
        <v>원료대체검토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8">
        <v>0</v>
      </c>
      <c r="AQ74" s="27">
        <f>SUMIF(BOM!$B:$B,원재료!$B74,BOM!E:E)</f>
        <v>0</v>
      </c>
      <c r="AR74" s="27">
        <f>SUMIF(BOM!$B:$B,원재료!$B74,BOM!F:F)</f>
        <v>0</v>
      </c>
      <c r="AS74" s="27">
        <f>SUMIF(BOM!$B:$B,원재료!$B74,BOM!G:G)</f>
        <v>0</v>
      </c>
      <c r="AT74" s="27">
        <f>SUMIF(BOM!$B:$B,원재료!$B74,BOM!H:H)</f>
        <v>0</v>
      </c>
      <c r="AU74" s="27">
        <f>SUMIF(BOM!$B:$B,원재료!$B74,BOM!I:I)</f>
        <v>0</v>
      </c>
      <c r="AV74" s="27">
        <f>SUMIF(BOM!$B:$B,원재료!$B74,BOM!J:J)</f>
        <v>0</v>
      </c>
      <c r="AW74" s="27">
        <f>SUMIF(BOM!$B:$B,원재료!$B74,BOM!K:K)</f>
        <v>0</v>
      </c>
      <c r="AX74" s="27">
        <f>SUMIF(BOM!$B:$B,원재료!$B74,BOM!L:L)</f>
        <v>0</v>
      </c>
      <c r="AY74" s="27">
        <f>SUMIF(BOM!$B:$B,원재료!$B74,BOM!M:M)</f>
        <v>0</v>
      </c>
      <c r="AZ74" s="27">
        <f>SUMIF(BOM!$B:$B,원재료!$B74,BOM!N:N)</f>
        <v>0</v>
      </c>
      <c r="BA74" s="27">
        <f>SUMIF(BOM!$B:$B,원재료!$B74,BOM!O:O)</f>
        <v>0</v>
      </c>
      <c r="BB74" s="28">
        <f>SUMIF(BOM!$B:$B,원재료!$B74,BOM!P:P)</f>
        <v>0</v>
      </c>
    </row>
    <row r="75" spans="1:54" x14ac:dyDescent="0.3">
      <c r="A75" s="21" t="s">
        <v>123</v>
      </c>
      <c r="B75" s="80">
        <v>326106</v>
      </c>
      <c r="C75" s="80" t="s">
        <v>110</v>
      </c>
      <c r="D75" s="344"/>
      <c r="E75" s="100">
        <v>435</v>
      </c>
      <c r="F75" s="22">
        <f t="shared" si="74"/>
        <v>65</v>
      </c>
      <c r="G75" s="22">
        <f t="shared" si="75"/>
        <v>28275</v>
      </c>
      <c r="H75" s="80">
        <v>65</v>
      </c>
      <c r="I75" s="22">
        <f t="shared" si="72"/>
        <v>28275</v>
      </c>
      <c r="J75" s="22"/>
      <c r="L75" s="22">
        <f t="shared" si="73"/>
        <v>0</v>
      </c>
      <c r="O75" s="22">
        <f t="shared" si="15"/>
        <v>0</v>
      </c>
      <c r="Q75" s="22">
        <f t="shared" ca="1" si="20"/>
        <v>0</v>
      </c>
      <c r="R75" s="123">
        <f t="shared" ca="1" si="22"/>
        <v>0</v>
      </c>
      <c r="S75" s="6">
        <f t="shared" si="80"/>
        <v>0</v>
      </c>
      <c r="T75" s="63">
        <f t="shared" si="76"/>
        <v>0</v>
      </c>
      <c r="U75" s="48" t="str">
        <f t="shared" si="77"/>
        <v>사용없음</v>
      </c>
      <c r="V75" s="50" t="str">
        <f t="shared" si="16"/>
        <v>없음</v>
      </c>
      <c r="W75" s="177">
        <v>0</v>
      </c>
      <c r="X75" s="178">
        <v>0</v>
      </c>
      <c r="Y75" s="221">
        <f t="shared" si="17"/>
        <v>0</v>
      </c>
      <c r="Z75" s="221">
        <f t="shared" ca="1" si="23"/>
        <v>0</v>
      </c>
      <c r="AA75" s="46" t="str">
        <f t="shared" si="78"/>
        <v>X</v>
      </c>
      <c r="AB75" s="65" t="str">
        <f t="shared" si="79"/>
        <v>C</v>
      </c>
      <c r="AC75" s="76">
        <f>COUNTIF(BOM!B:B,원재료!B75)</f>
        <v>0</v>
      </c>
      <c r="AD75" s="103" t="str">
        <f t="shared" si="18"/>
        <v>원료대체검토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8">
        <v>0</v>
      </c>
      <c r="AQ75" s="27">
        <f>SUMIF(BOM!$B:$B,원재료!$B75,BOM!E:E)</f>
        <v>0</v>
      </c>
      <c r="AR75" s="27">
        <f>SUMIF(BOM!$B:$B,원재료!$B75,BOM!F:F)</f>
        <v>0</v>
      </c>
      <c r="AS75" s="27">
        <f>SUMIF(BOM!$B:$B,원재료!$B75,BOM!G:G)</f>
        <v>0</v>
      </c>
      <c r="AT75" s="27">
        <f>SUMIF(BOM!$B:$B,원재료!$B75,BOM!H:H)</f>
        <v>0</v>
      </c>
      <c r="AU75" s="27">
        <f>SUMIF(BOM!$B:$B,원재료!$B75,BOM!I:I)</f>
        <v>0</v>
      </c>
      <c r="AV75" s="27">
        <f>SUMIF(BOM!$B:$B,원재료!$B75,BOM!J:J)</f>
        <v>0</v>
      </c>
      <c r="AW75" s="27">
        <f>SUMIF(BOM!$B:$B,원재료!$B75,BOM!K:K)</f>
        <v>0</v>
      </c>
      <c r="AX75" s="27">
        <f>SUMIF(BOM!$B:$B,원재료!$B75,BOM!L:L)</f>
        <v>0</v>
      </c>
      <c r="AY75" s="27">
        <f>SUMIF(BOM!$B:$B,원재료!$B75,BOM!M:M)</f>
        <v>0</v>
      </c>
      <c r="AZ75" s="27">
        <f>SUMIF(BOM!$B:$B,원재료!$B75,BOM!N:N)</f>
        <v>0</v>
      </c>
      <c r="BA75" s="27">
        <f>SUMIF(BOM!$B:$B,원재료!$B75,BOM!O:O)</f>
        <v>0</v>
      </c>
      <c r="BB75" s="28">
        <f>SUMIF(BOM!$B:$B,원재료!$B75,BOM!P:P)</f>
        <v>0</v>
      </c>
    </row>
    <row r="76" spans="1:54" x14ac:dyDescent="0.3">
      <c r="A76" s="21" t="s">
        <v>123</v>
      </c>
      <c r="B76" s="80">
        <v>326580</v>
      </c>
      <c r="C76" s="80" t="s">
        <v>133</v>
      </c>
      <c r="D76" s="344"/>
      <c r="E76" s="100">
        <v>420</v>
      </c>
      <c r="F76" s="22">
        <f t="shared" si="74"/>
        <v>72</v>
      </c>
      <c r="G76" s="22">
        <f t="shared" si="75"/>
        <v>30240</v>
      </c>
      <c r="H76" s="80">
        <v>72</v>
      </c>
      <c r="I76" s="22">
        <f t="shared" si="72"/>
        <v>30240</v>
      </c>
      <c r="J76" s="22"/>
      <c r="L76" s="22">
        <f t="shared" si="73"/>
        <v>0</v>
      </c>
      <c r="O76" s="22">
        <f t="shared" si="15"/>
        <v>0</v>
      </c>
      <c r="Q76" s="22">
        <f t="shared" ca="1" si="20"/>
        <v>0</v>
      </c>
      <c r="R76" s="123">
        <f t="shared" ca="1" si="22"/>
        <v>0</v>
      </c>
      <c r="S76" s="6">
        <f t="shared" si="80"/>
        <v>0</v>
      </c>
      <c r="T76" s="63">
        <f t="shared" si="76"/>
        <v>0</v>
      </c>
      <c r="U76" s="48" t="str">
        <f t="shared" si="77"/>
        <v>사용없음</v>
      </c>
      <c r="V76" s="50" t="str">
        <f t="shared" si="16"/>
        <v>없음</v>
      </c>
      <c r="W76" s="177">
        <v>0</v>
      </c>
      <c r="X76" s="178">
        <v>0</v>
      </c>
      <c r="Y76" s="221">
        <f t="shared" si="17"/>
        <v>0</v>
      </c>
      <c r="Z76" s="221">
        <f t="shared" ca="1" si="23"/>
        <v>0</v>
      </c>
      <c r="AA76" s="46" t="str">
        <f t="shared" si="78"/>
        <v>X</v>
      </c>
      <c r="AB76" s="65" t="str">
        <f t="shared" si="79"/>
        <v>C</v>
      </c>
      <c r="AC76" s="76">
        <f>COUNTIF(BOM!B:B,원재료!B76)</f>
        <v>0</v>
      </c>
      <c r="AD76" s="103" t="str">
        <f t="shared" si="18"/>
        <v>원료대체검토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8">
        <v>0</v>
      </c>
      <c r="AQ76" s="27">
        <f>SUMIF(BOM!$B:$B,원재료!$B76,BOM!E:E)</f>
        <v>0</v>
      </c>
      <c r="AR76" s="27">
        <f>SUMIF(BOM!$B:$B,원재료!$B76,BOM!F:F)</f>
        <v>0</v>
      </c>
      <c r="AS76" s="27">
        <f>SUMIF(BOM!$B:$B,원재료!$B76,BOM!G:G)</f>
        <v>0</v>
      </c>
      <c r="AT76" s="27">
        <f>SUMIF(BOM!$B:$B,원재료!$B76,BOM!H:H)</f>
        <v>0</v>
      </c>
      <c r="AU76" s="27">
        <f>SUMIF(BOM!$B:$B,원재료!$B76,BOM!I:I)</f>
        <v>0</v>
      </c>
      <c r="AV76" s="27">
        <f>SUMIF(BOM!$B:$B,원재료!$B76,BOM!J:J)</f>
        <v>0</v>
      </c>
      <c r="AW76" s="27">
        <f>SUMIF(BOM!$B:$B,원재료!$B76,BOM!K:K)</f>
        <v>0</v>
      </c>
      <c r="AX76" s="27">
        <f>SUMIF(BOM!$B:$B,원재료!$B76,BOM!L:L)</f>
        <v>0</v>
      </c>
      <c r="AY76" s="27">
        <f>SUMIF(BOM!$B:$B,원재료!$B76,BOM!M:M)</f>
        <v>0</v>
      </c>
      <c r="AZ76" s="27">
        <f>SUMIF(BOM!$B:$B,원재료!$B76,BOM!N:N)</f>
        <v>0</v>
      </c>
      <c r="BA76" s="27">
        <f>SUMIF(BOM!$B:$B,원재료!$B76,BOM!O:O)</f>
        <v>0</v>
      </c>
      <c r="BB76" s="28">
        <f>SUMIF(BOM!$B:$B,원재료!$B76,BOM!P:P)</f>
        <v>0</v>
      </c>
    </row>
    <row r="77" spans="1:54" x14ac:dyDescent="0.3">
      <c r="A77" s="21" t="s">
        <v>123</v>
      </c>
      <c r="B77" s="80">
        <v>326581</v>
      </c>
      <c r="C77" s="80" t="s">
        <v>132</v>
      </c>
      <c r="D77" s="344"/>
      <c r="E77" s="100">
        <v>415</v>
      </c>
      <c r="F77" s="22">
        <f t="shared" si="74"/>
        <v>71</v>
      </c>
      <c r="G77" s="22">
        <f t="shared" si="75"/>
        <v>29465</v>
      </c>
      <c r="H77" s="80">
        <v>71</v>
      </c>
      <c r="I77" s="22">
        <f t="shared" si="72"/>
        <v>29465</v>
      </c>
      <c r="J77" s="22"/>
      <c r="L77" s="22">
        <f t="shared" si="73"/>
        <v>0</v>
      </c>
      <c r="O77" s="22">
        <f t="shared" si="15"/>
        <v>0</v>
      </c>
      <c r="Q77" s="22">
        <f t="shared" ca="1" si="20"/>
        <v>0</v>
      </c>
      <c r="R77" s="123">
        <f t="shared" ca="1" si="22"/>
        <v>0</v>
      </c>
      <c r="S77" s="6">
        <f t="shared" si="80"/>
        <v>0</v>
      </c>
      <c r="T77" s="63">
        <f t="shared" si="76"/>
        <v>0</v>
      </c>
      <c r="U77" s="48" t="str">
        <f t="shared" si="77"/>
        <v>사용없음</v>
      </c>
      <c r="V77" s="50" t="str">
        <f t="shared" si="16"/>
        <v>없음</v>
      </c>
      <c r="W77" s="177">
        <v>0</v>
      </c>
      <c r="X77" s="178">
        <v>0</v>
      </c>
      <c r="Y77" s="221">
        <f t="shared" ref="Y77:Y89" si="89">+S77*W77/30</f>
        <v>0</v>
      </c>
      <c r="Z77" s="221">
        <f t="shared" ca="1" si="23"/>
        <v>0</v>
      </c>
      <c r="AA77" s="46" t="str">
        <f t="shared" si="78"/>
        <v>X</v>
      </c>
      <c r="AB77" s="65" t="str">
        <f t="shared" si="79"/>
        <v>C</v>
      </c>
      <c r="AC77" s="76">
        <f>COUNTIF(BOM!B:B,원재료!B77)</f>
        <v>0</v>
      </c>
      <c r="AD77" s="103" t="str">
        <f t="shared" si="18"/>
        <v>원료대체검토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8">
        <v>0</v>
      </c>
      <c r="AQ77" s="27">
        <f>SUMIF(BOM!$B:$B,원재료!$B77,BOM!E:E)</f>
        <v>0</v>
      </c>
      <c r="AR77" s="27">
        <f>SUMIF(BOM!$B:$B,원재료!$B77,BOM!F:F)</f>
        <v>0</v>
      </c>
      <c r="AS77" s="27">
        <f>SUMIF(BOM!$B:$B,원재료!$B77,BOM!G:G)</f>
        <v>0</v>
      </c>
      <c r="AT77" s="27">
        <f>SUMIF(BOM!$B:$B,원재료!$B77,BOM!H:H)</f>
        <v>0</v>
      </c>
      <c r="AU77" s="27">
        <f>SUMIF(BOM!$B:$B,원재료!$B77,BOM!I:I)</f>
        <v>0</v>
      </c>
      <c r="AV77" s="27">
        <f>SUMIF(BOM!$B:$B,원재료!$B77,BOM!J:J)</f>
        <v>0</v>
      </c>
      <c r="AW77" s="27">
        <f>SUMIF(BOM!$B:$B,원재료!$B77,BOM!K:K)</f>
        <v>0</v>
      </c>
      <c r="AX77" s="27">
        <f>SUMIF(BOM!$B:$B,원재료!$B77,BOM!L:L)</f>
        <v>0</v>
      </c>
      <c r="AY77" s="27">
        <f>SUMIF(BOM!$B:$B,원재료!$B77,BOM!M:M)</f>
        <v>0</v>
      </c>
      <c r="AZ77" s="27">
        <f>SUMIF(BOM!$B:$B,원재료!$B77,BOM!N:N)</f>
        <v>0</v>
      </c>
      <c r="BA77" s="27">
        <f>SUMIF(BOM!$B:$B,원재료!$B77,BOM!O:O)</f>
        <v>0</v>
      </c>
      <c r="BB77" s="28">
        <f>SUMIF(BOM!$B:$B,원재료!$B77,BOM!P:P)</f>
        <v>0</v>
      </c>
    </row>
    <row r="78" spans="1:54" x14ac:dyDescent="0.3">
      <c r="A78" s="21" t="s">
        <v>123</v>
      </c>
      <c r="B78" s="80">
        <v>333771</v>
      </c>
      <c r="C78" s="80" t="s">
        <v>111</v>
      </c>
      <c r="D78" s="344"/>
      <c r="E78" s="100">
        <v>80</v>
      </c>
      <c r="F78" s="22">
        <f t="shared" si="74"/>
        <v>1900</v>
      </c>
      <c r="G78" s="22">
        <f t="shared" si="75"/>
        <v>152000</v>
      </c>
      <c r="H78" s="102">
        <v>1900</v>
      </c>
      <c r="I78" s="22">
        <f t="shared" si="72"/>
        <v>152000</v>
      </c>
      <c r="J78" s="22"/>
      <c r="L78" s="22">
        <f t="shared" si="73"/>
        <v>0</v>
      </c>
      <c r="O78" s="22">
        <f t="shared" si="15"/>
        <v>0</v>
      </c>
      <c r="Q78" s="22">
        <f t="shared" ca="1" si="20"/>
        <v>0</v>
      </c>
      <c r="R78" s="123">
        <f t="shared" ca="1" si="22"/>
        <v>0</v>
      </c>
      <c r="S78" s="6">
        <f t="shared" si="80"/>
        <v>0</v>
      </c>
      <c r="T78" s="63">
        <f t="shared" si="76"/>
        <v>0</v>
      </c>
      <c r="U78" s="48" t="str">
        <f t="shared" si="77"/>
        <v>사용없음</v>
      </c>
      <c r="V78" s="50" t="str">
        <f t="shared" si="16"/>
        <v>없음</v>
      </c>
      <c r="W78" s="177">
        <v>0</v>
      </c>
      <c r="X78" s="178">
        <v>0</v>
      </c>
      <c r="Y78" s="221">
        <f t="shared" si="89"/>
        <v>0</v>
      </c>
      <c r="Z78" s="221">
        <f t="shared" ca="1" si="23"/>
        <v>0</v>
      </c>
      <c r="AA78" s="46" t="str">
        <f t="shared" si="78"/>
        <v>X</v>
      </c>
      <c r="AB78" s="65" t="str">
        <f t="shared" si="79"/>
        <v>C</v>
      </c>
      <c r="AC78" s="76">
        <f>COUNTIF(BOM!B:B,원재료!B78)</f>
        <v>0</v>
      </c>
      <c r="AD78" s="103" t="str">
        <f t="shared" si="18"/>
        <v>원료대체검토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8">
        <v>0</v>
      </c>
      <c r="AQ78" s="27">
        <f>SUMIF(BOM!$B:$B,원재료!$B78,BOM!E:E)</f>
        <v>0</v>
      </c>
      <c r="AR78" s="27">
        <f>SUMIF(BOM!$B:$B,원재료!$B78,BOM!F:F)</f>
        <v>0</v>
      </c>
      <c r="AS78" s="27">
        <f>SUMIF(BOM!$B:$B,원재료!$B78,BOM!G:G)</f>
        <v>0</v>
      </c>
      <c r="AT78" s="27">
        <f>SUMIF(BOM!$B:$B,원재료!$B78,BOM!H:H)</f>
        <v>0</v>
      </c>
      <c r="AU78" s="27">
        <f>SUMIF(BOM!$B:$B,원재료!$B78,BOM!I:I)</f>
        <v>0</v>
      </c>
      <c r="AV78" s="27">
        <f>SUMIF(BOM!$B:$B,원재료!$B78,BOM!J:J)</f>
        <v>0</v>
      </c>
      <c r="AW78" s="27">
        <f>SUMIF(BOM!$B:$B,원재료!$B78,BOM!K:K)</f>
        <v>0</v>
      </c>
      <c r="AX78" s="27">
        <f>SUMIF(BOM!$B:$B,원재료!$B78,BOM!L:L)</f>
        <v>0</v>
      </c>
      <c r="AY78" s="27">
        <f>SUMIF(BOM!$B:$B,원재료!$B78,BOM!M:M)</f>
        <v>0</v>
      </c>
      <c r="AZ78" s="27">
        <f>SUMIF(BOM!$B:$B,원재료!$B78,BOM!N:N)</f>
        <v>0</v>
      </c>
      <c r="BA78" s="27">
        <f>SUMIF(BOM!$B:$B,원재료!$B78,BOM!O:O)</f>
        <v>0</v>
      </c>
      <c r="BB78" s="28">
        <f>SUMIF(BOM!$B:$B,원재료!$B78,BOM!P:P)</f>
        <v>0</v>
      </c>
    </row>
    <row r="79" spans="1:54" x14ac:dyDescent="0.3">
      <c r="A79" s="21" t="s">
        <v>123</v>
      </c>
      <c r="B79" s="80">
        <v>332496</v>
      </c>
      <c r="C79" s="80" t="s">
        <v>120</v>
      </c>
      <c r="D79" s="344"/>
      <c r="E79" s="100">
        <v>415</v>
      </c>
      <c r="F79" s="22">
        <f t="shared" si="74"/>
        <v>63</v>
      </c>
      <c r="G79" s="22">
        <f t="shared" si="75"/>
        <v>26145</v>
      </c>
      <c r="H79" s="80">
        <v>63</v>
      </c>
      <c r="I79" s="22">
        <f t="shared" si="72"/>
        <v>26145</v>
      </c>
      <c r="J79" s="22"/>
      <c r="L79" s="22">
        <f t="shared" si="73"/>
        <v>0</v>
      </c>
      <c r="O79" s="22">
        <f t="shared" si="15"/>
        <v>0</v>
      </c>
      <c r="Q79" s="22">
        <f t="shared" ca="1" si="20"/>
        <v>0</v>
      </c>
      <c r="R79" s="123">
        <f t="shared" ca="1" si="22"/>
        <v>0</v>
      </c>
      <c r="S79" s="6">
        <f t="shared" si="80"/>
        <v>0</v>
      </c>
      <c r="T79" s="63">
        <f t="shared" si="76"/>
        <v>0</v>
      </c>
      <c r="U79" s="48" t="str">
        <f t="shared" si="77"/>
        <v>사용없음</v>
      </c>
      <c r="V79" s="50" t="str">
        <f t="shared" si="16"/>
        <v>없음</v>
      </c>
      <c r="W79" s="177">
        <v>0</v>
      </c>
      <c r="X79" s="178">
        <v>0</v>
      </c>
      <c r="Y79" s="221">
        <f t="shared" si="89"/>
        <v>0</v>
      </c>
      <c r="Z79" s="221">
        <f t="shared" ca="1" si="23"/>
        <v>0</v>
      </c>
      <c r="AA79" s="46" t="str">
        <f t="shared" si="78"/>
        <v>X</v>
      </c>
      <c r="AB79" s="65" t="str">
        <f t="shared" si="79"/>
        <v>C</v>
      </c>
      <c r="AC79" s="76">
        <f>COUNTIF(BOM!B:B,원재료!B79)</f>
        <v>0</v>
      </c>
      <c r="AD79" s="103" t="str">
        <f t="shared" si="18"/>
        <v>원료대체검토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0</v>
      </c>
      <c r="AO79" s="27">
        <v>0</v>
      </c>
      <c r="AP79" s="28">
        <v>0</v>
      </c>
      <c r="AQ79" s="27">
        <f>SUMIF(BOM!$B:$B,원재료!$B79,BOM!E:E)</f>
        <v>0</v>
      </c>
      <c r="AR79" s="27">
        <f>SUMIF(BOM!$B:$B,원재료!$B79,BOM!F:F)</f>
        <v>0</v>
      </c>
      <c r="AS79" s="27">
        <f>SUMIF(BOM!$B:$B,원재료!$B79,BOM!G:G)</f>
        <v>0</v>
      </c>
      <c r="AT79" s="27">
        <f>SUMIF(BOM!$B:$B,원재료!$B79,BOM!H:H)</f>
        <v>0</v>
      </c>
      <c r="AU79" s="27">
        <f>SUMIF(BOM!$B:$B,원재료!$B79,BOM!I:I)</f>
        <v>0</v>
      </c>
      <c r="AV79" s="27">
        <f>SUMIF(BOM!$B:$B,원재료!$B79,BOM!J:J)</f>
        <v>0</v>
      </c>
      <c r="AW79" s="27">
        <f>SUMIF(BOM!$B:$B,원재료!$B79,BOM!K:K)</f>
        <v>0</v>
      </c>
      <c r="AX79" s="27">
        <f>SUMIF(BOM!$B:$B,원재료!$B79,BOM!L:L)</f>
        <v>0</v>
      </c>
      <c r="AY79" s="27">
        <f>SUMIF(BOM!$B:$B,원재료!$B79,BOM!M:M)</f>
        <v>0</v>
      </c>
      <c r="AZ79" s="27">
        <f>SUMIF(BOM!$B:$B,원재료!$B79,BOM!N:N)</f>
        <v>0</v>
      </c>
      <c r="BA79" s="27">
        <f>SUMIF(BOM!$B:$B,원재료!$B79,BOM!O:O)</f>
        <v>0</v>
      </c>
      <c r="BB79" s="28">
        <f>SUMIF(BOM!$B:$B,원재료!$B79,BOM!P:P)</f>
        <v>0</v>
      </c>
    </row>
    <row r="80" spans="1:54" x14ac:dyDescent="0.3">
      <c r="A80" s="21" t="s">
        <v>123</v>
      </c>
      <c r="B80" s="80">
        <v>332511</v>
      </c>
      <c r="C80" s="80" t="s">
        <v>112</v>
      </c>
      <c r="D80" s="344"/>
      <c r="E80" s="100">
        <v>80</v>
      </c>
      <c r="F80" s="22">
        <f t="shared" si="74"/>
        <v>3800</v>
      </c>
      <c r="G80" s="22">
        <f t="shared" si="75"/>
        <v>304000</v>
      </c>
      <c r="H80" s="102">
        <v>3800</v>
      </c>
      <c r="I80" s="22">
        <f t="shared" si="72"/>
        <v>304000</v>
      </c>
      <c r="J80" s="22"/>
      <c r="L80" s="22">
        <f t="shared" si="73"/>
        <v>0</v>
      </c>
      <c r="O80" s="22">
        <f t="shared" si="15"/>
        <v>0</v>
      </c>
      <c r="Q80" s="22">
        <f t="shared" ca="1" si="20"/>
        <v>0</v>
      </c>
      <c r="R80" s="123">
        <f t="shared" ca="1" si="22"/>
        <v>0</v>
      </c>
      <c r="S80" s="6">
        <f t="shared" si="80"/>
        <v>0</v>
      </c>
      <c r="T80" s="63">
        <f t="shared" si="76"/>
        <v>0</v>
      </c>
      <c r="U80" s="48" t="str">
        <f t="shared" si="77"/>
        <v>사용없음</v>
      </c>
      <c r="V80" s="50" t="str">
        <f t="shared" si="16"/>
        <v>없음</v>
      </c>
      <c r="W80" s="177">
        <v>0</v>
      </c>
      <c r="X80" s="178">
        <v>0</v>
      </c>
      <c r="Y80" s="221">
        <f t="shared" si="89"/>
        <v>0</v>
      </c>
      <c r="Z80" s="221">
        <f t="shared" ca="1" si="23"/>
        <v>0</v>
      </c>
      <c r="AA80" s="46" t="str">
        <f t="shared" si="78"/>
        <v>X</v>
      </c>
      <c r="AB80" s="65" t="str">
        <f t="shared" si="79"/>
        <v>C</v>
      </c>
      <c r="AC80" s="76">
        <f>COUNTIF(BOM!B:B,원재료!B80)</f>
        <v>0</v>
      </c>
      <c r="AD80" s="103" t="str">
        <f t="shared" si="18"/>
        <v>원료대체검토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8">
        <v>0</v>
      </c>
      <c r="AQ80" s="27">
        <f>SUMIF(BOM!$B:$B,원재료!$B80,BOM!E:E)</f>
        <v>0</v>
      </c>
      <c r="AR80" s="27">
        <f>SUMIF(BOM!$B:$B,원재료!$B80,BOM!F:F)</f>
        <v>0</v>
      </c>
      <c r="AS80" s="27">
        <f>SUMIF(BOM!$B:$B,원재료!$B80,BOM!G:G)</f>
        <v>0</v>
      </c>
      <c r="AT80" s="27">
        <f>SUMIF(BOM!$B:$B,원재료!$B80,BOM!H:H)</f>
        <v>0</v>
      </c>
      <c r="AU80" s="27">
        <f>SUMIF(BOM!$B:$B,원재료!$B80,BOM!I:I)</f>
        <v>0</v>
      </c>
      <c r="AV80" s="27">
        <f>SUMIF(BOM!$B:$B,원재료!$B80,BOM!J:J)</f>
        <v>0</v>
      </c>
      <c r="AW80" s="27">
        <f>SUMIF(BOM!$B:$B,원재료!$B80,BOM!K:K)</f>
        <v>0</v>
      </c>
      <c r="AX80" s="27">
        <f>SUMIF(BOM!$B:$B,원재료!$B80,BOM!L:L)</f>
        <v>0</v>
      </c>
      <c r="AY80" s="27">
        <f>SUMIF(BOM!$B:$B,원재료!$B80,BOM!M:M)</f>
        <v>0</v>
      </c>
      <c r="AZ80" s="27">
        <f>SUMIF(BOM!$B:$B,원재료!$B80,BOM!N:N)</f>
        <v>0</v>
      </c>
      <c r="BA80" s="27">
        <f>SUMIF(BOM!$B:$B,원재료!$B80,BOM!O:O)</f>
        <v>0</v>
      </c>
      <c r="BB80" s="28">
        <f>SUMIF(BOM!$B:$B,원재료!$B80,BOM!P:P)</f>
        <v>0</v>
      </c>
    </row>
    <row r="81" spans="1:54" ht="15.75" customHeight="1" x14ac:dyDescent="0.3">
      <c r="A81" s="21" t="s">
        <v>123</v>
      </c>
      <c r="B81" s="80">
        <v>332849</v>
      </c>
      <c r="C81" s="80" t="s">
        <v>901</v>
      </c>
      <c r="D81" s="344"/>
      <c r="E81" s="100">
        <v>75</v>
      </c>
      <c r="F81" s="22">
        <f t="shared" si="74"/>
        <v>8200</v>
      </c>
      <c r="G81" s="22">
        <f t="shared" si="75"/>
        <v>615000</v>
      </c>
      <c r="H81" s="102">
        <v>8200</v>
      </c>
      <c r="I81" s="22">
        <f t="shared" si="72"/>
        <v>615000</v>
      </c>
      <c r="J81" s="22"/>
      <c r="L81" s="22">
        <f t="shared" ref="L81:L82" si="90">+$E81*K81</f>
        <v>0</v>
      </c>
      <c r="O81" s="22">
        <f t="shared" ref="O81:O82" si="91">+$E81*N81</f>
        <v>0</v>
      </c>
      <c r="Q81" s="22">
        <f t="shared" ref="Q81:Q82" ca="1" si="92">IFERROR(R81/E81,0)</f>
        <v>0</v>
      </c>
      <c r="R81" s="123">
        <f t="shared" ref="R81:R82" ca="1" si="93">IFERROR(IF(OR(V81&lt;U81,S81=0),G81-S81*E81*(ABS(MONTH($S$1)-MONTH(V81))),0),0)</f>
        <v>0</v>
      </c>
      <c r="S81" s="6">
        <f t="shared" si="80"/>
        <v>0</v>
      </c>
      <c r="T81" s="63">
        <f t="shared" si="76"/>
        <v>0</v>
      </c>
      <c r="U81" s="48" t="str">
        <f t="shared" si="77"/>
        <v>사용없음</v>
      </c>
      <c r="V81" s="50" t="str">
        <f t="shared" ref="V81:V82" si="94">IF(F81=0,"재고없음",IF(AND(J81=0,M81=0,P81=0),"없음",MIN(J81,M81,P81)))</f>
        <v>없음</v>
      </c>
      <c r="W81" s="177">
        <v>0</v>
      </c>
      <c r="X81" s="178">
        <v>0</v>
      </c>
      <c r="Y81" s="221">
        <f t="shared" ref="Y81:Y82" si="95">+S81*W81/30</f>
        <v>0</v>
      </c>
      <c r="Z81" s="221">
        <f t="shared" ref="Z81:Z82" ca="1" si="96">IFERROR(IF(AND($S$1+W81-V81&gt;0,(MAX(P81,M81,J81)&lt;V81+W81)),"O",IF(OR(Y81-F81&lt;=0,S81=0),"X","O")),0)</f>
        <v>0</v>
      </c>
      <c r="AA81" s="46" t="str">
        <f t="shared" ref="AA81:AA82" si="97">IFERROR(IF(U81="사용없음","X",IF(V81-U81&gt;0,"O","X")),0)</f>
        <v>X</v>
      </c>
      <c r="AB81" s="65" t="str">
        <f t="shared" ref="AB81:AB82" si="98">IF(U81="사용없음",$AD$2,IF(T81=0,"-",IF(T81&lt;=1,$AA$2,IF(AND(T81&gt;1,T81&lt;=4),$AB$2,$AD$2))))</f>
        <v>C</v>
      </c>
      <c r="AC81" s="76">
        <f>COUNTIF(BOM!B:B,원재료!B81)</f>
        <v>0</v>
      </c>
      <c r="AD81" s="103" t="str">
        <f t="shared" ref="AD81:AD82" si="99">IF(AND(AA81="X",AB81="C",AC81&lt;2),"원료대체검토",IF(AND(AA81="X",AB81="C"),"소진계획필요","판매활성화"))</f>
        <v>원료대체검토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0</v>
      </c>
      <c r="AP81" s="28">
        <v>0</v>
      </c>
      <c r="AQ81" s="27">
        <f>SUMIF(BOM!$B:$B,원재료!$B81,BOM!E:E)</f>
        <v>0</v>
      </c>
      <c r="AR81" s="27">
        <f>SUMIF(BOM!$B:$B,원재료!$B81,BOM!F:F)</f>
        <v>0</v>
      </c>
      <c r="AS81" s="27">
        <f>SUMIF(BOM!$B:$B,원재료!$B81,BOM!G:G)</f>
        <v>0</v>
      </c>
      <c r="AT81" s="27">
        <f>SUMIF(BOM!$B:$B,원재료!$B81,BOM!H:H)</f>
        <v>0</v>
      </c>
      <c r="AU81" s="27">
        <f>SUMIF(BOM!$B:$B,원재료!$B81,BOM!I:I)</f>
        <v>0</v>
      </c>
      <c r="AV81" s="27">
        <f>SUMIF(BOM!$B:$B,원재료!$B81,BOM!J:J)</f>
        <v>0</v>
      </c>
      <c r="AW81" s="27">
        <f>SUMIF(BOM!$B:$B,원재료!$B81,BOM!K:K)</f>
        <v>0</v>
      </c>
      <c r="AX81" s="27">
        <f>SUMIF(BOM!$B:$B,원재료!$B81,BOM!L:L)</f>
        <v>0</v>
      </c>
      <c r="AY81" s="27">
        <f>SUMIF(BOM!$B:$B,원재료!$B81,BOM!M:M)</f>
        <v>0</v>
      </c>
      <c r="AZ81" s="27">
        <f>SUMIF(BOM!$B:$B,원재료!$B81,BOM!N:N)</f>
        <v>0</v>
      </c>
      <c r="BA81" s="27">
        <f>SUMIF(BOM!$B:$B,원재료!$B81,BOM!O:O)</f>
        <v>0</v>
      </c>
      <c r="BB81" s="28">
        <f>SUMIF(BOM!$B:$B,원재료!$B81,BOM!P:P)</f>
        <v>0</v>
      </c>
    </row>
    <row r="82" spans="1:54" x14ac:dyDescent="0.3">
      <c r="A82" s="21" t="s">
        <v>123</v>
      </c>
      <c r="B82" s="80">
        <v>333771</v>
      </c>
      <c r="C82" s="80" t="s">
        <v>902</v>
      </c>
      <c r="D82" s="344"/>
      <c r="E82" s="100">
        <v>80</v>
      </c>
      <c r="F82" s="22">
        <f t="shared" ref="F82" si="100">+H82+K82+N82</f>
        <v>1900</v>
      </c>
      <c r="G82" s="22">
        <f t="shared" ref="G82" si="101">+E82*F82</f>
        <v>152000</v>
      </c>
      <c r="H82" s="102">
        <f>3.8*500</f>
        <v>1900</v>
      </c>
      <c r="I82" s="22">
        <f t="shared" ref="I82" si="102">+$E82*H82</f>
        <v>152000</v>
      </c>
      <c r="J82" s="22"/>
      <c r="L82" s="22">
        <f t="shared" si="90"/>
        <v>0</v>
      </c>
      <c r="O82" s="22">
        <f t="shared" si="91"/>
        <v>0</v>
      </c>
      <c r="Q82" s="22">
        <f t="shared" ca="1" si="92"/>
        <v>0</v>
      </c>
      <c r="R82" s="123">
        <f t="shared" ca="1" si="93"/>
        <v>0</v>
      </c>
      <c r="S82" s="6">
        <f t="shared" si="80"/>
        <v>0</v>
      </c>
      <c r="T82" s="63">
        <f t="shared" si="76"/>
        <v>0</v>
      </c>
      <c r="U82" s="48" t="str">
        <f t="shared" si="77"/>
        <v>사용없음</v>
      </c>
      <c r="V82" s="50" t="str">
        <f t="shared" si="94"/>
        <v>없음</v>
      </c>
      <c r="W82" s="177">
        <v>0</v>
      </c>
      <c r="X82" s="178">
        <v>0</v>
      </c>
      <c r="Y82" s="221">
        <f t="shared" si="95"/>
        <v>0</v>
      </c>
      <c r="Z82" s="221">
        <f t="shared" ca="1" si="96"/>
        <v>0</v>
      </c>
      <c r="AA82" s="46" t="str">
        <f t="shared" si="97"/>
        <v>X</v>
      </c>
      <c r="AB82" s="65" t="str">
        <f t="shared" si="98"/>
        <v>C</v>
      </c>
      <c r="AC82" s="76">
        <f>COUNTIF(BOM!B:B,원재료!B82)</f>
        <v>0</v>
      </c>
      <c r="AD82" s="103" t="str">
        <f t="shared" si="99"/>
        <v>원료대체검토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8">
        <v>0</v>
      </c>
      <c r="AQ82" s="27">
        <f>SUMIF(BOM!$B:$B,원재료!$B82,BOM!E:E)</f>
        <v>0</v>
      </c>
      <c r="AR82" s="27">
        <f>SUMIF(BOM!$B:$B,원재료!$B82,BOM!F:F)</f>
        <v>0</v>
      </c>
      <c r="AS82" s="27">
        <f>SUMIF(BOM!$B:$B,원재료!$B82,BOM!G:G)</f>
        <v>0</v>
      </c>
      <c r="AT82" s="27">
        <f>SUMIF(BOM!$B:$B,원재료!$B82,BOM!H:H)</f>
        <v>0</v>
      </c>
      <c r="AU82" s="27">
        <f>SUMIF(BOM!$B:$B,원재료!$B82,BOM!I:I)</f>
        <v>0</v>
      </c>
      <c r="AV82" s="27">
        <f>SUMIF(BOM!$B:$B,원재료!$B82,BOM!J:J)</f>
        <v>0</v>
      </c>
      <c r="AW82" s="27">
        <f>SUMIF(BOM!$B:$B,원재료!$B82,BOM!K:K)</f>
        <v>0</v>
      </c>
      <c r="AX82" s="27">
        <f>SUMIF(BOM!$B:$B,원재료!$B82,BOM!L:L)</f>
        <v>0</v>
      </c>
      <c r="AY82" s="27">
        <f>SUMIF(BOM!$B:$B,원재료!$B82,BOM!M:M)</f>
        <v>0</v>
      </c>
      <c r="AZ82" s="27">
        <f>SUMIF(BOM!$B:$B,원재료!$B82,BOM!N:N)</f>
        <v>0</v>
      </c>
      <c r="BA82" s="27">
        <f>SUMIF(BOM!$B:$B,원재료!$B82,BOM!O:O)</f>
        <v>0</v>
      </c>
      <c r="BB82" s="28">
        <f>SUMIF(BOM!$B:$B,원재료!$B82,BOM!P:P)</f>
        <v>0</v>
      </c>
    </row>
    <row r="83" spans="1:54" x14ac:dyDescent="0.3">
      <c r="A83" s="21" t="s">
        <v>129</v>
      </c>
      <c r="C83" s="80" t="s">
        <v>114</v>
      </c>
      <c r="D83" s="344"/>
      <c r="E83" s="100">
        <v>425</v>
      </c>
      <c r="F83" s="80">
        <v>679</v>
      </c>
      <c r="G83" s="22">
        <f t="shared" ref="G83:G92" si="103">+E83*F83</f>
        <v>288575</v>
      </c>
      <c r="H83" s="80">
        <v>679</v>
      </c>
      <c r="I83" s="22">
        <f t="shared" ref="I83:I92" si="104">+$E83*H83</f>
        <v>288575</v>
      </c>
      <c r="J83" s="22"/>
      <c r="L83" s="22">
        <f t="shared" ref="L83:L89" si="105">+$E83*K83</f>
        <v>0</v>
      </c>
      <c r="O83" s="22">
        <f t="shared" ref="O83:O89" si="106">+$E83*N83</f>
        <v>0</v>
      </c>
      <c r="Q83" s="22">
        <f t="shared" ca="1" si="20"/>
        <v>0</v>
      </c>
      <c r="R83" s="123">
        <f t="shared" ca="1" si="22"/>
        <v>0</v>
      </c>
      <c r="S83" s="6">
        <f t="shared" si="80"/>
        <v>0</v>
      </c>
      <c r="T83" s="63">
        <f t="shared" si="76"/>
        <v>0</v>
      </c>
      <c r="U83" s="48" t="str">
        <f t="shared" si="77"/>
        <v>사용없음</v>
      </c>
      <c r="V83" s="50" t="str">
        <f t="shared" si="16"/>
        <v>없음</v>
      </c>
      <c r="W83" s="177">
        <v>0</v>
      </c>
      <c r="X83" s="178">
        <v>0</v>
      </c>
      <c r="Y83" s="221">
        <f t="shared" si="89"/>
        <v>0</v>
      </c>
      <c r="Z83" s="221">
        <f t="shared" ca="1" si="23"/>
        <v>0</v>
      </c>
      <c r="AA83" s="46" t="str">
        <f t="shared" si="78"/>
        <v>X</v>
      </c>
      <c r="AB83" s="65" t="str">
        <f t="shared" si="79"/>
        <v>C</v>
      </c>
      <c r="AC83" s="76">
        <f>COUNTIF(BOM!B:B,원재료!B83)</f>
        <v>0</v>
      </c>
      <c r="AD83" s="103" t="str">
        <f t="shared" ref="AD83:AD89" si="107">IF(AND(AA83="X",AB83="C",AC83&lt;2),"원료대체검토",IF(AND(AA83="X",AB83="C"),"소진계획필요","판매활성화"))</f>
        <v>원료대체검토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8">
        <v>0</v>
      </c>
      <c r="AQ83" s="27">
        <f>SUMIF(BOM!$B:$B,원재료!$B83,BOM!E:E)</f>
        <v>0</v>
      </c>
      <c r="AR83" s="27">
        <f>SUMIF(BOM!$B:$B,원재료!$B83,BOM!F:F)</f>
        <v>0</v>
      </c>
      <c r="AS83" s="27">
        <f>SUMIF(BOM!$B:$B,원재료!$B83,BOM!G:G)</f>
        <v>0</v>
      </c>
      <c r="AT83" s="27">
        <f>SUMIF(BOM!$B:$B,원재료!$B83,BOM!H:H)</f>
        <v>0</v>
      </c>
      <c r="AU83" s="27">
        <f>SUMIF(BOM!$B:$B,원재료!$B83,BOM!I:I)</f>
        <v>0</v>
      </c>
      <c r="AV83" s="27">
        <f>SUMIF(BOM!$B:$B,원재료!$B83,BOM!J:J)</f>
        <v>0</v>
      </c>
      <c r="AW83" s="27">
        <f>SUMIF(BOM!$B:$B,원재료!$B83,BOM!K:K)</f>
        <v>0</v>
      </c>
      <c r="AX83" s="27">
        <f>SUMIF(BOM!$B:$B,원재료!$B83,BOM!L:L)</f>
        <v>0</v>
      </c>
      <c r="AY83" s="27">
        <f>SUMIF(BOM!$B:$B,원재료!$B83,BOM!M:M)</f>
        <v>0</v>
      </c>
      <c r="AZ83" s="27">
        <f>SUMIF(BOM!$B:$B,원재료!$B83,BOM!N:N)</f>
        <v>0</v>
      </c>
      <c r="BA83" s="27">
        <f>SUMIF(BOM!$B:$B,원재료!$B83,BOM!O:O)</f>
        <v>0</v>
      </c>
      <c r="BB83" s="28">
        <f>SUMIF(BOM!$B:$B,원재료!$B83,BOM!P:P)</f>
        <v>0</v>
      </c>
    </row>
    <row r="84" spans="1:54" x14ac:dyDescent="0.3">
      <c r="A84" s="21" t="s">
        <v>129</v>
      </c>
      <c r="C84" s="80" t="s">
        <v>113</v>
      </c>
      <c r="D84" s="344"/>
      <c r="E84" s="113">
        <v>46</v>
      </c>
      <c r="F84" s="113">
        <v>9495</v>
      </c>
      <c r="G84" s="22">
        <f t="shared" si="103"/>
        <v>436770</v>
      </c>
      <c r="H84" s="113">
        <v>9495</v>
      </c>
      <c r="I84" s="22">
        <f t="shared" si="104"/>
        <v>436770</v>
      </c>
      <c r="J84" s="22"/>
      <c r="L84" s="22">
        <f t="shared" si="105"/>
        <v>0</v>
      </c>
      <c r="O84" s="22">
        <f t="shared" si="106"/>
        <v>0</v>
      </c>
      <c r="Q84" s="22">
        <f t="shared" ca="1" si="20"/>
        <v>0</v>
      </c>
      <c r="R84" s="123">
        <f t="shared" ca="1" si="22"/>
        <v>0</v>
      </c>
      <c r="S84" s="6">
        <f t="shared" si="80"/>
        <v>0</v>
      </c>
      <c r="T84" s="63">
        <f t="shared" si="76"/>
        <v>0</v>
      </c>
      <c r="U84" s="48" t="str">
        <f t="shared" si="77"/>
        <v>사용없음</v>
      </c>
      <c r="V84" s="50" t="str">
        <f t="shared" si="16"/>
        <v>없음</v>
      </c>
      <c r="W84" s="177">
        <v>0</v>
      </c>
      <c r="X84" s="178">
        <v>0</v>
      </c>
      <c r="Y84" s="221">
        <f t="shared" si="89"/>
        <v>0</v>
      </c>
      <c r="Z84" s="221">
        <f t="shared" ca="1" si="23"/>
        <v>0</v>
      </c>
      <c r="AA84" s="46" t="str">
        <f t="shared" si="78"/>
        <v>X</v>
      </c>
      <c r="AB84" s="65" t="str">
        <f t="shared" si="79"/>
        <v>C</v>
      </c>
      <c r="AC84" s="76">
        <f>COUNTIF(BOM!B:B,원재료!B84)</f>
        <v>0</v>
      </c>
      <c r="AD84" s="103" t="str">
        <f t="shared" si="107"/>
        <v>원료대체검토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8">
        <v>0</v>
      </c>
      <c r="AQ84" s="27">
        <f>SUMIF(BOM!$B:$B,원재료!$B84,BOM!E:E)</f>
        <v>0</v>
      </c>
      <c r="AR84" s="27">
        <f>SUMIF(BOM!$B:$B,원재료!$B84,BOM!F:F)</f>
        <v>0</v>
      </c>
      <c r="AS84" s="27">
        <f>SUMIF(BOM!$B:$B,원재료!$B84,BOM!G:G)</f>
        <v>0</v>
      </c>
      <c r="AT84" s="27">
        <f>SUMIF(BOM!$B:$B,원재료!$B84,BOM!H:H)</f>
        <v>0</v>
      </c>
      <c r="AU84" s="27">
        <f>SUMIF(BOM!$B:$B,원재료!$B84,BOM!I:I)</f>
        <v>0</v>
      </c>
      <c r="AV84" s="27">
        <f>SUMIF(BOM!$B:$B,원재료!$B84,BOM!J:J)</f>
        <v>0</v>
      </c>
      <c r="AW84" s="27">
        <f>SUMIF(BOM!$B:$B,원재료!$B84,BOM!K:K)</f>
        <v>0</v>
      </c>
      <c r="AX84" s="27">
        <f>SUMIF(BOM!$B:$B,원재료!$B84,BOM!L:L)</f>
        <v>0</v>
      </c>
      <c r="AY84" s="27">
        <f>SUMIF(BOM!$B:$B,원재료!$B84,BOM!M:M)</f>
        <v>0</v>
      </c>
      <c r="AZ84" s="27">
        <f>SUMIF(BOM!$B:$B,원재료!$B84,BOM!N:N)</f>
        <v>0</v>
      </c>
      <c r="BA84" s="27">
        <f>SUMIF(BOM!$B:$B,원재료!$B84,BOM!O:O)</f>
        <v>0</v>
      </c>
      <c r="BB84" s="28">
        <f>SUMIF(BOM!$B:$B,원재료!$B84,BOM!P:P)</f>
        <v>0</v>
      </c>
    </row>
    <row r="85" spans="1:54" x14ac:dyDescent="0.3">
      <c r="A85" s="21" t="s">
        <v>129</v>
      </c>
      <c r="C85" s="80" t="s">
        <v>115</v>
      </c>
      <c r="D85" s="344"/>
      <c r="E85" s="113">
        <v>524</v>
      </c>
      <c r="F85" s="113">
        <v>4776</v>
      </c>
      <c r="G85" s="22">
        <f t="shared" si="103"/>
        <v>2502624</v>
      </c>
      <c r="H85" s="113">
        <v>4776</v>
      </c>
      <c r="I85" s="22">
        <f t="shared" si="104"/>
        <v>2502624</v>
      </c>
      <c r="J85" s="22"/>
      <c r="L85" s="22">
        <f t="shared" si="105"/>
        <v>0</v>
      </c>
      <c r="O85" s="22">
        <f t="shared" si="106"/>
        <v>0</v>
      </c>
      <c r="Q85" s="22">
        <f t="shared" ca="1" si="20"/>
        <v>0</v>
      </c>
      <c r="R85" s="123">
        <f t="shared" ca="1" si="22"/>
        <v>0</v>
      </c>
      <c r="S85" s="6">
        <f t="shared" si="80"/>
        <v>0</v>
      </c>
      <c r="T85" s="63">
        <f t="shared" si="76"/>
        <v>0</v>
      </c>
      <c r="U85" s="48" t="str">
        <f t="shared" si="77"/>
        <v>사용없음</v>
      </c>
      <c r="V85" s="50" t="str">
        <f t="shared" si="16"/>
        <v>없음</v>
      </c>
      <c r="W85" s="177">
        <v>0</v>
      </c>
      <c r="X85" s="178">
        <v>0</v>
      </c>
      <c r="Y85" s="221">
        <f t="shared" si="89"/>
        <v>0</v>
      </c>
      <c r="Z85" s="221">
        <f t="shared" ca="1" si="23"/>
        <v>0</v>
      </c>
      <c r="AA85" s="46" t="str">
        <f t="shared" si="78"/>
        <v>X</v>
      </c>
      <c r="AB85" s="65" t="str">
        <f t="shared" si="79"/>
        <v>C</v>
      </c>
      <c r="AC85" s="76">
        <f>COUNTIF(BOM!B:B,원재료!B85)</f>
        <v>0</v>
      </c>
      <c r="AD85" s="103" t="str">
        <f t="shared" si="107"/>
        <v>원료대체검토</v>
      </c>
      <c r="AE85" s="27">
        <v>0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8">
        <v>0</v>
      </c>
      <c r="AQ85" s="27">
        <f>SUMIF(BOM!$B:$B,원재료!$B85,BOM!E:E)</f>
        <v>0</v>
      </c>
      <c r="AR85" s="27">
        <f>SUMIF(BOM!$B:$B,원재료!$B85,BOM!F:F)</f>
        <v>0</v>
      </c>
      <c r="AS85" s="27">
        <f>SUMIF(BOM!$B:$B,원재료!$B85,BOM!G:G)</f>
        <v>0</v>
      </c>
      <c r="AT85" s="27">
        <f>SUMIF(BOM!$B:$B,원재료!$B85,BOM!H:H)</f>
        <v>0</v>
      </c>
      <c r="AU85" s="27">
        <f>SUMIF(BOM!$B:$B,원재료!$B85,BOM!I:I)</f>
        <v>0</v>
      </c>
      <c r="AV85" s="27">
        <f>SUMIF(BOM!$B:$B,원재료!$B85,BOM!J:J)</f>
        <v>0</v>
      </c>
      <c r="AW85" s="27">
        <f>SUMIF(BOM!$B:$B,원재료!$B85,BOM!K:K)</f>
        <v>0</v>
      </c>
      <c r="AX85" s="27">
        <f>SUMIF(BOM!$B:$B,원재료!$B85,BOM!L:L)</f>
        <v>0</v>
      </c>
      <c r="AY85" s="27">
        <f>SUMIF(BOM!$B:$B,원재료!$B85,BOM!M:M)</f>
        <v>0</v>
      </c>
      <c r="AZ85" s="27">
        <f>SUMIF(BOM!$B:$B,원재료!$B85,BOM!N:N)</f>
        <v>0</v>
      </c>
      <c r="BA85" s="27">
        <f>SUMIF(BOM!$B:$B,원재료!$B85,BOM!O:O)</f>
        <v>0</v>
      </c>
      <c r="BB85" s="28">
        <f>SUMIF(BOM!$B:$B,원재료!$B85,BOM!P:P)</f>
        <v>0</v>
      </c>
    </row>
    <row r="86" spans="1:54" x14ac:dyDescent="0.3">
      <c r="A86" s="21" t="s">
        <v>129</v>
      </c>
      <c r="C86" s="80" t="s">
        <v>116</v>
      </c>
      <c r="D86" s="344"/>
      <c r="E86" s="113">
        <v>661</v>
      </c>
      <c r="F86" s="113">
        <v>599</v>
      </c>
      <c r="G86" s="22">
        <f t="shared" si="103"/>
        <v>395939</v>
      </c>
      <c r="H86" s="113">
        <v>599</v>
      </c>
      <c r="I86" s="22">
        <f t="shared" si="104"/>
        <v>395939</v>
      </c>
      <c r="J86" s="22"/>
      <c r="L86" s="22">
        <f t="shared" si="105"/>
        <v>0</v>
      </c>
      <c r="O86" s="22">
        <f t="shared" si="106"/>
        <v>0</v>
      </c>
      <c r="Q86" s="22">
        <f t="shared" ca="1" si="20"/>
        <v>0</v>
      </c>
      <c r="R86" s="123">
        <f t="shared" ca="1" si="22"/>
        <v>0</v>
      </c>
      <c r="S86" s="6">
        <f t="shared" si="80"/>
        <v>0</v>
      </c>
      <c r="T86" s="63">
        <f t="shared" si="76"/>
        <v>0</v>
      </c>
      <c r="U86" s="48" t="str">
        <f t="shared" si="77"/>
        <v>사용없음</v>
      </c>
      <c r="V86" s="50" t="str">
        <f t="shared" si="16"/>
        <v>없음</v>
      </c>
      <c r="W86" s="177">
        <v>0</v>
      </c>
      <c r="X86" s="178">
        <v>0</v>
      </c>
      <c r="Y86" s="221">
        <f t="shared" si="89"/>
        <v>0</v>
      </c>
      <c r="Z86" s="221">
        <f t="shared" ca="1" si="23"/>
        <v>0</v>
      </c>
      <c r="AA86" s="46" t="str">
        <f t="shared" si="78"/>
        <v>X</v>
      </c>
      <c r="AB86" s="65" t="str">
        <f t="shared" si="79"/>
        <v>C</v>
      </c>
      <c r="AC86" s="76">
        <f>COUNTIF(BOM!B:B,원재료!B86)</f>
        <v>0</v>
      </c>
      <c r="AD86" s="103" t="str">
        <f t="shared" si="107"/>
        <v>원료대체검토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8">
        <v>0</v>
      </c>
      <c r="AQ86" s="27">
        <f>SUMIF(BOM!$B:$B,원재료!$B86,BOM!E:E)</f>
        <v>0</v>
      </c>
      <c r="AR86" s="27">
        <f>SUMIF(BOM!$B:$B,원재료!$B86,BOM!F:F)</f>
        <v>0</v>
      </c>
      <c r="AS86" s="27">
        <f>SUMIF(BOM!$B:$B,원재료!$B86,BOM!G:G)</f>
        <v>0</v>
      </c>
      <c r="AT86" s="27">
        <f>SUMIF(BOM!$B:$B,원재료!$B86,BOM!H:H)</f>
        <v>0</v>
      </c>
      <c r="AU86" s="27">
        <f>SUMIF(BOM!$B:$B,원재료!$B86,BOM!I:I)</f>
        <v>0</v>
      </c>
      <c r="AV86" s="27">
        <f>SUMIF(BOM!$B:$B,원재료!$B86,BOM!J:J)</f>
        <v>0</v>
      </c>
      <c r="AW86" s="27">
        <f>SUMIF(BOM!$B:$B,원재료!$B86,BOM!K:K)</f>
        <v>0</v>
      </c>
      <c r="AX86" s="27">
        <f>SUMIF(BOM!$B:$B,원재료!$B86,BOM!L:L)</f>
        <v>0</v>
      </c>
      <c r="AY86" s="27">
        <f>SUMIF(BOM!$B:$B,원재료!$B86,BOM!M:M)</f>
        <v>0</v>
      </c>
      <c r="AZ86" s="27">
        <f>SUMIF(BOM!$B:$B,원재료!$B86,BOM!N:N)</f>
        <v>0</v>
      </c>
      <c r="BA86" s="27">
        <f>SUMIF(BOM!$B:$B,원재료!$B86,BOM!O:O)</f>
        <v>0</v>
      </c>
      <c r="BB86" s="28">
        <f>SUMIF(BOM!$B:$B,원재료!$B86,BOM!P:P)</f>
        <v>0</v>
      </c>
    </row>
    <row r="87" spans="1:54" x14ac:dyDescent="0.3">
      <c r="A87" s="21" t="s">
        <v>129</v>
      </c>
      <c r="C87" s="80" t="s">
        <v>880</v>
      </c>
      <c r="D87" s="344"/>
      <c r="E87" s="113">
        <v>485</v>
      </c>
      <c r="F87" s="113">
        <v>1589.59</v>
      </c>
      <c r="G87" s="22">
        <f t="shared" si="103"/>
        <v>770951.14999999991</v>
      </c>
      <c r="H87" s="113">
        <v>1589.59</v>
      </c>
      <c r="I87" s="22">
        <f t="shared" si="104"/>
        <v>770951.14999999991</v>
      </c>
      <c r="J87" s="22"/>
      <c r="L87" s="22">
        <f t="shared" si="105"/>
        <v>0</v>
      </c>
      <c r="O87" s="22">
        <f t="shared" si="106"/>
        <v>0</v>
      </c>
      <c r="Q87" s="22">
        <f t="shared" ca="1" si="20"/>
        <v>0</v>
      </c>
      <c r="R87" s="123">
        <f t="shared" ca="1" si="22"/>
        <v>0</v>
      </c>
      <c r="S87" s="6">
        <f t="shared" si="80"/>
        <v>0</v>
      </c>
      <c r="T87" s="63">
        <f t="shared" si="76"/>
        <v>0</v>
      </c>
      <c r="U87" s="48" t="str">
        <f t="shared" si="77"/>
        <v>사용없음</v>
      </c>
      <c r="V87" s="50" t="str">
        <f t="shared" si="16"/>
        <v>없음</v>
      </c>
      <c r="W87" s="177">
        <v>0</v>
      </c>
      <c r="X87" s="178">
        <v>0</v>
      </c>
      <c r="Y87" s="221">
        <f t="shared" si="89"/>
        <v>0</v>
      </c>
      <c r="Z87" s="221">
        <f t="shared" ca="1" si="23"/>
        <v>0</v>
      </c>
      <c r="AA87" s="46" t="str">
        <f t="shared" si="78"/>
        <v>X</v>
      </c>
      <c r="AB87" s="65" t="str">
        <f t="shared" si="79"/>
        <v>C</v>
      </c>
      <c r="AC87" s="76">
        <f>COUNTIF(BOM!B:B,원재료!B87)</f>
        <v>0</v>
      </c>
      <c r="AD87" s="103" t="str">
        <f t="shared" si="107"/>
        <v>원료대체검토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8">
        <v>0</v>
      </c>
      <c r="AQ87" s="27">
        <f>SUMIF(BOM!$B:$B,원재료!$B87,BOM!E:E)</f>
        <v>0</v>
      </c>
      <c r="AR87" s="27">
        <f>SUMIF(BOM!$B:$B,원재료!$B87,BOM!F:F)</f>
        <v>0</v>
      </c>
      <c r="AS87" s="27">
        <f>SUMIF(BOM!$B:$B,원재료!$B87,BOM!G:G)</f>
        <v>0</v>
      </c>
      <c r="AT87" s="27">
        <f>SUMIF(BOM!$B:$B,원재료!$B87,BOM!H:H)</f>
        <v>0</v>
      </c>
      <c r="AU87" s="27">
        <f>SUMIF(BOM!$B:$B,원재료!$B87,BOM!I:I)</f>
        <v>0</v>
      </c>
      <c r="AV87" s="27">
        <f>SUMIF(BOM!$B:$B,원재료!$B87,BOM!J:J)</f>
        <v>0</v>
      </c>
      <c r="AW87" s="27">
        <f>SUMIF(BOM!$B:$B,원재료!$B87,BOM!K:K)</f>
        <v>0</v>
      </c>
      <c r="AX87" s="27">
        <f>SUMIF(BOM!$B:$B,원재료!$B87,BOM!L:L)</f>
        <v>0</v>
      </c>
      <c r="AY87" s="27">
        <f>SUMIF(BOM!$B:$B,원재료!$B87,BOM!M:M)</f>
        <v>0</v>
      </c>
      <c r="AZ87" s="27">
        <f>SUMIF(BOM!$B:$B,원재료!$B87,BOM!N:N)</f>
        <v>0</v>
      </c>
      <c r="BA87" s="27">
        <f>SUMIF(BOM!$B:$B,원재료!$B87,BOM!O:O)</f>
        <v>0</v>
      </c>
      <c r="BB87" s="28">
        <f>SUMIF(BOM!$B:$B,원재료!$B87,BOM!P:P)</f>
        <v>0</v>
      </c>
    </row>
    <row r="88" spans="1:54" x14ac:dyDescent="0.3">
      <c r="A88" s="21" t="s">
        <v>129</v>
      </c>
      <c r="C88" s="80" t="s">
        <v>117</v>
      </c>
      <c r="D88" s="344"/>
      <c r="E88" s="113">
        <v>505</v>
      </c>
      <c r="F88" s="113">
        <v>4598.04</v>
      </c>
      <c r="G88" s="22">
        <f t="shared" si="103"/>
        <v>2322010.2000000002</v>
      </c>
      <c r="H88" s="113">
        <v>4598.04</v>
      </c>
      <c r="I88" s="22">
        <f t="shared" si="104"/>
        <v>2322010.2000000002</v>
      </c>
      <c r="J88" s="22"/>
      <c r="L88" s="22">
        <f t="shared" si="105"/>
        <v>0</v>
      </c>
      <c r="O88" s="22">
        <f t="shared" si="106"/>
        <v>0</v>
      </c>
      <c r="Q88" s="22">
        <f t="shared" ca="1" si="20"/>
        <v>0</v>
      </c>
      <c r="R88" s="123">
        <f t="shared" ca="1" si="22"/>
        <v>0</v>
      </c>
      <c r="S88" s="6">
        <f t="shared" si="80"/>
        <v>0</v>
      </c>
      <c r="T88" s="63">
        <f t="shared" si="76"/>
        <v>0</v>
      </c>
      <c r="U88" s="48" t="str">
        <f t="shared" si="77"/>
        <v>사용없음</v>
      </c>
      <c r="V88" s="50" t="str">
        <f>IF(F88=0,"재고없음",IF(AND(J88=0,M88=0,P88=0),"없음",MIN(J88,M88,P88)))</f>
        <v>없음</v>
      </c>
      <c r="W88" s="177">
        <v>0</v>
      </c>
      <c r="X88" s="178">
        <v>0</v>
      </c>
      <c r="Y88" s="221">
        <f t="shared" si="89"/>
        <v>0</v>
      </c>
      <c r="Z88" s="221">
        <f t="shared" ca="1" si="23"/>
        <v>0</v>
      </c>
      <c r="AA88" s="46" t="str">
        <f t="shared" si="78"/>
        <v>X</v>
      </c>
      <c r="AB88" s="65" t="str">
        <f t="shared" si="79"/>
        <v>C</v>
      </c>
      <c r="AC88" s="76">
        <f>COUNTIF(BOM!B:B,원재료!B88)</f>
        <v>0</v>
      </c>
      <c r="AD88" s="103" t="str">
        <f t="shared" si="107"/>
        <v>원료대체검토</v>
      </c>
      <c r="AE88" s="27">
        <v>0</v>
      </c>
      <c r="AF88" s="27">
        <v>0</v>
      </c>
      <c r="AG88" s="27">
        <v>0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8">
        <v>0</v>
      </c>
      <c r="AQ88" s="27">
        <f>SUMIF(BOM!$B:$B,원재료!$B88,BOM!E:E)</f>
        <v>0</v>
      </c>
      <c r="AR88" s="27">
        <f>SUMIF(BOM!$B:$B,원재료!$B88,BOM!F:F)</f>
        <v>0</v>
      </c>
      <c r="AS88" s="27">
        <f>SUMIF(BOM!$B:$B,원재료!$B88,BOM!G:G)</f>
        <v>0</v>
      </c>
      <c r="AT88" s="27">
        <f>SUMIF(BOM!$B:$B,원재료!$B88,BOM!H:H)</f>
        <v>0</v>
      </c>
      <c r="AU88" s="27">
        <f>SUMIF(BOM!$B:$B,원재료!$B88,BOM!I:I)</f>
        <v>0</v>
      </c>
      <c r="AV88" s="27">
        <f>SUMIF(BOM!$B:$B,원재료!$B88,BOM!J:J)</f>
        <v>0</v>
      </c>
      <c r="AW88" s="27">
        <f>SUMIF(BOM!$B:$B,원재료!$B88,BOM!K:K)</f>
        <v>0</v>
      </c>
      <c r="AX88" s="27">
        <f>SUMIF(BOM!$B:$B,원재료!$B88,BOM!L:L)</f>
        <v>0</v>
      </c>
      <c r="AY88" s="27">
        <f>SUMIF(BOM!$B:$B,원재료!$B88,BOM!M:M)</f>
        <v>0</v>
      </c>
      <c r="AZ88" s="27">
        <f>SUMIF(BOM!$B:$B,원재료!$B88,BOM!N:N)</f>
        <v>0</v>
      </c>
      <c r="BA88" s="27">
        <f>SUMIF(BOM!$B:$B,원재료!$B88,BOM!O:O)</f>
        <v>0</v>
      </c>
      <c r="BB88" s="28">
        <f>SUMIF(BOM!$B:$B,원재료!$B88,BOM!P:P)</f>
        <v>0</v>
      </c>
    </row>
    <row r="89" spans="1:54" x14ac:dyDescent="0.3">
      <c r="A89" s="21" t="s">
        <v>129</v>
      </c>
      <c r="C89" s="80" t="s">
        <v>118</v>
      </c>
      <c r="D89" s="344"/>
      <c r="E89" s="113">
        <v>527</v>
      </c>
      <c r="F89" s="113">
        <v>685</v>
      </c>
      <c r="G89" s="22">
        <f t="shared" si="103"/>
        <v>360995</v>
      </c>
      <c r="H89" s="113">
        <v>685</v>
      </c>
      <c r="I89" s="22">
        <f t="shared" si="104"/>
        <v>360995</v>
      </c>
      <c r="J89" s="22"/>
      <c r="L89" s="22">
        <f t="shared" si="105"/>
        <v>0</v>
      </c>
      <c r="O89" s="22">
        <f t="shared" si="106"/>
        <v>0</v>
      </c>
      <c r="Q89" s="22">
        <f ca="1">IFERROR(R89/E89,0)</f>
        <v>0</v>
      </c>
      <c r="R89" s="123">
        <f t="shared" ca="1" si="22"/>
        <v>0</v>
      </c>
      <c r="S89" s="6">
        <f t="shared" si="80"/>
        <v>0</v>
      </c>
      <c r="T89" s="63">
        <f t="shared" si="76"/>
        <v>0</v>
      </c>
      <c r="U89" s="48" t="str">
        <f t="shared" si="77"/>
        <v>사용없음</v>
      </c>
      <c r="V89" s="50" t="str">
        <f>IF(F89=0,"재고없음",IF(AND(J89=0,M89=0,P89=0),"없음",MIN(J89,M89,P89)))</f>
        <v>없음</v>
      </c>
      <c r="W89" s="177">
        <v>0</v>
      </c>
      <c r="X89" s="178">
        <v>0</v>
      </c>
      <c r="Y89" s="221">
        <f t="shared" si="89"/>
        <v>0</v>
      </c>
      <c r="Z89" s="221">
        <f t="shared" ca="1" si="23"/>
        <v>0</v>
      </c>
      <c r="AA89" s="46" t="str">
        <f t="shared" si="78"/>
        <v>X</v>
      </c>
      <c r="AB89" s="65" t="str">
        <f t="shared" si="79"/>
        <v>C</v>
      </c>
      <c r="AC89" s="76">
        <f>COUNTIF(BOM!B:B,원재료!B89)</f>
        <v>0</v>
      </c>
      <c r="AD89" s="103" t="str">
        <f t="shared" si="107"/>
        <v>원료대체검토</v>
      </c>
      <c r="AE89" s="27">
        <v>0</v>
      </c>
      <c r="AF89" s="27">
        <v>0</v>
      </c>
      <c r="AG89" s="27"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0</v>
      </c>
      <c r="AO89" s="27">
        <v>0</v>
      </c>
      <c r="AP89" s="28">
        <v>0</v>
      </c>
      <c r="AQ89" s="27">
        <f>SUMIF(BOM!$B:$B,원재료!$B89,BOM!E:E)</f>
        <v>0</v>
      </c>
      <c r="AR89" s="27">
        <f>SUMIF(BOM!$B:$B,원재료!$B89,BOM!F:F)</f>
        <v>0</v>
      </c>
      <c r="AS89" s="27">
        <f>SUMIF(BOM!$B:$B,원재료!$B89,BOM!G:G)</f>
        <v>0</v>
      </c>
      <c r="AT89" s="27">
        <f>SUMIF(BOM!$B:$B,원재료!$B89,BOM!H:H)</f>
        <v>0</v>
      </c>
      <c r="AU89" s="27">
        <f>SUMIF(BOM!$B:$B,원재료!$B89,BOM!I:I)</f>
        <v>0</v>
      </c>
      <c r="AV89" s="27">
        <f>SUMIF(BOM!$B:$B,원재료!$B89,BOM!J:J)</f>
        <v>0</v>
      </c>
      <c r="AW89" s="27">
        <f>SUMIF(BOM!$B:$B,원재료!$B89,BOM!K:K)</f>
        <v>0</v>
      </c>
      <c r="AX89" s="27">
        <f>SUMIF(BOM!$B:$B,원재료!$B89,BOM!L:L)</f>
        <v>0</v>
      </c>
      <c r="AY89" s="27">
        <f>SUMIF(BOM!$B:$B,원재료!$B89,BOM!M:M)</f>
        <v>0</v>
      </c>
      <c r="AZ89" s="27">
        <f>SUMIF(BOM!$B:$B,원재료!$B89,BOM!N:N)</f>
        <v>0</v>
      </c>
      <c r="BA89" s="27">
        <f>SUMIF(BOM!$B:$B,원재료!$B89,BOM!O:O)</f>
        <v>0</v>
      </c>
      <c r="BB89" s="28">
        <f>SUMIF(BOM!$B:$B,원재료!$B89,BOM!P:P)</f>
        <v>0</v>
      </c>
    </row>
    <row r="90" spans="1:54" x14ac:dyDescent="0.3">
      <c r="A90" s="21" t="s">
        <v>129</v>
      </c>
      <c r="B90" s="263">
        <v>3262631</v>
      </c>
      <c r="C90" s="263" t="s">
        <v>768</v>
      </c>
      <c r="D90" s="344"/>
      <c r="E90" s="113">
        <f>175.034+27.25</f>
        <v>202.28399999999999</v>
      </c>
      <c r="F90" s="113">
        <f>+H90+K90+N90</f>
        <v>96440</v>
      </c>
      <c r="G90" s="22">
        <f t="shared" si="103"/>
        <v>19508268.960000001</v>
      </c>
      <c r="H90" s="113">
        <v>16440</v>
      </c>
      <c r="I90" s="22">
        <f t="shared" si="104"/>
        <v>3325548.96</v>
      </c>
      <c r="J90" s="22"/>
      <c r="K90" s="364">
        <v>80000</v>
      </c>
      <c r="L90" s="22">
        <f t="shared" ref="L90:L92" si="108">+$E90*K90</f>
        <v>16182720</v>
      </c>
      <c r="O90" s="22">
        <f t="shared" ref="O90:O92" si="109">+$E90*N90</f>
        <v>0</v>
      </c>
      <c r="Q90" s="22">
        <f t="shared" ref="Q90:Q92" ca="1" si="110">IFERROR(R90/E90,0)</f>
        <v>0</v>
      </c>
      <c r="R90" s="123">
        <f t="shared" ca="1" si="22"/>
        <v>0</v>
      </c>
      <c r="S90" s="6">
        <f t="shared" si="80"/>
        <v>11000</v>
      </c>
      <c r="T90" s="63">
        <f t="shared" si="76"/>
        <v>8.7672727272727276</v>
      </c>
      <c r="U90" s="48">
        <f t="shared" ca="1" si="77"/>
        <v>46066.018181818181</v>
      </c>
      <c r="V90" s="50" t="str">
        <f t="shared" ref="V90:V92" si="111">IF(F90=0,"재고없음",IF(AND(J90=0,M90=0,P90=0),"없음",MIN(J90,M90,P90)))</f>
        <v>없음</v>
      </c>
      <c r="W90" s="177">
        <v>60</v>
      </c>
      <c r="X90" s="178">
        <v>1</v>
      </c>
      <c r="Y90" s="221">
        <f t="shared" ref="Y90:Y92" si="112">+S90*W90/30</f>
        <v>22000</v>
      </c>
      <c r="Z90" s="221">
        <f t="shared" ca="1" si="23"/>
        <v>0</v>
      </c>
      <c r="AA90" s="46">
        <f t="shared" ca="1" si="78"/>
        <v>0</v>
      </c>
      <c r="AB90" s="65" t="str">
        <f t="shared" ca="1" si="79"/>
        <v>C</v>
      </c>
      <c r="AC90" s="76">
        <f>COUNTIF(BOM!B:B,원재료!B90)</f>
        <v>1</v>
      </c>
      <c r="AD90" s="103" t="str">
        <f t="shared" ref="AD90:AD92" ca="1" si="113">IF(AND(AA90="X",AB90="C",AC90&lt;2),"원료대체검토",IF(AND(AA90="X",AB90="C"),"소진계획필요","판매활성화"))</f>
        <v>판매활성화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8">
        <v>0</v>
      </c>
      <c r="AQ90" s="27">
        <f>SUMIF(BOM!$B:$B,원재료!$B90,BOM!E:E)</f>
        <v>15000</v>
      </c>
      <c r="AR90" s="27">
        <f>SUMIF(BOM!$B:$B,원재료!$B90,BOM!F:F)</f>
        <v>20000</v>
      </c>
      <c r="AS90" s="27">
        <f>SUMIF(BOM!$B:$B,원재료!$B90,BOM!G:G)</f>
        <v>20000</v>
      </c>
      <c r="AT90" s="27">
        <f>SUMIF(BOM!$B:$B,원재료!$B90,BOM!H:H)</f>
        <v>0</v>
      </c>
      <c r="AU90" s="27">
        <f>SUMIF(BOM!$B:$B,원재료!$B90,BOM!I:I)</f>
        <v>0</v>
      </c>
      <c r="AV90" s="27">
        <f>SUMIF(BOM!$B:$B,원재료!$B90,BOM!J:J)</f>
        <v>0</v>
      </c>
      <c r="AW90" s="27">
        <f>SUMIF(BOM!$B:$B,원재료!$B90,BOM!K:K)</f>
        <v>0</v>
      </c>
      <c r="AX90" s="27">
        <f>SUMIF(BOM!$B:$B,원재료!$B90,BOM!L:L)</f>
        <v>0</v>
      </c>
      <c r="AY90" s="27">
        <f>SUMIF(BOM!$B:$B,원재료!$B90,BOM!M:M)</f>
        <v>0</v>
      </c>
      <c r="AZ90" s="27">
        <f>SUMIF(BOM!$B:$B,원재료!$B90,BOM!N:N)</f>
        <v>0</v>
      </c>
      <c r="BA90" s="27">
        <f>SUMIF(BOM!$B:$B,원재료!$B90,BOM!O:O)</f>
        <v>0</v>
      </c>
      <c r="BB90" s="28">
        <f>SUMIF(BOM!$B:$B,원재료!$B90,BOM!P:P)</f>
        <v>0</v>
      </c>
    </row>
    <row r="91" spans="1:54" x14ac:dyDescent="0.3">
      <c r="A91" s="21" t="s">
        <v>129</v>
      </c>
      <c r="B91" s="125">
        <v>3367551</v>
      </c>
      <c r="C91" s="125" t="s">
        <v>769</v>
      </c>
      <c r="D91" s="344"/>
      <c r="E91" s="113">
        <f>80+1636</f>
        <v>1716</v>
      </c>
      <c r="F91" s="113">
        <f t="shared" ref="F91:F92" si="114">+H91+K91+N91</f>
        <v>11700</v>
      </c>
      <c r="G91" s="22">
        <f t="shared" si="103"/>
        <v>20077200</v>
      </c>
      <c r="H91" s="113">
        <v>1700</v>
      </c>
      <c r="I91" s="22">
        <f t="shared" si="104"/>
        <v>2917200</v>
      </c>
      <c r="J91" s="22"/>
      <c r="K91" s="364">
        <v>10000</v>
      </c>
      <c r="L91" s="22">
        <f t="shared" si="108"/>
        <v>17160000</v>
      </c>
      <c r="O91" s="22">
        <f t="shared" si="109"/>
        <v>0</v>
      </c>
      <c r="Q91" s="22">
        <f t="shared" ca="1" si="110"/>
        <v>0</v>
      </c>
      <c r="R91" s="123">
        <f t="shared" ca="1" si="22"/>
        <v>0</v>
      </c>
      <c r="S91" s="6">
        <f t="shared" si="80"/>
        <v>1100</v>
      </c>
      <c r="T91" s="63">
        <f t="shared" si="76"/>
        <v>10.636363636363637</v>
      </c>
      <c r="U91" s="48">
        <f t="shared" ca="1" si="77"/>
        <v>46122.090909090912</v>
      </c>
      <c r="V91" s="50" t="str">
        <f t="shared" si="111"/>
        <v>없음</v>
      </c>
      <c r="W91" s="177">
        <v>60</v>
      </c>
      <c r="X91" s="178">
        <v>1</v>
      </c>
      <c r="Y91" s="221">
        <f t="shared" si="112"/>
        <v>2200</v>
      </c>
      <c r="Z91" s="221">
        <f t="shared" ca="1" si="23"/>
        <v>0</v>
      </c>
      <c r="AA91" s="46">
        <f t="shared" ca="1" si="78"/>
        <v>0</v>
      </c>
      <c r="AB91" s="65" t="str">
        <f t="shared" ca="1" si="79"/>
        <v>C</v>
      </c>
      <c r="AC91" s="76">
        <f>COUNTIF(BOM!B:B,원재료!B91)</f>
        <v>1</v>
      </c>
      <c r="AD91" s="103" t="str">
        <f t="shared" ca="1" si="113"/>
        <v>판매활성화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0</v>
      </c>
      <c r="AO91" s="27">
        <v>0</v>
      </c>
      <c r="AP91" s="28">
        <v>0</v>
      </c>
      <c r="AQ91" s="27">
        <f>SUMIF(BOM!$B:$B,원재료!$B91,BOM!E:E)</f>
        <v>1500</v>
      </c>
      <c r="AR91" s="27">
        <f>SUMIF(BOM!$B:$B,원재료!$B91,BOM!F:F)</f>
        <v>2000</v>
      </c>
      <c r="AS91" s="27">
        <f>SUMIF(BOM!$B:$B,원재료!$B91,BOM!G:G)</f>
        <v>0</v>
      </c>
      <c r="AT91" s="27">
        <f>SUMIF(BOM!$B:$B,원재료!$B91,BOM!H:H)</f>
        <v>2000</v>
      </c>
      <c r="AU91" s="27">
        <f>SUMIF(BOM!$B:$B,원재료!$B91,BOM!I:I)</f>
        <v>0</v>
      </c>
      <c r="AV91" s="27">
        <f>SUMIF(BOM!$B:$B,원재료!$B91,BOM!J:J)</f>
        <v>0</v>
      </c>
      <c r="AW91" s="27">
        <f>SUMIF(BOM!$B:$B,원재료!$B91,BOM!K:K)</f>
        <v>0</v>
      </c>
      <c r="AX91" s="27">
        <f>SUMIF(BOM!$B:$B,원재료!$B91,BOM!L:L)</f>
        <v>0</v>
      </c>
      <c r="AY91" s="27">
        <f>SUMIF(BOM!$B:$B,원재료!$B91,BOM!M:M)</f>
        <v>0</v>
      </c>
      <c r="AZ91" s="27">
        <f>SUMIF(BOM!$B:$B,원재료!$B91,BOM!N:N)</f>
        <v>0</v>
      </c>
      <c r="BA91" s="27">
        <f>SUMIF(BOM!$B:$B,원재료!$B91,BOM!O:O)</f>
        <v>0</v>
      </c>
      <c r="BB91" s="28">
        <f>SUMIF(BOM!$B:$B,원재료!$B91,BOM!P:P)</f>
        <v>0</v>
      </c>
    </row>
    <row r="92" spans="1:54" x14ac:dyDescent="0.3">
      <c r="A92" s="21" t="s">
        <v>129</v>
      </c>
      <c r="B92" s="125">
        <v>3328051</v>
      </c>
      <c r="C92" s="125" t="s">
        <v>23</v>
      </c>
      <c r="D92" s="344"/>
      <c r="E92" s="113">
        <v>86</v>
      </c>
      <c r="F92" s="113">
        <f t="shared" si="114"/>
        <v>98000</v>
      </c>
      <c r="G92" s="22">
        <f t="shared" si="103"/>
        <v>8428000</v>
      </c>
      <c r="H92" s="113">
        <v>98000</v>
      </c>
      <c r="I92" s="22">
        <f t="shared" si="104"/>
        <v>8428000</v>
      </c>
      <c r="J92" s="22"/>
      <c r="L92" s="22">
        <f t="shared" si="108"/>
        <v>0</v>
      </c>
      <c r="O92" s="22">
        <f t="shared" si="109"/>
        <v>0</v>
      </c>
      <c r="Q92" s="22">
        <f t="shared" ca="1" si="110"/>
        <v>0</v>
      </c>
      <c r="R92" s="123">
        <f t="shared" ca="1" si="22"/>
        <v>0</v>
      </c>
      <c r="S92" s="6">
        <f t="shared" si="80"/>
        <v>15000</v>
      </c>
      <c r="T92" s="63">
        <f t="shared" si="76"/>
        <v>6.5333333333333332</v>
      </c>
      <c r="U92" s="48">
        <f t="shared" ca="1" si="77"/>
        <v>45999</v>
      </c>
      <c r="V92" s="50" t="str">
        <f t="shared" si="111"/>
        <v>없음</v>
      </c>
      <c r="W92" s="177">
        <v>60</v>
      </c>
      <c r="X92" s="178">
        <v>1</v>
      </c>
      <c r="Y92" s="221">
        <f t="shared" si="112"/>
        <v>30000</v>
      </c>
      <c r="Z92" s="221">
        <f t="shared" ca="1" si="23"/>
        <v>0</v>
      </c>
      <c r="AA92" s="46">
        <f t="shared" ca="1" si="78"/>
        <v>0</v>
      </c>
      <c r="AB92" s="65" t="str">
        <f t="shared" ca="1" si="79"/>
        <v>C</v>
      </c>
      <c r="AC92" s="76">
        <f>COUNTIF(BOM!B:B,원재료!B92)</f>
        <v>1</v>
      </c>
      <c r="AD92" s="103" t="str">
        <f t="shared" ca="1" si="113"/>
        <v>판매활성화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8">
        <v>0</v>
      </c>
      <c r="AQ92" s="27">
        <f>SUMIF(BOM!$B:$B,원재료!$B92,BOM!E:E)</f>
        <v>0</v>
      </c>
      <c r="AR92" s="27">
        <f>SUMIF(BOM!$B:$B,원재료!$B92,BOM!F:F)</f>
        <v>0</v>
      </c>
      <c r="AS92" s="27">
        <f>SUMIF(BOM!$B:$B,원재료!$B92,BOM!G:G)</f>
        <v>0</v>
      </c>
      <c r="AT92" s="27">
        <f>SUMIF(BOM!$B:$B,원재료!$B92,BOM!H:H)</f>
        <v>75000</v>
      </c>
      <c r="AU92" s="27">
        <f>SUMIF(BOM!$B:$B,원재료!$B92,BOM!I:I)</f>
        <v>0</v>
      </c>
      <c r="AV92" s="27">
        <f>SUMIF(BOM!$B:$B,원재료!$B92,BOM!J:J)</f>
        <v>0</v>
      </c>
      <c r="AW92" s="27">
        <f>SUMIF(BOM!$B:$B,원재료!$B92,BOM!K:K)</f>
        <v>0</v>
      </c>
      <c r="AX92" s="27">
        <f>SUMIF(BOM!$B:$B,원재료!$B92,BOM!L:L)</f>
        <v>0</v>
      </c>
      <c r="AY92" s="27">
        <f>SUMIF(BOM!$B:$B,원재료!$B92,BOM!M:M)</f>
        <v>0</v>
      </c>
      <c r="AZ92" s="27">
        <f>SUMIF(BOM!$B:$B,원재료!$B92,BOM!N:N)</f>
        <v>0</v>
      </c>
      <c r="BA92" s="27">
        <f>SUMIF(BOM!$B:$B,원재료!$B92,BOM!O:O)</f>
        <v>0</v>
      </c>
      <c r="BB92" s="28">
        <f>SUMIF(BOM!$B:$B,원재료!$B92,BOM!P:P)</f>
        <v>0</v>
      </c>
    </row>
    <row r="94" spans="1:54" x14ac:dyDescent="0.3">
      <c r="E94" s="100"/>
      <c r="F94" s="317"/>
    </row>
    <row r="95" spans="1:54" x14ac:dyDescent="0.3">
      <c r="H95" s="124"/>
    </row>
  </sheetData>
  <autoFilter ref="A7:BB92"/>
  <mergeCells count="2">
    <mergeCell ref="AB2:AC2"/>
    <mergeCell ref="AB3:AC3"/>
  </mergeCells>
  <phoneticPr fontId="2" type="noConversion"/>
  <conditionalFormatting sqref="S1:S92">
    <cfRule type="cellIs" dxfId="56" priority="13" operator="equal">
      <formula>"부적합"</formula>
    </cfRule>
    <cfRule type="cellIs" dxfId="55" priority="14" operator="equal">
      <formula>"부적합심각"</formula>
    </cfRule>
  </conditionalFormatting>
  <conditionalFormatting sqref="V6 X6:Z6">
    <cfRule type="cellIs" dxfId="54" priority="94" operator="greaterThan">
      <formula>11</formula>
    </cfRule>
    <cfRule type="cellIs" dxfId="53" priority="95" operator="equal">
      <formula>"부적합"</formula>
    </cfRule>
  </conditionalFormatting>
  <conditionalFormatting sqref="V8:V92">
    <cfRule type="cellIs" dxfId="52" priority="6" operator="lessThan">
      <formula>$S$1+90</formula>
    </cfRule>
    <cfRule type="cellIs" dxfId="51" priority="7" operator="lessThan">
      <formula>$S$1+180</formula>
    </cfRule>
  </conditionalFormatting>
  <conditionalFormatting sqref="W6">
    <cfRule type="cellIs" dxfId="50" priority="32" operator="equal">
      <formula>"부적합"</formula>
    </cfRule>
    <cfRule type="cellIs" dxfId="49" priority="33" operator="equal">
      <formula>"부적합심각"</formula>
    </cfRule>
  </conditionalFormatting>
  <conditionalFormatting sqref="Z8:Z92">
    <cfRule type="cellIs" dxfId="48" priority="1" operator="equal">
      <formula>"O"</formula>
    </cfRule>
  </conditionalFormatting>
  <conditionalFormatting sqref="AA8:AA70">
    <cfRule type="cellIs" dxfId="47" priority="4" operator="equal">
      <formula>"O"</formula>
    </cfRule>
  </conditionalFormatting>
  <conditionalFormatting sqref="AA8:AA92">
    <cfRule type="cellIs" dxfId="46" priority="12" operator="equal">
      <formula>"X"</formula>
    </cfRule>
  </conditionalFormatting>
  <conditionalFormatting sqref="AB3">
    <cfRule type="cellIs" dxfId="45" priority="89" operator="equal">
      <formula>"O"</formula>
    </cfRule>
  </conditionalFormatting>
  <conditionalFormatting sqref="AB8:AB70">
    <cfRule type="cellIs" dxfId="44" priority="3" operator="equal">
      <formula>"A"</formula>
    </cfRule>
  </conditionalFormatting>
  <conditionalFormatting sqref="AB8:AB92">
    <cfRule type="cellIs" dxfId="43" priority="11" operator="equal">
      <formula>"C"</formula>
    </cfRule>
  </conditionalFormatting>
  <conditionalFormatting sqref="AC8:AC92">
    <cfRule type="cellIs" dxfId="42" priority="5" operator="lessThan">
      <formula>2</formula>
    </cfRule>
  </conditionalFormatting>
  <conditionalFormatting sqref="AD1:AD1048576">
    <cfRule type="cellIs" dxfId="41" priority="8" operator="equal">
      <formula>"원료대체검토"</formula>
    </cfRule>
  </conditionalFormatting>
  <conditionalFormatting sqref="AD8:AD92">
    <cfRule type="cellIs" dxfId="40" priority="2" operator="equal">
      <formula>"판매활성화"</formula>
    </cfRule>
    <cfRule type="cellIs" dxfId="39" priority="9" operator="equal">
      <formula>"소진계획필요"</formula>
    </cfRule>
    <cfRule type="cellIs" dxfId="38" priority="10" operator="equal">
      <formula>"단산검토"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59"/>
  <sheetViews>
    <sheetView tabSelected="1" zoomScale="70" zoomScaleNormal="70" workbookViewId="0">
      <pane xSplit="2" topLeftCell="C1" activePane="topRight" state="frozen"/>
      <selection activeCell="J22" sqref="J22"/>
      <selection pane="topRight" activeCell="EC23" sqref="EC23"/>
    </sheetView>
  </sheetViews>
  <sheetFormatPr defaultRowHeight="16.5" x14ac:dyDescent="0.3"/>
  <cols>
    <col min="1" max="1" width="10.25" customWidth="1"/>
    <col min="2" max="2" width="33.875" customWidth="1"/>
    <col min="3" max="3" width="10.125" customWidth="1"/>
    <col min="4" max="4" width="9.625" customWidth="1"/>
    <col min="5" max="15" width="9.625" hidden="1" customWidth="1"/>
    <col min="16" max="35" width="9" hidden="1" customWidth="1"/>
    <col min="36" max="36" width="10" hidden="1" customWidth="1"/>
    <col min="37" max="94" width="9" hidden="1" customWidth="1"/>
    <col min="95" max="124" width="0" hidden="1" customWidth="1"/>
  </cols>
  <sheetData>
    <row r="1" spans="1:181" x14ac:dyDescent="0.3">
      <c r="A1" s="27"/>
      <c r="B1" s="136"/>
      <c r="C1" s="272" t="s">
        <v>777</v>
      </c>
      <c r="D1" s="138">
        <v>31</v>
      </c>
      <c r="E1" s="136"/>
      <c r="F1" s="3"/>
      <c r="G1" s="3"/>
      <c r="H1" s="3"/>
      <c r="I1" s="3"/>
      <c r="J1" s="3"/>
      <c r="K1" s="3"/>
      <c r="L1" s="3"/>
      <c r="M1" s="3"/>
      <c r="N1" s="3"/>
      <c r="O1" s="3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136"/>
      <c r="AK1" s="3"/>
      <c r="AL1" s="3"/>
      <c r="AM1" s="3"/>
      <c r="AN1" s="3"/>
      <c r="AO1" s="3"/>
      <c r="AP1" s="3"/>
      <c r="AQ1" s="3"/>
      <c r="AR1" s="3"/>
      <c r="AS1" s="3"/>
      <c r="AT1" s="3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136"/>
      <c r="BM1" s="3"/>
      <c r="BN1" s="3"/>
      <c r="BO1" s="3"/>
      <c r="BP1" s="3"/>
      <c r="BQ1" s="3"/>
      <c r="BR1" s="3"/>
      <c r="BS1" s="3"/>
      <c r="BT1" s="3"/>
      <c r="BU1" s="3"/>
      <c r="BV1" s="3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314"/>
      <c r="CO1" s="80"/>
      <c r="CP1" s="80"/>
      <c r="CQ1" s="136"/>
      <c r="CR1" s="3"/>
      <c r="CS1" s="3"/>
      <c r="CT1" s="3"/>
      <c r="CU1" s="3"/>
      <c r="CV1" s="3"/>
      <c r="CW1" s="3"/>
      <c r="CX1" s="3"/>
      <c r="CY1" s="3"/>
      <c r="CZ1" s="3"/>
      <c r="DA1" s="3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314"/>
      <c r="DT1" s="80"/>
      <c r="DU1" s="136" t="s">
        <v>529</v>
      </c>
      <c r="DV1" s="3" t="s">
        <v>490</v>
      </c>
      <c r="DW1" s="3" t="s">
        <v>491</v>
      </c>
      <c r="DX1" s="3" t="s">
        <v>492</v>
      </c>
      <c r="DY1" s="3" t="s">
        <v>493</v>
      </c>
      <c r="DZ1" s="3" t="s">
        <v>494</v>
      </c>
      <c r="EA1" s="3" t="s">
        <v>495</v>
      </c>
      <c r="EB1" s="3" t="s">
        <v>496</v>
      </c>
      <c r="EC1" s="3" t="s">
        <v>497</v>
      </c>
      <c r="ED1" s="3" t="s">
        <v>498</v>
      </c>
      <c r="EE1" s="3" t="s">
        <v>499</v>
      </c>
      <c r="EF1" s="80" t="s">
        <v>500</v>
      </c>
      <c r="EG1" s="80" t="s">
        <v>501</v>
      </c>
      <c r="EH1" s="80" t="s">
        <v>502</v>
      </c>
      <c r="EI1" s="80" t="s">
        <v>503</v>
      </c>
      <c r="EJ1" s="80" t="s">
        <v>504</v>
      </c>
      <c r="EK1" s="80" t="s">
        <v>505</v>
      </c>
      <c r="EL1" s="80" t="s">
        <v>506</v>
      </c>
      <c r="EM1" s="80" t="s">
        <v>507</v>
      </c>
      <c r="EN1" s="80" t="s">
        <v>508</v>
      </c>
      <c r="EO1" s="80" t="s">
        <v>509</v>
      </c>
      <c r="EP1" s="80" t="s">
        <v>510</v>
      </c>
      <c r="EQ1" s="80" t="s">
        <v>511</v>
      </c>
      <c r="ER1" s="80" t="s">
        <v>512</v>
      </c>
      <c r="ES1" s="80" t="s">
        <v>513</v>
      </c>
      <c r="ET1" s="80" t="s">
        <v>514</v>
      </c>
      <c r="EU1" s="80" t="s">
        <v>515</v>
      </c>
      <c r="EV1" s="80" t="s">
        <v>516</v>
      </c>
      <c r="EW1" s="314" t="s">
        <v>517</v>
      </c>
      <c r="EX1" s="80" t="s">
        <v>514</v>
      </c>
      <c r="EY1" s="80" t="s">
        <v>518</v>
      </c>
      <c r="EZ1" s="80" t="s">
        <v>519</v>
      </c>
      <c r="FA1" s="80" t="s">
        <v>520</v>
      </c>
      <c r="FB1" s="80" t="s">
        <v>521</v>
      </c>
      <c r="FC1" s="80" t="s">
        <v>522</v>
      </c>
      <c r="FD1" s="80" t="s">
        <v>523</v>
      </c>
      <c r="FE1" s="80" t="s">
        <v>524</v>
      </c>
      <c r="FF1" s="80" t="s">
        <v>525</v>
      </c>
      <c r="FG1" s="80" t="s">
        <v>526</v>
      </c>
      <c r="FH1" s="80" t="s">
        <v>527</v>
      </c>
      <c r="FI1" s="80" t="s">
        <v>528</v>
      </c>
      <c r="FJ1" s="80" t="s">
        <v>840</v>
      </c>
      <c r="FK1" s="101" t="s">
        <v>837</v>
      </c>
      <c r="FL1" s="80" t="s">
        <v>838</v>
      </c>
      <c r="FM1" s="80" t="s">
        <v>839</v>
      </c>
      <c r="FN1" s="80" t="s">
        <v>841</v>
      </c>
      <c r="FO1" s="80" t="s">
        <v>843</v>
      </c>
      <c r="FP1" s="80" t="s">
        <v>842</v>
      </c>
      <c r="FQ1" s="80" t="s">
        <v>844</v>
      </c>
      <c r="FR1" s="80" t="s">
        <v>845</v>
      </c>
      <c r="FS1" s="80" t="s">
        <v>846</v>
      </c>
      <c r="FT1" s="80" t="s">
        <v>847</v>
      </c>
      <c r="FU1" s="80" t="s">
        <v>848</v>
      </c>
      <c r="FV1" s="80" t="s">
        <v>849</v>
      </c>
      <c r="FW1" s="80" t="s">
        <v>908</v>
      </c>
      <c r="FX1" s="101" t="s">
        <v>972</v>
      </c>
      <c r="FY1" s="263">
        <v>340495</v>
      </c>
    </row>
    <row r="2" spans="1:181" x14ac:dyDescent="0.3">
      <c r="A2" s="125"/>
      <c r="B2" s="136"/>
      <c r="C2" s="139" t="s">
        <v>323</v>
      </c>
      <c r="D2" s="138">
        <f>COUNT(DU7:EY7)</f>
        <v>23</v>
      </c>
      <c r="E2" s="136"/>
      <c r="F2" s="8"/>
      <c r="G2" s="8"/>
      <c r="H2" s="8"/>
      <c r="I2" s="8"/>
      <c r="J2" s="8"/>
      <c r="K2" s="8"/>
      <c r="L2" s="8"/>
      <c r="M2" s="8"/>
      <c r="N2" s="8"/>
      <c r="O2" s="8"/>
      <c r="BL2" s="315"/>
      <c r="CP2" s="333"/>
      <c r="DU2" s="315"/>
    </row>
    <row r="3" spans="1:181" x14ac:dyDescent="0.3">
      <c r="A3" s="125"/>
      <c r="B3" s="136"/>
      <c r="C3" s="139" t="s">
        <v>321</v>
      </c>
      <c r="D3" s="328">
        <f>+D2/D1</f>
        <v>0.74193548387096775</v>
      </c>
      <c r="E3" s="136"/>
      <c r="F3" s="8"/>
      <c r="G3" s="271"/>
      <c r="H3" s="8"/>
      <c r="I3" s="8"/>
      <c r="J3" s="8"/>
      <c r="K3" s="8"/>
      <c r="L3" s="8"/>
      <c r="M3" s="8"/>
      <c r="N3" s="8"/>
      <c r="O3" s="8"/>
      <c r="BL3" s="315"/>
      <c r="CP3" s="333"/>
      <c r="DU3" s="315"/>
    </row>
    <row r="4" spans="1:181" x14ac:dyDescent="0.3">
      <c r="A4" s="125"/>
      <c r="B4" s="136"/>
      <c r="C4" s="139" t="s">
        <v>322</v>
      </c>
      <c r="D4" s="328">
        <f>1-D3</f>
        <v>0.25806451612903225</v>
      </c>
      <c r="E4" s="136"/>
      <c r="F4" s="8"/>
      <c r="G4" s="8"/>
      <c r="H4" s="8"/>
      <c r="I4" s="8"/>
      <c r="J4" s="8"/>
      <c r="K4" s="8"/>
      <c r="L4" s="8"/>
      <c r="M4" s="8"/>
      <c r="N4" s="8"/>
      <c r="O4" s="8"/>
      <c r="BL4" s="315"/>
      <c r="CP4" s="333"/>
      <c r="DU4" s="315"/>
    </row>
    <row r="5" spans="1:181" x14ac:dyDescent="0.3">
      <c r="A5" s="125"/>
      <c r="B5" s="136"/>
      <c r="C5" s="14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BL5" s="315"/>
      <c r="CP5" s="333"/>
      <c r="DU5" s="315"/>
    </row>
    <row r="6" spans="1:181" x14ac:dyDescent="0.3">
      <c r="A6" s="128" t="s">
        <v>0</v>
      </c>
      <c r="B6" s="18" t="s">
        <v>1</v>
      </c>
      <c r="C6" s="142" t="s">
        <v>483</v>
      </c>
      <c r="D6" s="140" t="s">
        <v>484</v>
      </c>
      <c r="E6" s="126">
        <v>45658</v>
      </c>
      <c r="F6" s="127">
        <f>+E6+1</f>
        <v>45659</v>
      </c>
      <c r="G6" s="127">
        <f t="shared" ref="G6:O6" si="0">+F6+1</f>
        <v>45660</v>
      </c>
      <c r="H6" s="127">
        <f t="shared" si="0"/>
        <v>45661</v>
      </c>
      <c r="I6" s="127">
        <f t="shared" si="0"/>
        <v>45662</v>
      </c>
      <c r="J6" s="127">
        <f t="shared" si="0"/>
        <v>45663</v>
      </c>
      <c r="K6" s="127">
        <f t="shared" si="0"/>
        <v>45664</v>
      </c>
      <c r="L6" s="127">
        <f t="shared" si="0"/>
        <v>45665</v>
      </c>
      <c r="M6" s="127">
        <f t="shared" si="0"/>
        <v>45666</v>
      </c>
      <c r="N6" s="127">
        <f t="shared" si="0"/>
        <v>45667</v>
      </c>
      <c r="O6" s="127">
        <f t="shared" si="0"/>
        <v>45668</v>
      </c>
      <c r="P6" s="127">
        <f t="shared" ref="P6:AD6" si="1">+O6+1</f>
        <v>45669</v>
      </c>
      <c r="Q6" s="127">
        <f t="shared" si="1"/>
        <v>45670</v>
      </c>
      <c r="R6" s="127">
        <f t="shared" si="1"/>
        <v>45671</v>
      </c>
      <c r="S6" s="127">
        <f t="shared" si="1"/>
        <v>45672</v>
      </c>
      <c r="T6" s="127">
        <f t="shared" si="1"/>
        <v>45673</v>
      </c>
      <c r="U6" s="127">
        <f t="shared" si="1"/>
        <v>45674</v>
      </c>
      <c r="V6" s="127">
        <f t="shared" si="1"/>
        <v>45675</v>
      </c>
      <c r="W6" s="127">
        <f t="shared" si="1"/>
        <v>45676</v>
      </c>
      <c r="X6" s="127">
        <f t="shared" si="1"/>
        <v>45677</v>
      </c>
      <c r="Y6" s="127">
        <f t="shared" si="1"/>
        <v>45678</v>
      </c>
      <c r="Z6" s="127">
        <f t="shared" si="1"/>
        <v>45679</v>
      </c>
      <c r="AA6" s="127">
        <f t="shared" si="1"/>
        <v>45680</v>
      </c>
      <c r="AB6" s="127">
        <f t="shared" si="1"/>
        <v>45681</v>
      </c>
      <c r="AC6" s="127">
        <f t="shared" si="1"/>
        <v>45682</v>
      </c>
      <c r="AD6" s="127">
        <f t="shared" si="1"/>
        <v>45683</v>
      </c>
      <c r="AE6" s="127">
        <f t="shared" ref="AE6:AK6" si="2">+AD6+1</f>
        <v>45684</v>
      </c>
      <c r="AF6" s="127">
        <f t="shared" si="2"/>
        <v>45685</v>
      </c>
      <c r="AG6" s="127">
        <f t="shared" si="2"/>
        <v>45686</v>
      </c>
      <c r="AH6" s="127">
        <f t="shared" si="2"/>
        <v>45687</v>
      </c>
      <c r="AI6" s="129">
        <f t="shared" si="2"/>
        <v>45688</v>
      </c>
      <c r="AJ6" s="126">
        <f t="shared" si="2"/>
        <v>45689</v>
      </c>
      <c r="AK6" s="127">
        <f t="shared" si="2"/>
        <v>45690</v>
      </c>
      <c r="AL6" s="127">
        <f t="shared" ref="AL6:BM6" si="3">+AK6+1</f>
        <v>45691</v>
      </c>
      <c r="AM6" s="127">
        <f t="shared" si="3"/>
        <v>45692</v>
      </c>
      <c r="AN6" s="127">
        <f t="shared" si="3"/>
        <v>45693</v>
      </c>
      <c r="AO6" s="127">
        <f t="shared" si="3"/>
        <v>45694</v>
      </c>
      <c r="AP6" s="127">
        <f t="shared" si="3"/>
        <v>45695</v>
      </c>
      <c r="AQ6" s="127">
        <f t="shared" si="3"/>
        <v>45696</v>
      </c>
      <c r="AR6" s="127">
        <f t="shared" si="3"/>
        <v>45697</v>
      </c>
      <c r="AS6" s="127">
        <f t="shared" si="3"/>
        <v>45698</v>
      </c>
      <c r="AT6" s="127">
        <f t="shared" si="3"/>
        <v>45699</v>
      </c>
      <c r="AU6" s="127">
        <f t="shared" si="3"/>
        <v>45700</v>
      </c>
      <c r="AV6" s="127">
        <f t="shared" si="3"/>
        <v>45701</v>
      </c>
      <c r="AW6" s="127">
        <f t="shared" si="3"/>
        <v>45702</v>
      </c>
      <c r="AX6" s="127">
        <f t="shared" si="3"/>
        <v>45703</v>
      </c>
      <c r="AY6" s="127">
        <f t="shared" si="3"/>
        <v>45704</v>
      </c>
      <c r="AZ6" s="127">
        <f t="shared" si="3"/>
        <v>45705</v>
      </c>
      <c r="BA6" s="127">
        <f t="shared" si="3"/>
        <v>45706</v>
      </c>
      <c r="BB6" s="127">
        <f t="shared" si="3"/>
        <v>45707</v>
      </c>
      <c r="BC6" s="127">
        <f t="shared" si="3"/>
        <v>45708</v>
      </c>
      <c r="BD6" s="127">
        <f t="shared" si="3"/>
        <v>45709</v>
      </c>
      <c r="BE6" s="127">
        <f t="shared" si="3"/>
        <v>45710</v>
      </c>
      <c r="BF6" s="127">
        <f t="shared" si="3"/>
        <v>45711</v>
      </c>
      <c r="BG6" s="127">
        <f t="shared" si="3"/>
        <v>45712</v>
      </c>
      <c r="BH6" s="127">
        <f t="shared" si="3"/>
        <v>45713</v>
      </c>
      <c r="BI6" s="127">
        <f t="shared" si="3"/>
        <v>45714</v>
      </c>
      <c r="BJ6" s="127">
        <f t="shared" si="3"/>
        <v>45715</v>
      </c>
      <c r="BK6" s="127">
        <f t="shared" si="3"/>
        <v>45716</v>
      </c>
      <c r="BL6" s="316">
        <f t="shared" si="3"/>
        <v>45717</v>
      </c>
      <c r="BM6" s="127">
        <f t="shared" si="3"/>
        <v>45718</v>
      </c>
      <c r="BN6" s="127">
        <f t="shared" ref="BN6" si="4">+BM6+1</f>
        <v>45719</v>
      </c>
      <c r="BO6" s="127">
        <f t="shared" ref="BO6" si="5">+BN6+1</f>
        <v>45720</v>
      </c>
      <c r="BP6" s="127">
        <f t="shared" ref="BP6" si="6">+BO6+1</f>
        <v>45721</v>
      </c>
      <c r="BQ6" s="127">
        <f t="shared" ref="BQ6" si="7">+BP6+1</f>
        <v>45722</v>
      </c>
      <c r="BR6" s="127">
        <f t="shared" ref="BR6" si="8">+BQ6+1</f>
        <v>45723</v>
      </c>
      <c r="BS6" s="127">
        <f t="shared" ref="BS6" si="9">+BR6+1</f>
        <v>45724</v>
      </c>
      <c r="BT6" s="127">
        <f t="shared" ref="BT6" si="10">+BS6+1</f>
        <v>45725</v>
      </c>
      <c r="BU6" s="127">
        <f t="shared" ref="BU6" si="11">+BT6+1</f>
        <v>45726</v>
      </c>
      <c r="BV6" s="127">
        <f t="shared" ref="BV6" si="12">+BU6+1</f>
        <v>45727</v>
      </c>
      <c r="BW6" s="127">
        <f t="shared" ref="BW6" si="13">+BV6+1</f>
        <v>45728</v>
      </c>
      <c r="BX6" s="127">
        <f t="shared" ref="BX6" si="14">+BW6+1</f>
        <v>45729</v>
      </c>
      <c r="BY6" s="127">
        <f t="shared" ref="BY6" si="15">+BX6+1</f>
        <v>45730</v>
      </c>
      <c r="BZ6" s="127">
        <f t="shared" ref="BZ6" si="16">+BY6+1</f>
        <v>45731</v>
      </c>
      <c r="CA6" s="127">
        <f t="shared" ref="CA6" si="17">+BZ6+1</f>
        <v>45732</v>
      </c>
      <c r="CB6" s="127">
        <f t="shared" ref="CB6" si="18">+CA6+1</f>
        <v>45733</v>
      </c>
      <c r="CC6" s="127">
        <f t="shared" ref="CC6" si="19">+CB6+1</f>
        <v>45734</v>
      </c>
      <c r="CD6" s="127">
        <f t="shared" ref="CD6" si="20">+CC6+1</f>
        <v>45735</v>
      </c>
      <c r="CE6" s="127">
        <f t="shared" ref="CE6" si="21">+CD6+1</f>
        <v>45736</v>
      </c>
      <c r="CF6" s="127">
        <f t="shared" ref="CF6" si="22">+CE6+1</f>
        <v>45737</v>
      </c>
      <c r="CG6" s="127">
        <f t="shared" ref="CG6" si="23">+CF6+1</f>
        <v>45738</v>
      </c>
      <c r="CH6" s="127">
        <f t="shared" ref="CH6" si="24">+CG6+1</f>
        <v>45739</v>
      </c>
      <c r="CI6" s="127">
        <f t="shared" ref="CI6" si="25">+CH6+1</f>
        <v>45740</v>
      </c>
      <c r="CJ6" s="127">
        <f t="shared" ref="CJ6" si="26">+CI6+1</f>
        <v>45741</v>
      </c>
      <c r="CK6" s="127">
        <f t="shared" ref="CK6" si="27">+CJ6+1</f>
        <v>45742</v>
      </c>
      <c r="CL6" s="127">
        <f t="shared" ref="CL6" si="28">+CK6+1</f>
        <v>45743</v>
      </c>
      <c r="CM6" s="127">
        <f t="shared" ref="CM6" si="29">+CL6+1</f>
        <v>45744</v>
      </c>
      <c r="CN6" s="127">
        <f t="shared" ref="CN6" si="30">+CM6+1</f>
        <v>45745</v>
      </c>
      <c r="CO6" s="127">
        <f t="shared" ref="CO6" si="31">+CN6+1</f>
        <v>45746</v>
      </c>
      <c r="CP6" s="129">
        <f t="shared" ref="CP6" si="32">+CO6+1</f>
        <v>45747</v>
      </c>
      <c r="CQ6" s="127">
        <f t="shared" ref="CQ6:CR6" si="33">+CP6+1</f>
        <v>45748</v>
      </c>
      <c r="CR6" s="127">
        <f t="shared" si="33"/>
        <v>45749</v>
      </c>
      <c r="CS6" s="127">
        <f t="shared" ref="CS6" si="34">+CR6+1</f>
        <v>45750</v>
      </c>
      <c r="CT6" s="127">
        <f t="shared" ref="CT6" si="35">+CS6+1</f>
        <v>45751</v>
      </c>
      <c r="CU6" s="127">
        <f t="shared" ref="CU6" si="36">+CT6+1</f>
        <v>45752</v>
      </c>
      <c r="CV6" s="127">
        <f t="shared" ref="CV6" si="37">+CU6+1</f>
        <v>45753</v>
      </c>
      <c r="CW6" s="127">
        <f t="shared" ref="CW6" si="38">+CV6+1</f>
        <v>45754</v>
      </c>
      <c r="CX6" s="127">
        <f t="shared" ref="CX6" si="39">+CW6+1</f>
        <v>45755</v>
      </c>
      <c r="CY6" s="127">
        <f t="shared" ref="CY6" si="40">+CX6+1</f>
        <v>45756</v>
      </c>
      <c r="CZ6" s="127">
        <f t="shared" ref="CZ6" si="41">+CY6+1</f>
        <v>45757</v>
      </c>
      <c r="DA6" s="127">
        <f t="shared" ref="DA6" si="42">+CZ6+1</f>
        <v>45758</v>
      </c>
      <c r="DB6" s="127">
        <f t="shared" ref="DB6" si="43">+DA6+1</f>
        <v>45759</v>
      </c>
      <c r="DC6" s="127">
        <f t="shared" ref="DC6" si="44">+DB6+1</f>
        <v>45760</v>
      </c>
      <c r="DD6" s="127">
        <f t="shared" ref="DD6" si="45">+DC6+1</f>
        <v>45761</v>
      </c>
      <c r="DE6" s="127">
        <f t="shared" ref="DE6" si="46">+DD6+1</f>
        <v>45762</v>
      </c>
      <c r="DF6" s="127">
        <f t="shared" ref="DF6" si="47">+DE6+1</f>
        <v>45763</v>
      </c>
      <c r="DG6" s="127">
        <f t="shared" ref="DG6" si="48">+DF6+1</f>
        <v>45764</v>
      </c>
      <c r="DH6" s="127">
        <f t="shared" ref="DH6" si="49">+DG6+1</f>
        <v>45765</v>
      </c>
      <c r="DI6" s="127">
        <f t="shared" ref="DI6" si="50">+DH6+1</f>
        <v>45766</v>
      </c>
      <c r="DJ6" s="127">
        <f t="shared" ref="DJ6" si="51">+DI6+1</f>
        <v>45767</v>
      </c>
      <c r="DK6" s="127">
        <f t="shared" ref="DK6" si="52">+DJ6+1</f>
        <v>45768</v>
      </c>
      <c r="DL6" s="127">
        <f t="shared" ref="DL6" si="53">+DK6+1</f>
        <v>45769</v>
      </c>
      <c r="DM6" s="127">
        <f t="shared" ref="DM6" si="54">+DL6+1</f>
        <v>45770</v>
      </c>
      <c r="DN6" s="127">
        <f t="shared" ref="DN6" si="55">+DM6+1</f>
        <v>45771</v>
      </c>
      <c r="DO6" s="127">
        <f t="shared" ref="DO6" si="56">+DN6+1</f>
        <v>45772</v>
      </c>
      <c r="DP6" s="127">
        <f t="shared" ref="DP6" si="57">+DO6+1</f>
        <v>45773</v>
      </c>
      <c r="DQ6" s="127">
        <f t="shared" ref="DQ6" si="58">+DP6+1</f>
        <v>45774</v>
      </c>
      <c r="DR6" s="127">
        <f t="shared" ref="DR6" si="59">+DQ6+1</f>
        <v>45775</v>
      </c>
      <c r="DS6" s="127">
        <f t="shared" ref="DS6" si="60">+DR6+1</f>
        <v>45776</v>
      </c>
      <c r="DT6" s="127">
        <f t="shared" ref="DT6" si="61">+DS6+1</f>
        <v>45777</v>
      </c>
      <c r="DU6" s="316">
        <f t="shared" ref="DU6" si="62">+DT6+1</f>
        <v>45778</v>
      </c>
      <c r="DV6" s="127">
        <f t="shared" ref="DV6" si="63">+DU6+1</f>
        <v>45779</v>
      </c>
      <c r="DW6" s="127">
        <f t="shared" ref="DW6" si="64">+DV6+1</f>
        <v>45780</v>
      </c>
      <c r="DX6" s="127">
        <f t="shared" ref="DX6" si="65">+DW6+1</f>
        <v>45781</v>
      </c>
      <c r="DY6" s="127">
        <f t="shared" ref="DY6" si="66">+DX6+1</f>
        <v>45782</v>
      </c>
      <c r="DZ6" s="127">
        <f t="shared" ref="DZ6" si="67">+DY6+1</f>
        <v>45783</v>
      </c>
      <c r="EA6" s="127">
        <f t="shared" ref="EA6" si="68">+DZ6+1</f>
        <v>45784</v>
      </c>
      <c r="EB6" s="127">
        <f t="shared" ref="EB6" si="69">+EA6+1</f>
        <v>45785</v>
      </c>
      <c r="EC6" s="127">
        <f t="shared" ref="EC6" si="70">+EB6+1</f>
        <v>45786</v>
      </c>
      <c r="ED6" s="127">
        <f t="shared" ref="ED6" si="71">+EC6+1</f>
        <v>45787</v>
      </c>
      <c r="EE6" s="127">
        <f t="shared" ref="EE6" si="72">+ED6+1</f>
        <v>45788</v>
      </c>
      <c r="EF6" s="127">
        <f t="shared" ref="EF6" si="73">+EE6+1</f>
        <v>45789</v>
      </c>
      <c r="EG6" s="127">
        <f t="shared" ref="EG6" si="74">+EF6+1</f>
        <v>45790</v>
      </c>
      <c r="EH6" s="127">
        <f t="shared" ref="EH6" si="75">+EG6+1</f>
        <v>45791</v>
      </c>
      <c r="EI6" s="127">
        <f t="shared" ref="EI6" si="76">+EH6+1</f>
        <v>45792</v>
      </c>
      <c r="EJ6" s="127">
        <f t="shared" ref="EJ6" si="77">+EI6+1</f>
        <v>45793</v>
      </c>
      <c r="EK6" s="127">
        <f t="shared" ref="EK6" si="78">+EJ6+1</f>
        <v>45794</v>
      </c>
      <c r="EL6" s="127">
        <f t="shared" ref="EL6" si="79">+EK6+1</f>
        <v>45795</v>
      </c>
      <c r="EM6" s="127">
        <f t="shared" ref="EM6" si="80">+EL6+1</f>
        <v>45796</v>
      </c>
      <c r="EN6" s="127">
        <f t="shared" ref="EN6" si="81">+EM6+1</f>
        <v>45797</v>
      </c>
      <c r="EO6" s="127">
        <f t="shared" ref="EO6" si="82">+EN6+1</f>
        <v>45798</v>
      </c>
      <c r="EP6" s="127">
        <f t="shared" ref="EP6" si="83">+EO6+1</f>
        <v>45799</v>
      </c>
      <c r="EQ6" s="127">
        <f t="shared" ref="EQ6" si="84">+EP6+1</f>
        <v>45800</v>
      </c>
      <c r="ER6" s="127">
        <f t="shared" ref="ER6" si="85">+EQ6+1</f>
        <v>45801</v>
      </c>
      <c r="ES6" s="127">
        <f t="shared" ref="ES6" si="86">+ER6+1</f>
        <v>45802</v>
      </c>
      <c r="ET6" s="127">
        <f t="shared" ref="ET6" si="87">+ES6+1</f>
        <v>45803</v>
      </c>
      <c r="EU6" s="127">
        <f t="shared" ref="EU6" si="88">+ET6+1</f>
        <v>45804</v>
      </c>
    </row>
    <row r="7" spans="1:181" x14ac:dyDescent="0.3">
      <c r="A7" s="130">
        <v>325230</v>
      </c>
      <c r="B7" s="21" t="s">
        <v>6</v>
      </c>
      <c r="C7" s="249">
        <f>IFERROR(VLOOKUP(A7,완제품!B:AX,49,FALSE),0)</f>
        <v>141</v>
      </c>
      <c r="D7" s="27">
        <f>IFERROR(SUM(DU7:EY7)/$D$2*$D$1,0)*$D$3+C7*$D$4</f>
        <v>141.38709677419354</v>
      </c>
      <c r="E7" s="27">
        <v>0</v>
      </c>
      <c r="F7" s="27">
        <v>7</v>
      </c>
      <c r="G7" s="27">
        <v>2</v>
      </c>
      <c r="H7" s="27">
        <v>33</v>
      </c>
      <c r="I7" s="27">
        <v>0</v>
      </c>
      <c r="J7" s="27">
        <v>2</v>
      </c>
      <c r="K7" s="27">
        <v>10</v>
      </c>
      <c r="L7" s="27">
        <v>1</v>
      </c>
      <c r="M7" s="27">
        <v>1</v>
      </c>
      <c r="N7" s="27">
        <v>2</v>
      </c>
      <c r="O7" s="27">
        <v>22</v>
      </c>
      <c r="P7" s="27">
        <v>0</v>
      </c>
      <c r="Q7" s="27">
        <v>4</v>
      </c>
      <c r="R7" s="27">
        <v>4</v>
      </c>
      <c r="S7" s="27">
        <v>0</v>
      </c>
      <c r="T7" s="27">
        <v>12</v>
      </c>
      <c r="U7" s="27">
        <v>17</v>
      </c>
      <c r="V7" s="27">
        <v>10</v>
      </c>
      <c r="W7" s="27">
        <v>0</v>
      </c>
      <c r="X7" s="27">
        <v>8</v>
      </c>
      <c r="Y7" s="27">
        <v>1</v>
      </c>
      <c r="Z7" s="27">
        <v>0</v>
      </c>
      <c r="AA7" s="292">
        <v>13</v>
      </c>
      <c r="AB7" s="292">
        <v>8</v>
      </c>
      <c r="AC7" s="292">
        <v>0</v>
      </c>
      <c r="AD7" s="292">
        <v>0</v>
      </c>
      <c r="AE7" s="292">
        <v>4</v>
      </c>
      <c r="AF7" s="292">
        <v>13</v>
      </c>
      <c r="AG7" s="292">
        <v>0</v>
      </c>
      <c r="AH7" s="292">
        <v>0</v>
      </c>
      <c r="AI7" s="28">
        <v>2</v>
      </c>
      <c r="AJ7" s="26">
        <v>20</v>
      </c>
      <c r="AK7" s="27">
        <v>0</v>
      </c>
      <c r="AL7" s="27">
        <v>2</v>
      </c>
      <c r="AM7" s="27">
        <v>4</v>
      </c>
      <c r="AN7" s="27">
        <v>3</v>
      </c>
      <c r="AO7" s="27">
        <v>12</v>
      </c>
      <c r="AP7" s="27">
        <v>7</v>
      </c>
      <c r="AQ7" s="27">
        <v>3</v>
      </c>
      <c r="AR7" s="27">
        <v>0</v>
      </c>
      <c r="AS7" s="27">
        <v>1</v>
      </c>
      <c r="AT7" s="27">
        <v>3</v>
      </c>
      <c r="AU7" s="27">
        <v>8</v>
      </c>
      <c r="AV7" s="27">
        <v>11</v>
      </c>
      <c r="AW7" s="27">
        <v>2</v>
      </c>
      <c r="AX7" s="27">
        <v>10</v>
      </c>
      <c r="AY7" s="27">
        <v>0</v>
      </c>
      <c r="AZ7" s="27">
        <v>2</v>
      </c>
      <c r="BA7" s="27">
        <v>8</v>
      </c>
      <c r="BB7" s="27">
        <v>0</v>
      </c>
      <c r="BC7" s="27">
        <v>9</v>
      </c>
      <c r="BD7" s="27">
        <v>1</v>
      </c>
      <c r="BE7" s="27">
        <v>10</v>
      </c>
      <c r="BF7" s="27">
        <v>0</v>
      </c>
      <c r="BG7" s="27">
        <v>2</v>
      </c>
      <c r="BH7" s="27">
        <v>7</v>
      </c>
      <c r="BI7" s="27">
        <v>14</v>
      </c>
      <c r="BJ7" s="27">
        <v>1</v>
      </c>
      <c r="BK7" s="27">
        <v>1</v>
      </c>
      <c r="BL7" s="26">
        <v>20</v>
      </c>
      <c r="BM7" s="27">
        <v>0</v>
      </c>
      <c r="BN7" s="27">
        <v>6</v>
      </c>
      <c r="BO7" s="27">
        <v>2</v>
      </c>
      <c r="BP7" s="27">
        <v>14</v>
      </c>
      <c r="BQ7" s="27">
        <v>1</v>
      </c>
      <c r="BR7" s="27">
        <v>1</v>
      </c>
      <c r="BS7" s="27">
        <v>7</v>
      </c>
      <c r="BT7" s="27">
        <v>0</v>
      </c>
      <c r="BU7" s="27">
        <v>23</v>
      </c>
      <c r="BV7" s="27">
        <v>15</v>
      </c>
      <c r="BW7" s="27">
        <v>5</v>
      </c>
      <c r="BX7" s="27">
        <v>1</v>
      </c>
      <c r="BY7" s="27">
        <v>7</v>
      </c>
      <c r="BZ7" s="27">
        <v>0</v>
      </c>
      <c r="CA7" s="27">
        <v>0</v>
      </c>
      <c r="CB7" s="27">
        <v>8</v>
      </c>
      <c r="CC7" s="27">
        <v>8</v>
      </c>
      <c r="CD7" s="27">
        <v>0</v>
      </c>
      <c r="CE7" s="27">
        <v>9</v>
      </c>
      <c r="CF7" s="27">
        <v>16</v>
      </c>
      <c r="CG7" s="27">
        <v>0</v>
      </c>
      <c r="CH7" s="27">
        <v>0</v>
      </c>
      <c r="CI7" s="27">
        <v>35</v>
      </c>
      <c r="CJ7" s="27">
        <v>1</v>
      </c>
      <c r="CK7" s="27">
        <v>0</v>
      </c>
      <c r="CL7" s="27">
        <v>327</v>
      </c>
      <c r="CM7" s="27">
        <v>1</v>
      </c>
      <c r="CN7" s="27">
        <v>16</v>
      </c>
      <c r="CO7" s="27">
        <v>0</v>
      </c>
      <c r="CP7" s="28">
        <v>2</v>
      </c>
      <c r="CQ7" s="27">
        <v>1</v>
      </c>
      <c r="CR7" s="27">
        <v>3</v>
      </c>
      <c r="CS7" s="27">
        <v>2</v>
      </c>
      <c r="CT7" s="27">
        <v>2</v>
      </c>
      <c r="CU7" s="27">
        <v>6</v>
      </c>
      <c r="CV7" s="27">
        <v>0</v>
      </c>
      <c r="CW7" s="27">
        <v>6</v>
      </c>
      <c r="CX7" s="27">
        <v>9</v>
      </c>
      <c r="CY7" s="27">
        <v>0</v>
      </c>
      <c r="CZ7" s="27">
        <v>4</v>
      </c>
      <c r="DA7" s="27">
        <v>3</v>
      </c>
      <c r="DB7" s="27">
        <v>4</v>
      </c>
      <c r="DC7" s="27">
        <v>0</v>
      </c>
      <c r="DD7" s="27">
        <v>11</v>
      </c>
      <c r="DE7" s="27">
        <v>17</v>
      </c>
      <c r="DF7" s="27">
        <v>0</v>
      </c>
      <c r="DG7" s="27">
        <v>21</v>
      </c>
      <c r="DH7" s="27">
        <v>3</v>
      </c>
      <c r="DI7" s="27">
        <v>0</v>
      </c>
      <c r="DJ7" s="27">
        <v>0</v>
      </c>
      <c r="DK7" s="27">
        <v>3</v>
      </c>
      <c r="DL7" s="27">
        <v>10</v>
      </c>
      <c r="DM7" s="27">
        <v>0</v>
      </c>
      <c r="DN7" s="27">
        <v>1</v>
      </c>
      <c r="DO7" s="27">
        <v>6</v>
      </c>
      <c r="DP7" s="27">
        <v>1</v>
      </c>
      <c r="DQ7" s="27">
        <v>0</v>
      </c>
      <c r="DR7" s="27">
        <v>9</v>
      </c>
      <c r="DS7" s="27">
        <v>1</v>
      </c>
      <c r="DT7" s="27">
        <v>18</v>
      </c>
      <c r="DU7" s="26">
        <v>2</v>
      </c>
      <c r="DV7" s="27">
        <v>0</v>
      </c>
      <c r="DW7" s="27">
        <v>9</v>
      </c>
      <c r="DX7" s="27">
        <v>0</v>
      </c>
      <c r="DY7" s="27">
        <v>0</v>
      </c>
      <c r="DZ7" s="27">
        <v>0</v>
      </c>
      <c r="EA7" s="27">
        <v>2</v>
      </c>
      <c r="EB7" s="27">
        <v>9</v>
      </c>
      <c r="EC7" s="27">
        <v>2</v>
      </c>
      <c r="ED7" s="27">
        <v>10</v>
      </c>
      <c r="EE7" s="27">
        <v>0</v>
      </c>
      <c r="EF7" s="27">
        <v>3</v>
      </c>
      <c r="EG7" s="27">
        <v>16</v>
      </c>
      <c r="EH7" s="27">
        <v>4</v>
      </c>
      <c r="EI7" s="27">
        <v>0</v>
      </c>
      <c r="EJ7" s="27">
        <v>7</v>
      </c>
      <c r="EK7" s="27">
        <v>5</v>
      </c>
      <c r="EL7" s="27">
        <v>0</v>
      </c>
      <c r="EM7" s="27">
        <v>5</v>
      </c>
      <c r="EN7" s="27">
        <v>2</v>
      </c>
      <c r="EO7" s="27">
        <v>6</v>
      </c>
      <c r="EP7" s="27">
        <v>1</v>
      </c>
      <c r="EQ7" s="27">
        <v>22</v>
      </c>
      <c r="ER7" s="27"/>
      <c r="ES7" s="27"/>
      <c r="ET7" s="27"/>
      <c r="EU7" s="27"/>
    </row>
    <row r="8" spans="1:181" x14ac:dyDescent="0.3">
      <c r="A8" s="130">
        <v>259276</v>
      </c>
      <c r="B8" s="21" t="s">
        <v>7</v>
      </c>
      <c r="C8" s="249">
        <f>IFERROR(VLOOKUP(A8,완제품!B:AX,49,FALSE),0)</f>
        <v>2581</v>
      </c>
      <c r="D8" s="27">
        <f t="shared" ref="D8:D28" si="89">IFERROR(SUM(DU8:EY8)/$D$2*$D$1,0)*$D$3+C8*$D$4</f>
        <v>2803.0645161290322</v>
      </c>
      <c r="E8" s="27">
        <v>129</v>
      </c>
      <c r="F8" s="27">
        <v>116</v>
      </c>
      <c r="G8" s="27">
        <v>120</v>
      </c>
      <c r="H8" s="27">
        <v>120</v>
      </c>
      <c r="I8" s="27">
        <v>0</v>
      </c>
      <c r="J8" s="27">
        <v>164</v>
      </c>
      <c r="K8" s="27">
        <v>119</v>
      </c>
      <c r="L8" s="27">
        <v>48</v>
      </c>
      <c r="M8" s="27">
        <v>94</v>
      </c>
      <c r="N8" s="27">
        <v>72</v>
      </c>
      <c r="O8" s="27">
        <v>72</v>
      </c>
      <c r="P8" s="27">
        <v>0</v>
      </c>
      <c r="Q8" s="27">
        <v>120</v>
      </c>
      <c r="R8" s="27">
        <v>86</v>
      </c>
      <c r="S8" s="27">
        <v>98</v>
      </c>
      <c r="T8" s="27">
        <v>59</v>
      </c>
      <c r="U8" s="27">
        <v>111</v>
      </c>
      <c r="V8" s="27">
        <v>133</v>
      </c>
      <c r="W8" s="27">
        <v>0</v>
      </c>
      <c r="X8" s="27">
        <v>126</v>
      </c>
      <c r="Y8" s="27">
        <v>104</v>
      </c>
      <c r="Z8" s="27">
        <v>90</v>
      </c>
      <c r="AA8" s="27">
        <v>122</v>
      </c>
      <c r="AB8" s="27">
        <v>199</v>
      </c>
      <c r="AC8" s="27">
        <v>190</v>
      </c>
      <c r="AD8" s="27">
        <v>0</v>
      </c>
      <c r="AE8" s="27">
        <v>206</v>
      </c>
      <c r="AF8" s="27">
        <v>94</v>
      </c>
      <c r="AG8" s="27">
        <v>0</v>
      </c>
      <c r="AH8" s="27">
        <v>56</v>
      </c>
      <c r="AI8" s="28">
        <v>78</v>
      </c>
      <c r="AJ8" s="26">
        <v>187</v>
      </c>
      <c r="AK8" s="27">
        <v>7</v>
      </c>
      <c r="AL8" s="27">
        <v>143</v>
      </c>
      <c r="AM8" s="27">
        <v>59</v>
      </c>
      <c r="AN8" s="27">
        <v>82</v>
      </c>
      <c r="AO8" s="27">
        <v>78</v>
      </c>
      <c r="AP8" s="27">
        <v>77</v>
      </c>
      <c r="AQ8" s="27">
        <v>41</v>
      </c>
      <c r="AR8" s="27">
        <v>0</v>
      </c>
      <c r="AS8" s="27">
        <v>129</v>
      </c>
      <c r="AT8" s="27">
        <v>88</v>
      </c>
      <c r="AU8" s="27">
        <v>35</v>
      </c>
      <c r="AV8" s="27">
        <v>62</v>
      </c>
      <c r="AW8" s="27">
        <v>121</v>
      </c>
      <c r="AX8" s="27">
        <v>108</v>
      </c>
      <c r="AY8" s="27">
        <v>0</v>
      </c>
      <c r="AZ8" s="27">
        <v>116</v>
      </c>
      <c r="BA8" s="27">
        <v>83</v>
      </c>
      <c r="BB8" s="27">
        <v>102</v>
      </c>
      <c r="BC8" s="27">
        <v>34</v>
      </c>
      <c r="BD8" s="27">
        <v>100</v>
      </c>
      <c r="BE8" s="27">
        <v>95</v>
      </c>
      <c r="BF8" s="27">
        <v>0</v>
      </c>
      <c r="BG8" s="27">
        <v>185</v>
      </c>
      <c r="BH8" s="27">
        <v>49</v>
      </c>
      <c r="BI8" s="27">
        <v>41</v>
      </c>
      <c r="BJ8" s="27">
        <v>113</v>
      </c>
      <c r="BK8" s="27">
        <v>56</v>
      </c>
      <c r="BL8" s="26">
        <v>198</v>
      </c>
      <c r="BM8" s="27">
        <v>0</v>
      </c>
      <c r="BN8" s="27">
        <v>148</v>
      </c>
      <c r="BO8" s="27">
        <v>67</v>
      </c>
      <c r="BP8" s="27">
        <v>134</v>
      </c>
      <c r="BQ8" s="27">
        <v>66</v>
      </c>
      <c r="BR8" s="27">
        <v>111</v>
      </c>
      <c r="BS8" s="27">
        <v>80</v>
      </c>
      <c r="BT8" s="27">
        <v>0</v>
      </c>
      <c r="BU8" s="27">
        <v>107</v>
      </c>
      <c r="BV8" s="27">
        <v>84</v>
      </c>
      <c r="BW8" s="27">
        <v>30</v>
      </c>
      <c r="BX8" s="27">
        <v>109</v>
      </c>
      <c r="BY8" s="27">
        <v>90</v>
      </c>
      <c r="BZ8" s="27">
        <v>145</v>
      </c>
      <c r="CA8" s="27">
        <v>3</v>
      </c>
      <c r="CB8" s="27">
        <v>85</v>
      </c>
      <c r="CC8" s="27">
        <v>61</v>
      </c>
      <c r="CD8" s="27">
        <v>107</v>
      </c>
      <c r="CE8" s="27">
        <v>99</v>
      </c>
      <c r="CF8" s="27">
        <v>88</v>
      </c>
      <c r="CG8" s="27">
        <v>97</v>
      </c>
      <c r="CH8" s="27">
        <v>0</v>
      </c>
      <c r="CI8" s="27">
        <v>122</v>
      </c>
      <c r="CJ8" s="27">
        <v>95</v>
      </c>
      <c r="CK8" s="27">
        <v>68</v>
      </c>
      <c r="CL8" s="27">
        <v>130</v>
      </c>
      <c r="CM8" s="27">
        <v>74</v>
      </c>
      <c r="CN8" s="27">
        <v>114</v>
      </c>
      <c r="CO8" s="27">
        <v>0</v>
      </c>
      <c r="CP8" s="28">
        <v>33</v>
      </c>
      <c r="CQ8" s="27">
        <v>200</v>
      </c>
      <c r="CR8" s="27">
        <v>88</v>
      </c>
      <c r="CS8" s="27">
        <v>118</v>
      </c>
      <c r="CT8" s="27">
        <v>104</v>
      </c>
      <c r="CU8" s="27">
        <v>172</v>
      </c>
      <c r="CV8" s="27">
        <v>0</v>
      </c>
      <c r="CW8" s="27">
        <v>103</v>
      </c>
      <c r="CX8" s="27">
        <v>68</v>
      </c>
      <c r="CY8" s="27">
        <v>100</v>
      </c>
      <c r="CZ8" s="27">
        <v>93</v>
      </c>
      <c r="DA8" s="27">
        <v>98</v>
      </c>
      <c r="DB8" s="27">
        <v>52</v>
      </c>
      <c r="DC8" s="27">
        <v>0</v>
      </c>
      <c r="DD8" s="27">
        <v>110</v>
      </c>
      <c r="DE8" s="27">
        <v>123</v>
      </c>
      <c r="DF8" s="27">
        <v>84</v>
      </c>
      <c r="DG8" s="27">
        <v>58</v>
      </c>
      <c r="DH8" s="27">
        <v>134</v>
      </c>
      <c r="DI8" s="27">
        <v>125</v>
      </c>
      <c r="DJ8" s="27">
        <v>0</v>
      </c>
      <c r="DK8" s="27">
        <v>125</v>
      </c>
      <c r="DL8" s="27">
        <v>98</v>
      </c>
      <c r="DM8" s="27">
        <v>38</v>
      </c>
      <c r="DN8" s="27">
        <v>108</v>
      </c>
      <c r="DO8" s="27">
        <v>72</v>
      </c>
      <c r="DP8" s="27">
        <v>99</v>
      </c>
      <c r="DQ8" s="27">
        <v>0</v>
      </c>
      <c r="DR8" s="27">
        <v>82</v>
      </c>
      <c r="DS8" s="27">
        <v>95</v>
      </c>
      <c r="DT8" s="27">
        <v>34</v>
      </c>
      <c r="DU8" s="26">
        <v>275</v>
      </c>
      <c r="DV8" s="27">
        <v>85</v>
      </c>
      <c r="DW8" s="27">
        <v>253</v>
      </c>
      <c r="DX8" s="27">
        <v>0</v>
      </c>
      <c r="DY8" s="27">
        <v>137</v>
      </c>
      <c r="DZ8" s="27">
        <v>86</v>
      </c>
      <c r="EA8" s="27">
        <v>71</v>
      </c>
      <c r="EB8" s="27">
        <v>114</v>
      </c>
      <c r="EC8" s="27">
        <v>114</v>
      </c>
      <c r="ED8" s="27">
        <v>60</v>
      </c>
      <c r="EE8" s="27">
        <v>0</v>
      </c>
      <c r="EF8" s="27">
        <v>64</v>
      </c>
      <c r="EG8" s="27">
        <v>79</v>
      </c>
      <c r="EH8" s="27">
        <v>46</v>
      </c>
      <c r="EI8" s="27">
        <v>108</v>
      </c>
      <c r="EJ8" s="27">
        <v>61</v>
      </c>
      <c r="EK8" s="27">
        <v>81</v>
      </c>
      <c r="EL8" s="27">
        <v>0</v>
      </c>
      <c r="EM8" s="27">
        <v>164</v>
      </c>
      <c r="EN8" s="27">
        <v>92</v>
      </c>
      <c r="EO8" s="27">
        <v>71</v>
      </c>
      <c r="EP8" s="27">
        <v>112</v>
      </c>
      <c r="EQ8" s="27">
        <v>64</v>
      </c>
      <c r="ER8" s="27"/>
      <c r="ES8" s="27"/>
      <c r="ET8" s="27"/>
      <c r="EU8" s="27"/>
    </row>
    <row r="9" spans="1:181" x14ac:dyDescent="0.3">
      <c r="A9" s="130">
        <v>321731</v>
      </c>
      <c r="B9" s="21" t="s">
        <v>8</v>
      </c>
      <c r="C9" s="249">
        <f>IFERROR(VLOOKUP(A9,완제품!B:AX,49,FALSE),0)</f>
        <v>0</v>
      </c>
      <c r="D9" s="27">
        <f t="shared" si="89"/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8">
        <v>0</v>
      </c>
      <c r="AJ9" s="26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6">
        <v>0</v>
      </c>
      <c r="BM9" s="27">
        <v>0</v>
      </c>
      <c r="BN9" s="27">
        <v>0</v>
      </c>
      <c r="BO9" s="27">
        <v>0</v>
      </c>
      <c r="BP9" s="27">
        <v>0</v>
      </c>
      <c r="BQ9" s="27">
        <v>0</v>
      </c>
      <c r="BR9" s="27">
        <v>0</v>
      </c>
      <c r="BS9" s="27">
        <v>0</v>
      </c>
      <c r="BT9" s="27">
        <v>0</v>
      </c>
      <c r="BU9" s="27">
        <v>0</v>
      </c>
      <c r="BV9" s="27">
        <v>0</v>
      </c>
      <c r="BW9" s="27">
        <v>0</v>
      </c>
      <c r="BX9" s="27">
        <v>0</v>
      </c>
      <c r="BY9" s="27">
        <v>0</v>
      </c>
      <c r="BZ9" s="27">
        <v>0</v>
      </c>
      <c r="CA9" s="27">
        <v>0</v>
      </c>
      <c r="CB9" s="27">
        <v>0</v>
      </c>
      <c r="CC9" s="27">
        <v>0</v>
      </c>
      <c r="CD9" s="27">
        <v>0</v>
      </c>
      <c r="CE9" s="27">
        <v>0</v>
      </c>
      <c r="CF9" s="27">
        <v>0</v>
      </c>
      <c r="CG9" s="27">
        <v>0</v>
      </c>
      <c r="CH9" s="27">
        <v>0</v>
      </c>
      <c r="CI9" s="27">
        <v>0</v>
      </c>
      <c r="CJ9" s="27">
        <v>0</v>
      </c>
      <c r="CK9" s="27">
        <v>0</v>
      </c>
      <c r="CL9" s="27">
        <v>0</v>
      </c>
      <c r="CM9" s="27">
        <v>0</v>
      </c>
      <c r="CN9" s="27">
        <v>0</v>
      </c>
      <c r="CO9" s="27">
        <v>0</v>
      </c>
      <c r="CP9" s="28">
        <v>0</v>
      </c>
      <c r="CQ9" s="27">
        <v>0</v>
      </c>
      <c r="CR9" s="27">
        <v>0</v>
      </c>
      <c r="CS9" s="27">
        <v>0</v>
      </c>
      <c r="CT9" s="27">
        <v>0</v>
      </c>
      <c r="CU9" s="27">
        <v>0</v>
      </c>
      <c r="CV9" s="27">
        <v>0</v>
      </c>
      <c r="CW9" s="27">
        <v>0</v>
      </c>
      <c r="CX9" s="27">
        <v>0</v>
      </c>
      <c r="CY9" s="27">
        <v>0</v>
      </c>
      <c r="CZ9" s="27">
        <v>0</v>
      </c>
      <c r="DA9" s="27">
        <v>0</v>
      </c>
      <c r="DB9" s="27">
        <v>0</v>
      </c>
      <c r="DC9" s="27">
        <v>0</v>
      </c>
      <c r="DD9" s="27">
        <v>0</v>
      </c>
      <c r="DE9" s="27">
        <v>0</v>
      </c>
      <c r="DF9" s="27">
        <v>0</v>
      </c>
      <c r="DG9" s="27">
        <v>0</v>
      </c>
      <c r="DH9" s="27">
        <v>0</v>
      </c>
      <c r="DI9" s="27">
        <v>0</v>
      </c>
      <c r="DJ9" s="27">
        <v>0</v>
      </c>
      <c r="DK9" s="27">
        <v>0</v>
      </c>
      <c r="DL9" s="27">
        <v>0</v>
      </c>
      <c r="DM9" s="27">
        <v>0</v>
      </c>
      <c r="DN9" s="27">
        <v>0</v>
      </c>
      <c r="DO9" s="27">
        <v>0</v>
      </c>
      <c r="DP9" s="27">
        <v>0</v>
      </c>
      <c r="DQ9" s="27">
        <v>0</v>
      </c>
      <c r="DR9" s="27">
        <v>0</v>
      </c>
      <c r="DS9" s="27">
        <v>0</v>
      </c>
      <c r="DT9" s="27">
        <v>0</v>
      </c>
      <c r="DU9" s="26">
        <v>0</v>
      </c>
      <c r="DV9" s="27">
        <v>0</v>
      </c>
      <c r="DW9" s="27">
        <v>0</v>
      </c>
      <c r="DX9" s="27">
        <v>0</v>
      </c>
      <c r="DY9" s="27">
        <v>0</v>
      </c>
      <c r="DZ9" s="27">
        <v>0</v>
      </c>
      <c r="EA9" s="27">
        <v>0</v>
      </c>
      <c r="EB9" s="27">
        <v>0</v>
      </c>
      <c r="EC9" s="27">
        <v>0</v>
      </c>
      <c r="ED9" s="27">
        <v>0</v>
      </c>
      <c r="EE9" s="27">
        <v>0</v>
      </c>
      <c r="EF9" s="27">
        <v>0</v>
      </c>
      <c r="EG9" s="27">
        <v>0</v>
      </c>
      <c r="EH9" s="27">
        <v>0</v>
      </c>
      <c r="EI9" s="27">
        <v>0</v>
      </c>
      <c r="EJ9" s="27">
        <v>0</v>
      </c>
      <c r="EK9" s="27">
        <v>0</v>
      </c>
      <c r="EL9" s="27">
        <v>0</v>
      </c>
      <c r="EM9" s="27">
        <v>0</v>
      </c>
      <c r="EN9" s="27">
        <v>0</v>
      </c>
      <c r="EO9" s="27">
        <v>0</v>
      </c>
      <c r="EP9" s="27">
        <v>0</v>
      </c>
      <c r="EQ9" s="27">
        <v>0</v>
      </c>
      <c r="ER9" s="27"/>
      <c r="ES9" s="27"/>
      <c r="ET9" s="27"/>
      <c r="EU9" s="27"/>
    </row>
    <row r="10" spans="1:181" x14ac:dyDescent="0.3">
      <c r="A10" s="130">
        <v>326323</v>
      </c>
      <c r="B10" s="21" t="s">
        <v>9</v>
      </c>
      <c r="C10" s="249">
        <f>IFERROR(VLOOKUP(A10,완제품!B:AX,49,FALSE),0)</f>
        <v>59</v>
      </c>
      <c r="D10" s="27">
        <f t="shared" si="89"/>
        <v>15.225806451612902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64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8">
        <v>0</v>
      </c>
      <c r="AJ10" s="26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6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52</v>
      </c>
      <c r="BS10" s="27">
        <v>0</v>
      </c>
      <c r="BT10" s="27">
        <v>0</v>
      </c>
      <c r="BU10" s="27">
        <v>0</v>
      </c>
      <c r="BV10" s="27">
        <v>0</v>
      </c>
      <c r="BW10" s="27">
        <v>0</v>
      </c>
      <c r="BX10" s="27">
        <v>0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0</v>
      </c>
      <c r="CF10" s="27">
        <v>0</v>
      </c>
      <c r="CG10" s="27">
        <v>0</v>
      </c>
      <c r="CH10" s="27">
        <v>0</v>
      </c>
      <c r="CI10" s="27">
        <v>0</v>
      </c>
      <c r="CJ10" s="27">
        <v>0</v>
      </c>
      <c r="CK10" s="27">
        <v>0</v>
      </c>
      <c r="CL10" s="27">
        <v>0</v>
      </c>
      <c r="CM10" s="27">
        <v>0</v>
      </c>
      <c r="CN10" s="27">
        <v>0</v>
      </c>
      <c r="CO10" s="27">
        <v>0</v>
      </c>
      <c r="CP10" s="28">
        <v>0</v>
      </c>
      <c r="CQ10" s="27">
        <v>0</v>
      </c>
      <c r="CR10" s="27">
        <v>0</v>
      </c>
      <c r="CS10" s="27">
        <v>0</v>
      </c>
      <c r="CT10" s="27">
        <v>0</v>
      </c>
      <c r="CU10" s="27">
        <v>0</v>
      </c>
      <c r="CV10" s="27">
        <v>0</v>
      </c>
      <c r="CW10" s="27">
        <v>0</v>
      </c>
      <c r="CX10" s="27">
        <v>0</v>
      </c>
      <c r="CY10" s="27">
        <v>0</v>
      </c>
      <c r="CZ10" s="27">
        <v>0</v>
      </c>
      <c r="DA10" s="27">
        <v>0</v>
      </c>
      <c r="DB10" s="27">
        <v>0</v>
      </c>
      <c r="DC10" s="27">
        <v>0</v>
      </c>
      <c r="DD10" s="27">
        <v>0</v>
      </c>
      <c r="DE10" s="27">
        <v>0</v>
      </c>
      <c r="DF10" s="27">
        <v>0</v>
      </c>
      <c r="DG10" s="27">
        <v>0</v>
      </c>
      <c r="DH10" s="27">
        <v>0</v>
      </c>
      <c r="DI10" s="27">
        <v>0</v>
      </c>
      <c r="DJ10" s="27">
        <v>0</v>
      </c>
      <c r="DK10" s="27">
        <v>0</v>
      </c>
      <c r="DL10" s="27">
        <v>0</v>
      </c>
      <c r="DM10" s="27">
        <v>0</v>
      </c>
      <c r="DN10" s="27">
        <v>0</v>
      </c>
      <c r="DO10" s="27">
        <v>59</v>
      </c>
      <c r="DP10" s="27">
        <v>0</v>
      </c>
      <c r="DQ10" s="27">
        <v>0</v>
      </c>
      <c r="DR10" s="27">
        <v>0</v>
      </c>
      <c r="DS10" s="27">
        <v>0</v>
      </c>
      <c r="DT10" s="27">
        <v>0</v>
      </c>
      <c r="DU10" s="26">
        <v>0</v>
      </c>
      <c r="DV10" s="27">
        <v>0</v>
      </c>
      <c r="DW10" s="27">
        <v>0</v>
      </c>
      <c r="DX10" s="27">
        <v>0</v>
      </c>
      <c r="DY10" s="27">
        <v>0</v>
      </c>
      <c r="DZ10" s="27">
        <v>0</v>
      </c>
      <c r="EA10" s="27">
        <v>0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7">
        <v>0</v>
      </c>
      <c r="EI10" s="27">
        <v>0</v>
      </c>
      <c r="EJ10" s="27">
        <v>0</v>
      </c>
      <c r="EK10" s="27">
        <v>0</v>
      </c>
      <c r="EL10" s="27">
        <v>0</v>
      </c>
      <c r="EM10" s="27">
        <v>0</v>
      </c>
      <c r="EN10" s="27">
        <v>0</v>
      </c>
      <c r="EO10" s="27">
        <v>0</v>
      </c>
      <c r="EP10" s="27">
        <v>0</v>
      </c>
      <c r="EQ10" s="27">
        <v>0</v>
      </c>
      <c r="ER10" s="27"/>
      <c r="ES10" s="27"/>
      <c r="ET10" s="27"/>
      <c r="EU10" s="27"/>
    </row>
    <row r="11" spans="1:181" x14ac:dyDescent="0.3">
      <c r="A11" s="130">
        <v>333524</v>
      </c>
      <c r="B11" s="21" t="s">
        <v>10</v>
      </c>
      <c r="C11" s="249">
        <f>IFERROR(VLOOKUP(A11,완제품!B:AX,49,FALSE),0)</f>
        <v>114</v>
      </c>
      <c r="D11" s="27">
        <f t="shared" si="89"/>
        <v>74.41935483870968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14</v>
      </c>
      <c r="K11" s="27">
        <v>0</v>
      </c>
      <c r="L11" s="27">
        <v>1</v>
      </c>
      <c r="M11" s="27">
        <v>2</v>
      </c>
      <c r="N11" s="27">
        <v>1</v>
      </c>
      <c r="O11" s="27">
        <v>1</v>
      </c>
      <c r="P11" s="27">
        <v>0</v>
      </c>
      <c r="Q11" s="27">
        <v>0</v>
      </c>
      <c r="R11" s="27">
        <v>0</v>
      </c>
      <c r="S11" s="27">
        <v>0</v>
      </c>
      <c r="T11" s="27">
        <v>2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2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8">
        <v>0</v>
      </c>
      <c r="AJ11" s="26">
        <v>0</v>
      </c>
      <c r="AK11" s="27">
        <v>0</v>
      </c>
      <c r="AL11" s="27">
        <v>0</v>
      </c>
      <c r="AM11" s="27">
        <v>0</v>
      </c>
      <c r="AN11" s="27">
        <v>29</v>
      </c>
      <c r="AO11" s="27">
        <v>4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3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1</v>
      </c>
      <c r="BC11" s="27">
        <v>0</v>
      </c>
      <c r="BD11" s="27">
        <v>1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0</v>
      </c>
      <c r="BL11" s="26">
        <v>41</v>
      </c>
      <c r="BM11" s="27">
        <v>0</v>
      </c>
      <c r="BN11" s="27">
        <v>0</v>
      </c>
      <c r="BO11" s="27">
        <v>1</v>
      </c>
      <c r="BP11" s="27">
        <v>4</v>
      </c>
      <c r="BQ11" s="27">
        <v>0</v>
      </c>
      <c r="BR11" s="27">
        <v>2</v>
      </c>
      <c r="BS11" s="27">
        <v>40</v>
      </c>
      <c r="BT11" s="27">
        <v>0</v>
      </c>
      <c r="BU11" s="27">
        <v>0</v>
      </c>
      <c r="BV11" s="27">
        <v>0</v>
      </c>
      <c r="BW11" s="27">
        <v>0</v>
      </c>
      <c r="BX11" s="27">
        <v>0</v>
      </c>
      <c r="BY11" s="27">
        <v>1</v>
      </c>
      <c r="BZ11" s="27">
        <v>0</v>
      </c>
      <c r="CA11" s="27">
        <v>0</v>
      </c>
      <c r="CB11" s="27">
        <v>36</v>
      </c>
      <c r="CC11" s="27">
        <v>0</v>
      </c>
      <c r="CD11" s="27">
        <v>0</v>
      </c>
      <c r="CE11" s="27">
        <v>0</v>
      </c>
      <c r="CF11" s="27">
        <v>0</v>
      </c>
      <c r="CG11" s="27">
        <v>0</v>
      </c>
      <c r="CH11" s="27">
        <v>0</v>
      </c>
      <c r="CI11" s="27">
        <v>0</v>
      </c>
      <c r="CJ11" s="27">
        <v>0</v>
      </c>
      <c r="CK11" s="27">
        <v>9</v>
      </c>
      <c r="CL11" s="27">
        <v>0</v>
      </c>
      <c r="CM11" s="27">
        <v>0</v>
      </c>
      <c r="CN11" s="27">
        <v>0</v>
      </c>
      <c r="CO11" s="27">
        <v>0</v>
      </c>
      <c r="CP11" s="28">
        <v>0</v>
      </c>
      <c r="CQ11" s="27">
        <v>0</v>
      </c>
      <c r="CR11" s="27">
        <v>0</v>
      </c>
      <c r="CS11" s="27">
        <v>0</v>
      </c>
      <c r="CT11" s="27">
        <v>0</v>
      </c>
      <c r="CU11" s="27">
        <v>59</v>
      </c>
      <c r="CV11" s="27">
        <v>0</v>
      </c>
      <c r="CW11" s="27">
        <v>2</v>
      </c>
      <c r="CX11" s="27">
        <v>0</v>
      </c>
      <c r="CY11" s="27">
        <v>0</v>
      </c>
      <c r="CZ11" s="27">
        <v>10</v>
      </c>
      <c r="DA11" s="27">
        <v>1</v>
      </c>
      <c r="DB11" s="27">
        <v>0</v>
      </c>
      <c r="DC11" s="27">
        <v>0</v>
      </c>
      <c r="DD11" s="27">
        <v>0</v>
      </c>
      <c r="DE11" s="27">
        <v>0</v>
      </c>
      <c r="DF11" s="27">
        <v>42</v>
      </c>
      <c r="DG11" s="27">
        <v>0</v>
      </c>
      <c r="DH11" s="27">
        <v>0</v>
      </c>
      <c r="DI11" s="27">
        <v>0</v>
      </c>
      <c r="DJ11" s="27">
        <v>0</v>
      </c>
      <c r="DK11" s="27">
        <v>0</v>
      </c>
      <c r="DL11" s="27">
        <v>0</v>
      </c>
      <c r="DM11" s="27">
        <v>0</v>
      </c>
      <c r="DN11" s="27">
        <v>0</v>
      </c>
      <c r="DO11" s="27">
        <v>0</v>
      </c>
      <c r="DP11" s="27">
        <v>0</v>
      </c>
      <c r="DQ11" s="27">
        <v>0</v>
      </c>
      <c r="DR11" s="27">
        <v>0</v>
      </c>
      <c r="DS11" s="27">
        <v>0</v>
      </c>
      <c r="DT11" s="27">
        <v>0</v>
      </c>
      <c r="DU11" s="26">
        <v>0</v>
      </c>
      <c r="DV11" s="27">
        <v>0</v>
      </c>
      <c r="DW11" s="27">
        <v>0</v>
      </c>
      <c r="DX11" s="27">
        <v>0</v>
      </c>
      <c r="DY11" s="27">
        <v>0</v>
      </c>
      <c r="DZ11" s="27">
        <v>0</v>
      </c>
      <c r="EA11" s="27">
        <v>0</v>
      </c>
      <c r="EB11" s="27">
        <v>45</v>
      </c>
      <c r="EC11" s="27">
        <v>0</v>
      </c>
      <c r="ED11" s="27">
        <v>0</v>
      </c>
      <c r="EE11" s="27">
        <v>0</v>
      </c>
      <c r="EF11" s="27">
        <v>0</v>
      </c>
      <c r="EG11" s="27">
        <v>0</v>
      </c>
      <c r="EH11" s="27">
        <v>0</v>
      </c>
      <c r="EI11" s="27">
        <v>0</v>
      </c>
      <c r="EJ11" s="27">
        <v>0</v>
      </c>
      <c r="EK11" s="27">
        <v>0</v>
      </c>
      <c r="EL11" s="27">
        <v>0</v>
      </c>
      <c r="EM11" s="27">
        <v>0</v>
      </c>
      <c r="EN11" s="27">
        <v>0</v>
      </c>
      <c r="EO11" s="27">
        <v>0</v>
      </c>
      <c r="EP11" s="27">
        <v>0</v>
      </c>
      <c r="EQ11" s="27">
        <v>0</v>
      </c>
      <c r="ER11" s="27"/>
      <c r="ES11" s="27"/>
      <c r="ET11" s="27"/>
      <c r="EU11" s="27"/>
    </row>
    <row r="12" spans="1:181" x14ac:dyDescent="0.3">
      <c r="A12" s="130">
        <v>314433</v>
      </c>
      <c r="B12" s="21" t="s">
        <v>147</v>
      </c>
      <c r="C12" s="249">
        <f>IFERROR(VLOOKUP(A12,완제품!B:AX,49,FALSE),0)</f>
        <v>879</v>
      </c>
      <c r="D12" s="27">
        <f t="shared" si="89"/>
        <v>332.83870967741939</v>
      </c>
      <c r="E12" s="27">
        <v>0</v>
      </c>
      <c r="F12" s="27">
        <v>0</v>
      </c>
      <c r="G12" s="27">
        <v>3</v>
      </c>
      <c r="H12" s="27">
        <v>0</v>
      </c>
      <c r="I12" s="27">
        <v>0</v>
      </c>
      <c r="J12" s="27">
        <v>9</v>
      </c>
      <c r="K12" s="27">
        <v>3</v>
      </c>
      <c r="L12" s="27">
        <v>2</v>
      </c>
      <c r="M12" s="27">
        <v>0</v>
      </c>
      <c r="N12" s="27">
        <v>5</v>
      </c>
      <c r="O12" s="27">
        <v>2</v>
      </c>
      <c r="P12" s="27">
        <v>0</v>
      </c>
      <c r="Q12" s="27">
        <v>0</v>
      </c>
      <c r="R12" s="27">
        <v>80</v>
      </c>
      <c r="S12" s="27">
        <v>13</v>
      </c>
      <c r="T12" s="27">
        <v>0</v>
      </c>
      <c r="U12" s="27">
        <v>3</v>
      </c>
      <c r="V12" s="27">
        <v>50</v>
      </c>
      <c r="W12" s="27">
        <v>0</v>
      </c>
      <c r="X12" s="27">
        <v>7</v>
      </c>
      <c r="Y12" s="27">
        <v>4</v>
      </c>
      <c r="Z12" s="27">
        <v>1</v>
      </c>
      <c r="AA12" s="27">
        <v>0</v>
      </c>
      <c r="AB12" s="27">
        <v>10</v>
      </c>
      <c r="AC12" s="27">
        <v>0</v>
      </c>
      <c r="AD12" s="27">
        <v>0</v>
      </c>
      <c r="AE12" s="27">
        <v>0</v>
      </c>
      <c r="AF12" s="27">
        <v>6</v>
      </c>
      <c r="AG12" s="27">
        <v>0</v>
      </c>
      <c r="AH12" s="27">
        <v>0</v>
      </c>
      <c r="AI12" s="28">
        <v>0</v>
      </c>
      <c r="AJ12" s="26">
        <v>14</v>
      </c>
      <c r="AK12" s="27">
        <v>0</v>
      </c>
      <c r="AL12" s="27">
        <v>12</v>
      </c>
      <c r="AM12" s="27">
        <v>3</v>
      </c>
      <c r="AN12" s="27">
        <v>5</v>
      </c>
      <c r="AO12" s="27">
        <v>0</v>
      </c>
      <c r="AP12" s="27">
        <v>0</v>
      </c>
      <c r="AQ12" s="27">
        <v>0</v>
      </c>
      <c r="AR12" s="27">
        <v>0</v>
      </c>
      <c r="AS12" s="27">
        <v>6</v>
      </c>
      <c r="AT12" s="27">
        <v>3</v>
      </c>
      <c r="AU12" s="27">
        <v>0</v>
      </c>
      <c r="AV12" s="27">
        <v>10</v>
      </c>
      <c r="AW12" s="27">
        <v>0</v>
      </c>
      <c r="AX12" s="27">
        <v>0</v>
      </c>
      <c r="AY12" s="27">
        <v>0</v>
      </c>
      <c r="AZ12" s="27">
        <v>3</v>
      </c>
      <c r="BA12" s="27">
        <v>2</v>
      </c>
      <c r="BB12" s="27">
        <v>0</v>
      </c>
      <c r="BC12" s="27">
        <v>0</v>
      </c>
      <c r="BD12" s="27">
        <v>4</v>
      </c>
      <c r="BE12" s="27">
        <v>0</v>
      </c>
      <c r="BF12" s="27">
        <v>0</v>
      </c>
      <c r="BG12" s="27">
        <v>22</v>
      </c>
      <c r="BH12" s="27">
        <v>0</v>
      </c>
      <c r="BI12" s="27">
        <v>100</v>
      </c>
      <c r="BJ12" s="27">
        <v>0</v>
      </c>
      <c r="BK12" s="27">
        <v>0</v>
      </c>
      <c r="BL12" s="26">
        <v>0</v>
      </c>
      <c r="BM12" s="27">
        <v>0</v>
      </c>
      <c r="BN12" s="27">
        <v>3</v>
      </c>
      <c r="BO12" s="27">
        <v>6</v>
      </c>
      <c r="BP12" s="27">
        <v>25</v>
      </c>
      <c r="BQ12" s="27">
        <v>14</v>
      </c>
      <c r="BR12" s="27">
        <v>6</v>
      </c>
      <c r="BS12" s="27">
        <v>0</v>
      </c>
      <c r="BT12" s="27">
        <v>0</v>
      </c>
      <c r="BU12" s="27">
        <v>4</v>
      </c>
      <c r="BV12" s="27">
        <v>1</v>
      </c>
      <c r="BW12" s="27">
        <v>6</v>
      </c>
      <c r="BX12" s="27">
        <v>0</v>
      </c>
      <c r="BY12" s="27">
        <v>0</v>
      </c>
      <c r="BZ12" s="27">
        <v>53</v>
      </c>
      <c r="CA12" s="27">
        <v>0</v>
      </c>
      <c r="CB12" s="27">
        <v>2</v>
      </c>
      <c r="CC12" s="27">
        <v>5</v>
      </c>
      <c r="CD12" s="27">
        <v>63</v>
      </c>
      <c r="CE12" s="27">
        <v>12</v>
      </c>
      <c r="CF12" s="27">
        <v>3</v>
      </c>
      <c r="CG12" s="27">
        <v>0</v>
      </c>
      <c r="CH12" s="27">
        <v>0</v>
      </c>
      <c r="CI12" s="27">
        <v>2</v>
      </c>
      <c r="CJ12" s="27">
        <v>0</v>
      </c>
      <c r="CK12" s="27">
        <v>0</v>
      </c>
      <c r="CL12" s="27">
        <v>12</v>
      </c>
      <c r="CM12" s="27">
        <v>84</v>
      </c>
      <c r="CN12" s="27">
        <v>11</v>
      </c>
      <c r="CO12" s="27">
        <v>0</v>
      </c>
      <c r="CP12" s="28">
        <v>15</v>
      </c>
      <c r="CQ12" s="27">
        <v>3</v>
      </c>
      <c r="CR12" s="27">
        <v>4</v>
      </c>
      <c r="CS12" s="27">
        <v>51</v>
      </c>
      <c r="CT12" s="27">
        <v>76</v>
      </c>
      <c r="CU12" s="27">
        <v>3</v>
      </c>
      <c r="CV12" s="27">
        <v>0</v>
      </c>
      <c r="CW12" s="27">
        <v>10</v>
      </c>
      <c r="CX12" s="27">
        <v>40</v>
      </c>
      <c r="CY12" s="27">
        <v>20</v>
      </c>
      <c r="CZ12" s="27">
        <v>0</v>
      </c>
      <c r="DA12" s="27">
        <v>8</v>
      </c>
      <c r="DB12" s="27">
        <v>0</v>
      </c>
      <c r="DC12" s="27">
        <v>0</v>
      </c>
      <c r="DD12" s="27">
        <v>0</v>
      </c>
      <c r="DE12" s="27">
        <v>0</v>
      </c>
      <c r="DF12" s="27">
        <v>70</v>
      </c>
      <c r="DG12" s="27">
        <v>1</v>
      </c>
      <c r="DH12" s="27">
        <v>42</v>
      </c>
      <c r="DI12" s="27">
        <v>76</v>
      </c>
      <c r="DJ12" s="27">
        <v>0</v>
      </c>
      <c r="DK12" s="27">
        <v>179</v>
      </c>
      <c r="DL12" s="27">
        <v>156</v>
      </c>
      <c r="DM12" s="27">
        <v>63</v>
      </c>
      <c r="DN12" s="27">
        <v>3</v>
      </c>
      <c r="DO12" s="27">
        <v>30</v>
      </c>
      <c r="DP12" s="27">
        <v>9</v>
      </c>
      <c r="DQ12" s="27">
        <v>0</v>
      </c>
      <c r="DR12" s="27">
        <v>6</v>
      </c>
      <c r="DS12" s="27">
        <v>14</v>
      </c>
      <c r="DT12" s="27">
        <v>15</v>
      </c>
      <c r="DU12" s="26">
        <v>0</v>
      </c>
      <c r="DV12" s="27">
        <v>0</v>
      </c>
      <c r="DW12" s="27">
        <v>18</v>
      </c>
      <c r="DX12" s="27">
        <v>0</v>
      </c>
      <c r="DY12" s="27">
        <v>0</v>
      </c>
      <c r="DZ12" s="27">
        <v>5</v>
      </c>
      <c r="EA12" s="27">
        <v>0</v>
      </c>
      <c r="EB12" s="27">
        <v>0</v>
      </c>
      <c r="EC12" s="27">
        <v>23</v>
      </c>
      <c r="ED12" s="27">
        <v>4</v>
      </c>
      <c r="EE12" s="27">
        <v>0</v>
      </c>
      <c r="EF12" s="27">
        <v>24</v>
      </c>
      <c r="EG12" s="27">
        <v>8</v>
      </c>
      <c r="EH12" s="27">
        <v>8</v>
      </c>
      <c r="EI12" s="27">
        <v>0</v>
      </c>
      <c r="EJ12" s="27">
        <v>0</v>
      </c>
      <c r="EK12" s="27">
        <v>0</v>
      </c>
      <c r="EL12" s="27">
        <v>0</v>
      </c>
      <c r="EM12" s="27">
        <v>2</v>
      </c>
      <c r="EN12" s="27">
        <v>5</v>
      </c>
      <c r="EO12" s="27">
        <v>8</v>
      </c>
      <c r="EP12" s="27">
        <v>0</v>
      </c>
      <c r="EQ12" s="27">
        <v>1</v>
      </c>
      <c r="ER12" s="27"/>
      <c r="ES12" s="27"/>
      <c r="ET12" s="27"/>
      <c r="EU12" s="27"/>
    </row>
    <row r="13" spans="1:181" x14ac:dyDescent="0.3">
      <c r="A13" s="130">
        <v>317361</v>
      </c>
      <c r="B13" s="21" t="s">
        <v>146</v>
      </c>
      <c r="C13" s="249">
        <f>IFERROR(VLOOKUP(A13,완제품!B:AX,49,FALSE),0)</f>
        <v>216</v>
      </c>
      <c r="D13" s="27">
        <f t="shared" si="89"/>
        <v>129.74193548387098</v>
      </c>
      <c r="E13" s="27">
        <v>8</v>
      </c>
      <c r="F13" s="27">
        <v>11</v>
      </c>
      <c r="G13" s="27">
        <v>8</v>
      </c>
      <c r="H13" s="27">
        <v>0</v>
      </c>
      <c r="I13" s="27">
        <v>0</v>
      </c>
      <c r="J13" s="27">
        <v>69</v>
      </c>
      <c r="K13" s="27">
        <v>4</v>
      </c>
      <c r="L13" s="27">
        <v>0</v>
      </c>
      <c r="M13" s="27">
        <v>0</v>
      </c>
      <c r="N13" s="27">
        <v>1</v>
      </c>
      <c r="O13" s="27">
        <v>2</v>
      </c>
      <c r="P13" s="27">
        <v>0</v>
      </c>
      <c r="Q13" s="27">
        <v>4</v>
      </c>
      <c r="R13" s="27">
        <v>4</v>
      </c>
      <c r="S13" s="27">
        <v>0</v>
      </c>
      <c r="T13" s="27">
        <v>2</v>
      </c>
      <c r="U13" s="27">
        <v>0</v>
      </c>
      <c r="V13" s="27">
        <v>1</v>
      </c>
      <c r="W13" s="27">
        <v>0</v>
      </c>
      <c r="X13" s="27">
        <v>0</v>
      </c>
      <c r="Y13" s="27">
        <v>5</v>
      </c>
      <c r="Z13" s="27">
        <v>0</v>
      </c>
      <c r="AA13" s="27">
        <v>0</v>
      </c>
      <c r="AB13" s="27">
        <v>1</v>
      </c>
      <c r="AC13" s="27">
        <v>0</v>
      </c>
      <c r="AD13" s="27">
        <v>0</v>
      </c>
      <c r="AE13" s="27">
        <v>2</v>
      </c>
      <c r="AF13" s="27">
        <v>3</v>
      </c>
      <c r="AG13" s="27">
        <v>0</v>
      </c>
      <c r="AH13" s="27">
        <v>0</v>
      </c>
      <c r="AI13" s="28">
        <v>2</v>
      </c>
      <c r="AJ13" s="26">
        <v>1</v>
      </c>
      <c r="AK13" s="27">
        <v>0</v>
      </c>
      <c r="AL13" s="27">
        <v>2</v>
      </c>
      <c r="AM13" s="27">
        <v>0</v>
      </c>
      <c r="AN13" s="27">
        <v>2</v>
      </c>
      <c r="AO13" s="27">
        <v>35</v>
      </c>
      <c r="AP13" s="27">
        <v>2</v>
      </c>
      <c r="AQ13" s="27">
        <v>1</v>
      </c>
      <c r="AR13" s="27">
        <v>0</v>
      </c>
      <c r="AS13" s="27">
        <v>3</v>
      </c>
      <c r="AT13" s="27">
        <v>4</v>
      </c>
      <c r="AU13" s="27">
        <v>2</v>
      </c>
      <c r="AV13" s="27">
        <v>1</v>
      </c>
      <c r="AW13" s="27">
        <v>0</v>
      </c>
      <c r="AX13" s="27">
        <v>24</v>
      </c>
      <c r="AY13" s="27">
        <v>0</v>
      </c>
      <c r="AZ13" s="27">
        <v>39</v>
      </c>
      <c r="BA13" s="27">
        <v>0</v>
      </c>
      <c r="BB13" s="27">
        <v>1</v>
      </c>
      <c r="BC13" s="27">
        <v>7</v>
      </c>
      <c r="BD13" s="27">
        <v>2</v>
      </c>
      <c r="BE13" s="27">
        <v>0</v>
      </c>
      <c r="BF13" s="27">
        <v>0</v>
      </c>
      <c r="BG13" s="27">
        <v>3</v>
      </c>
      <c r="BH13" s="27">
        <v>1</v>
      </c>
      <c r="BI13" s="27">
        <v>7</v>
      </c>
      <c r="BJ13" s="27">
        <v>0</v>
      </c>
      <c r="BK13" s="27">
        <v>1</v>
      </c>
      <c r="BL13" s="26">
        <v>0</v>
      </c>
      <c r="BM13" s="27">
        <v>0</v>
      </c>
      <c r="BN13" s="27">
        <v>3</v>
      </c>
      <c r="BO13" s="27">
        <v>1</v>
      </c>
      <c r="BP13" s="27">
        <v>1</v>
      </c>
      <c r="BQ13" s="27">
        <v>6</v>
      </c>
      <c r="BR13" s="27">
        <v>2</v>
      </c>
      <c r="BS13" s="27">
        <v>3</v>
      </c>
      <c r="BT13" s="27">
        <v>0</v>
      </c>
      <c r="BU13" s="27">
        <v>2</v>
      </c>
      <c r="BV13" s="27">
        <v>13</v>
      </c>
      <c r="BW13" s="27">
        <v>5</v>
      </c>
      <c r="BX13" s="27">
        <v>10</v>
      </c>
      <c r="BY13" s="27">
        <v>0</v>
      </c>
      <c r="BZ13" s="27">
        <v>9</v>
      </c>
      <c r="CA13" s="27">
        <v>0</v>
      </c>
      <c r="CB13" s="27">
        <v>12</v>
      </c>
      <c r="CC13" s="27">
        <v>0</v>
      </c>
      <c r="CD13" s="27">
        <v>9</v>
      </c>
      <c r="CE13" s="27">
        <v>3</v>
      </c>
      <c r="CF13" s="27">
        <v>0</v>
      </c>
      <c r="CG13" s="27">
        <v>3</v>
      </c>
      <c r="CH13" s="27">
        <v>0</v>
      </c>
      <c r="CI13" s="27">
        <v>12</v>
      </c>
      <c r="CJ13" s="27">
        <v>4</v>
      </c>
      <c r="CK13" s="27">
        <v>3</v>
      </c>
      <c r="CL13" s="27">
        <v>0</v>
      </c>
      <c r="CM13" s="27">
        <v>4</v>
      </c>
      <c r="CN13" s="27">
        <v>4</v>
      </c>
      <c r="CO13" s="27">
        <v>0</v>
      </c>
      <c r="CP13" s="28">
        <v>14</v>
      </c>
      <c r="CQ13" s="27">
        <v>6</v>
      </c>
      <c r="CR13" s="27">
        <v>9</v>
      </c>
      <c r="CS13" s="27">
        <v>6</v>
      </c>
      <c r="CT13" s="27">
        <v>1</v>
      </c>
      <c r="CU13" s="27">
        <v>5</v>
      </c>
      <c r="CV13" s="27">
        <v>0</v>
      </c>
      <c r="CW13" s="27">
        <v>14</v>
      </c>
      <c r="CX13" s="27">
        <v>3</v>
      </c>
      <c r="CY13" s="27">
        <v>5</v>
      </c>
      <c r="CZ13" s="27">
        <v>6</v>
      </c>
      <c r="DA13" s="27">
        <v>10</v>
      </c>
      <c r="DB13" s="27">
        <v>3</v>
      </c>
      <c r="DC13" s="27">
        <v>0</v>
      </c>
      <c r="DD13" s="27">
        <v>7</v>
      </c>
      <c r="DE13" s="27">
        <v>11</v>
      </c>
      <c r="DF13" s="27">
        <v>7</v>
      </c>
      <c r="DG13" s="27">
        <v>1</v>
      </c>
      <c r="DH13" s="27">
        <v>7</v>
      </c>
      <c r="DI13" s="27">
        <v>4</v>
      </c>
      <c r="DJ13" s="27">
        <v>0</v>
      </c>
      <c r="DK13" s="27">
        <v>29</v>
      </c>
      <c r="DL13" s="27">
        <v>26</v>
      </c>
      <c r="DM13" s="27">
        <v>18</v>
      </c>
      <c r="DN13" s="27">
        <v>23</v>
      </c>
      <c r="DO13" s="27">
        <v>3</v>
      </c>
      <c r="DP13" s="27">
        <v>6</v>
      </c>
      <c r="DQ13" s="27">
        <v>0</v>
      </c>
      <c r="DR13" s="27">
        <v>3</v>
      </c>
      <c r="DS13" s="27">
        <v>2</v>
      </c>
      <c r="DT13" s="27">
        <v>1</v>
      </c>
      <c r="DU13" s="26">
        <v>3</v>
      </c>
      <c r="DV13" s="27">
        <v>2</v>
      </c>
      <c r="DW13" s="27">
        <v>3</v>
      </c>
      <c r="DX13" s="27">
        <v>0</v>
      </c>
      <c r="DY13" s="27">
        <v>1</v>
      </c>
      <c r="DZ13" s="27">
        <v>1</v>
      </c>
      <c r="EA13" s="27">
        <v>4</v>
      </c>
      <c r="EB13" s="27">
        <v>2</v>
      </c>
      <c r="EC13" s="27">
        <v>3</v>
      </c>
      <c r="ED13" s="27">
        <v>1</v>
      </c>
      <c r="EE13" s="27">
        <v>0</v>
      </c>
      <c r="EF13" s="27">
        <v>5</v>
      </c>
      <c r="EG13" s="27">
        <v>4</v>
      </c>
      <c r="EH13" s="27">
        <v>0</v>
      </c>
      <c r="EI13" s="27">
        <v>23</v>
      </c>
      <c r="EJ13" s="27">
        <v>5</v>
      </c>
      <c r="EK13" s="27">
        <v>0</v>
      </c>
      <c r="EL13" s="27">
        <v>0</v>
      </c>
      <c r="EM13" s="27">
        <v>4</v>
      </c>
      <c r="EN13" s="27">
        <v>1</v>
      </c>
      <c r="EO13" s="27">
        <v>0</v>
      </c>
      <c r="EP13" s="27">
        <v>12</v>
      </c>
      <c r="EQ13" s="27">
        <v>0</v>
      </c>
      <c r="ER13" s="27"/>
      <c r="ES13" s="27"/>
      <c r="ET13" s="27"/>
      <c r="EU13" s="27"/>
    </row>
    <row r="14" spans="1:181" x14ac:dyDescent="0.3">
      <c r="A14" s="130">
        <v>314432</v>
      </c>
      <c r="B14" s="21" t="s">
        <v>145</v>
      </c>
      <c r="C14" s="249">
        <f>IFERROR(VLOOKUP(A14,완제품!B:AX,49,FALSE),0)</f>
        <v>139</v>
      </c>
      <c r="D14" s="27">
        <f t="shared" si="89"/>
        <v>38.87096774193548</v>
      </c>
      <c r="E14" s="27">
        <v>0</v>
      </c>
      <c r="F14" s="27">
        <v>0</v>
      </c>
      <c r="G14" s="27">
        <v>0</v>
      </c>
      <c r="H14" s="27">
        <v>71</v>
      </c>
      <c r="I14" s="27">
        <v>0</v>
      </c>
      <c r="J14" s="27">
        <v>2</v>
      </c>
      <c r="K14" s="27">
        <v>1</v>
      </c>
      <c r="L14" s="27">
        <v>0</v>
      </c>
      <c r="M14" s="27">
        <v>1</v>
      </c>
      <c r="N14" s="27">
        <v>0</v>
      </c>
      <c r="O14" s="27">
        <v>11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2</v>
      </c>
      <c r="V14" s="27">
        <v>7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8">
        <v>120</v>
      </c>
      <c r="AJ14" s="26">
        <v>0</v>
      </c>
      <c r="AK14" s="27">
        <v>0</v>
      </c>
      <c r="AL14" s="27">
        <v>2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12</v>
      </c>
      <c r="AT14" s="27">
        <v>0</v>
      </c>
      <c r="AU14" s="27">
        <v>0</v>
      </c>
      <c r="AV14" s="27">
        <v>2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1</v>
      </c>
      <c r="BE14" s="27">
        <v>0</v>
      </c>
      <c r="BF14" s="27">
        <v>0</v>
      </c>
      <c r="BG14" s="27">
        <v>0</v>
      </c>
      <c r="BH14" s="27">
        <v>71</v>
      </c>
      <c r="BI14" s="27">
        <v>0</v>
      </c>
      <c r="BJ14" s="27">
        <v>0</v>
      </c>
      <c r="BK14" s="27">
        <v>0</v>
      </c>
      <c r="BL14" s="26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49</v>
      </c>
      <c r="BV14" s="27">
        <v>6</v>
      </c>
      <c r="BW14" s="27">
        <v>2</v>
      </c>
      <c r="BX14" s="27">
        <v>0</v>
      </c>
      <c r="BY14" s="27">
        <v>0</v>
      </c>
      <c r="BZ14" s="27">
        <v>1</v>
      </c>
      <c r="CA14" s="27">
        <v>0</v>
      </c>
      <c r="CB14" s="27">
        <v>0</v>
      </c>
      <c r="CC14" s="27">
        <v>0</v>
      </c>
      <c r="CD14" s="27">
        <v>0</v>
      </c>
      <c r="CE14" s="27">
        <v>2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8">
        <v>122</v>
      </c>
      <c r="CQ14" s="27">
        <v>0</v>
      </c>
      <c r="CR14" s="27">
        <v>0</v>
      </c>
      <c r="CS14" s="27">
        <v>0</v>
      </c>
      <c r="CT14" s="27">
        <v>0</v>
      </c>
      <c r="CU14" s="27">
        <v>47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1</v>
      </c>
      <c r="DF14" s="27">
        <v>0</v>
      </c>
      <c r="DG14" s="27">
        <v>0</v>
      </c>
      <c r="DH14" s="27">
        <v>75</v>
      </c>
      <c r="DI14" s="27">
        <v>2</v>
      </c>
      <c r="DJ14" s="27">
        <v>0</v>
      </c>
      <c r="DK14" s="27">
        <v>8</v>
      </c>
      <c r="DL14" s="27">
        <v>6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6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3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/>
      <c r="ES14" s="27"/>
      <c r="ET14" s="27"/>
      <c r="EU14" s="27"/>
    </row>
    <row r="15" spans="1:181" x14ac:dyDescent="0.3">
      <c r="A15" s="130">
        <v>321617</v>
      </c>
      <c r="B15" s="21" t="s">
        <v>11</v>
      </c>
      <c r="C15" s="249">
        <f>IFERROR(VLOOKUP(A15,완제품!B:AX,49,FALSE),0)</f>
        <v>838</v>
      </c>
      <c r="D15" s="27">
        <f t="shared" si="89"/>
        <v>948.25806451612902</v>
      </c>
      <c r="E15" s="27">
        <v>0</v>
      </c>
      <c r="F15" s="27">
        <v>50</v>
      </c>
      <c r="G15" s="27">
        <v>37</v>
      </c>
      <c r="H15" s="27">
        <v>60</v>
      </c>
      <c r="I15" s="27">
        <v>0</v>
      </c>
      <c r="J15" s="27">
        <v>38</v>
      </c>
      <c r="K15" s="27">
        <v>68</v>
      </c>
      <c r="L15" s="27">
        <v>0</v>
      </c>
      <c r="M15" s="27">
        <v>48</v>
      </c>
      <c r="N15" s="27">
        <v>42</v>
      </c>
      <c r="O15" s="27">
        <v>62</v>
      </c>
      <c r="P15" s="27">
        <v>0</v>
      </c>
      <c r="Q15" s="27">
        <v>31</v>
      </c>
      <c r="R15" s="27">
        <v>35</v>
      </c>
      <c r="S15" s="27">
        <v>0</v>
      </c>
      <c r="T15" s="27">
        <v>58</v>
      </c>
      <c r="U15" s="27">
        <v>37</v>
      </c>
      <c r="V15" s="27">
        <v>48</v>
      </c>
      <c r="W15" s="27">
        <v>0</v>
      </c>
      <c r="X15" s="27">
        <v>45</v>
      </c>
      <c r="Y15" s="27">
        <v>51</v>
      </c>
      <c r="Z15" s="27">
        <v>0</v>
      </c>
      <c r="AA15" s="27">
        <v>67</v>
      </c>
      <c r="AB15" s="27">
        <v>57</v>
      </c>
      <c r="AC15" s="27">
        <v>74</v>
      </c>
      <c r="AD15" s="27">
        <v>0</v>
      </c>
      <c r="AE15" s="27">
        <v>53</v>
      </c>
      <c r="AF15" s="27">
        <v>69</v>
      </c>
      <c r="AG15" s="27">
        <v>0</v>
      </c>
      <c r="AH15" s="27">
        <v>59</v>
      </c>
      <c r="AI15" s="28">
        <v>33</v>
      </c>
      <c r="AJ15" s="26">
        <v>48</v>
      </c>
      <c r="AK15" s="27">
        <v>0</v>
      </c>
      <c r="AL15" s="27">
        <v>77</v>
      </c>
      <c r="AM15" s="27">
        <v>26</v>
      </c>
      <c r="AN15" s="27">
        <v>0</v>
      </c>
      <c r="AO15" s="27">
        <v>47</v>
      </c>
      <c r="AP15" s="27">
        <v>45</v>
      </c>
      <c r="AQ15" s="27">
        <v>40</v>
      </c>
      <c r="AR15" s="27">
        <v>0</v>
      </c>
      <c r="AS15" s="27">
        <v>46</v>
      </c>
      <c r="AT15" s="27">
        <v>31</v>
      </c>
      <c r="AU15" s="27">
        <v>0</v>
      </c>
      <c r="AV15" s="27">
        <v>38</v>
      </c>
      <c r="AW15" s="27">
        <v>34</v>
      </c>
      <c r="AX15" s="27">
        <v>47</v>
      </c>
      <c r="AY15" s="27">
        <v>0</v>
      </c>
      <c r="AZ15" s="27">
        <v>55</v>
      </c>
      <c r="BA15" s="27">
        <v>36</v>
      </c>
      <c r="BB15" s="27">
        <v>0</v>
      </c>
      <c r="BC15" s="27">
        <v>66</v>
      </c>
      <c r="BD15" s="27">
        <v>40</v>
      </c>
      <c r="BE15" s="27">
        <v>57</v>
      </c>
      <c r="BF15" s="27">
        <v>0</v>
      </c>
      <c r="BG15" s="27">
        <v>52</v>
      </c>
      <c r="BH15" s="27">
        <v>55</v>
      </c>
      <c r="BI15" s="27">
        <v>0</v>
      </c>
      <c r="BJ15" s="27">
        <v>44</v>
      </c>
      <c r="BK15" s="27">
        <v>35</v>
      </c>
      <c r="BL15" s="26">
        <v>53</v>
      </c>
      <c r="BM15" s="27">
        <v>0</v>
      </c>
      <c r="BN15" s="27">
        <v>39</v>
      </c>
      <c r="BO15" s="27">
        <v>32</v>
      </c>
      <c r="BP15" s="27">
        <v>0</v>
      </c>
      <c r="BQ15" s="27">
        <v>73</v>
      </c>
      <c r="BR15" s="27">
        <v>39</v>
      </c>
      <c r="BS15" s="27">
        <v>66</v>
      </c>
      <c r="BT15" s="27">
        <v>0</v>
      </c>
      <c r="BU15" s="27">
        <v>37</v>
      </c>
      <c r="BV15" s="27">
        <v>47</v>
      </c>
      <c r="BW15" s="27">
        <v>0</v>
      </c>
      <c r="BX15" s="27">
        <v>53</v>
      </c>
      <c r="BY15" s="27">
        <v>20</v>
      </c>
      <c r="BZ15" s="27">
        <v>64</v>
      </c>
      <c r="CA15" s="27">
        <v>0</v>
      </c>
      <c r="CB15" s="27">
        <v>50</v>
      </c>
      <c r="CC15" s="27">
        <v>37</v>
      </c>
      <c r="CD15" s="27">
        <v>0</v>
      </c>
      <c r="CE15" s="27">
        <v>50</v>
      </c>
      <c r="CF15" s="27">
        <v>26</v>
      </c>
      <c r="CG15" s="27">
        <v>55</v>
      </c>
      <c r="CH15" s="27">
        <v>0</v>
      </c>
      <c r="CI15" s="27">
        <v>45</v>
      </c>
      <c r="CJ15" s="27">
        <v>32</v>
      </c>
      <c r="CK15" s="27">
        <v>0</v>
      </c>
      <c r="CL15" s="27">
        <v>181</v>
      </c>
      <c r="CM15" s="27">
        <v>36</v>
      </c>
      <c r="CN15" s="27">
        <v>51</v>
      </c>
      <c r="CO15" s="27">
        <v>0</v>
      </c>
      <c r="CP15" s="28">
        <v>48</v>
      </c>
      <c r="CQ15" s="27">
        <v>35</v>
      </c>
      <c r="CR15" s="27">
        <v>0</v>
      </c>
      <c r="CS15" s="27">
        <v>65</v>
      </c>
      <c r="CT15" s="27">
        <v>27</v>
      </c>
      <c r="CU15" s="27">
        <v>49</v>
      </c>
      <c r="CV15" s="27">
        <v>0</v>
      </c>
      <c r="CW15" s="27">
        <v>28</v>
      </c>
      <c r="CX15" s="27">
        <v>29</v>
      </c>
      <c r="CY15" s="27">
        <v>0</v>
      </c>
      <c r="CZ15" s="27">
        <v>53</v>
      </c>
      <c r="DA15" s="27">
        <v>23</v>
      </c>
      <c r="DB15" s="27">
        <v>43</v>
      </c>
      <c r="DC15" s="27">
        <v>0</v>
      </c>
      <c r="DD15" s="27">
        <v>41</v>
      </c>
      <c r="DE15" s="27">
        <v>35</v>
      </c>
      <c r="DF15" s="27">
        <v>0</v>
      </c>
      <c r="DG15" s="27">
        <v>44</v>
      </c>
      <c r="DH15" s="27">
        <v>30</v>
      </c>
      <c r="DI15" s="27">
        <v>49</v>
      </c>
      <c r="DJ15" s="27">
        <v>0</v>
      </c>
      <c r="DK15" s="27">
        <v>34</v>
      </c>
      <c r="DL15" s="27">
        <v>52</v>
      </c>
      <c r="DM15" s="27">
        <v>0</v>
      </c>
      <c r="DN15" s="27">
        <v>47</v>
      </c>
      <c r="DO15" s="27">
        <v>25</v>
      </c>
      <c r="DP15" s="27">
        <v>39</v>
      </c>
      <c r="DQ15" s="27">
        <v>0</v>
      </c>
      <c r="DR15" s="27">
        <v>39</v>
      </c>
      <c r="DS15" s="27">
        <v>51</v>
      </c>
      <c r="DT15" s="27">
        <v>0</v>
      </c>
      <c r="DU15" s="26">
        <v>69</v>
      </c>
      <c r="DV15" s="27">
        <v>19</v>
      </c>
      <c r="DW15" s="27">
        <v>62</v>
      </c>
      <c r="DX15" s="27">
        <v>0</v>
      </c>
      <c r="DY15" s="27">
        <v>66</v>
      </c>
      <c r="DZ15" s="27">
        <v>27</v>
      </c>
      <c r="EA15" s="27">
        <v>0</v>
      </c>
      <c r="EB15" s="27">
        <v>25</v>
      </c>
      <c r="EC15" s="27">
        <v>39</v>
      </c>
      <c r="ED15" s="27">
        <v>40</v>
      </c>
      <c r="EE15" s="27">
        <v>0</v>
      </c>
      <c r="EF15" s="27">
        <v>35</v>
      </c>
      <c r="EG15" s="27">
        <v>28</v>
      </c>
      <c r="EH15" s="27">
        <v>0</v>
      </c>
      <c r="EI15" s="27">
        <v>56</v>
      </c>
      <c r="EJ15" s="27">
        <v>22</v>
      </c>
      <c r="EK15" s="27">
        <v>38</v>
      </c>
      <c r="EL15" s="27">
        <v>0</v>
      </c>
      <c r="EM15" s="27">
        <v>89</v>
      </c>
      <c r="EN15" s="27">
        <v>36</v>
      </c>
      <c r="EO15" s="27">
        <v>0</v>
      </c>
      <c r="EP15" s="27">
        <v>59</v>
      </c>
      <c r="EQ15" s="27">
        <v>22</v>
      </c>
      <c r="ER15" s="27"/>
      <c r="ES15" s="27"/>
      <c r="ET15" s="27"/>
      <c r="EU15" s="27"/>
    </row>
    <row r="16" spans="1:181" x14ac:dyDescent="0.3">
      <c r="A16" s="130">
        <v>334659</v>
      </c>
      <c r="B16" s="21" t="s">
        <v>12</v>
      </c>
      <c r="C16" s="249">
        <f>IFERROR(VLOOKUP(A16,완제품!B:AX,49,FALSE),0)</f>
        <v>6</v>
      </c>
      <c r="D16" s="27">
        <f t="shared" si="89"/>
        <v>1.5483870967741935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2</v>
      </c>
      <c r="N16" s="27">
        <v>4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5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8">
        <v>0</v>
      </c>
      <c r="AJ16" s="26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2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6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0</v>
      </c>
      <c r="BT16" s="27">
        <v>0</v>
      </c>
      <c r="BU16" s="27">
        <v>0</v>
      </c>
      <c r="BV16" s="27">
        <v>0</v>
      </c>
      <c r="BW16" s="27">
        <v>0</v>
      </c>
      <c r="BX16" s="27">
        <v>0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0</v>
      </c>
      <c r="CF16" s="27">
        <v>0</v>
      </c>
      <c r="CG16" s="27">
        <v>0</v>
      </c>
      <c r="CH16" s="27">
        <v>0</v>
      </c>
      <c r="CI16" s="27">
        <v>4</v>
      </c>
      <c r="CJ16" s="27">
        <v>0</v>
      </c>
      <c r="CK16" s="27">
        <v>0</v>
      </c>
      <c r="CL16" s="27">
        <v>0</v>
      </c>
      <c r="CM16" s="27">
        <v>0</v>
      </c>
      <c r="CN16" s="27">
        <v>0</v>
      </c>
      <c r="CO16" s="27">
        <v>0</v>
      </c>
      <c r="CP16" s="28">
        <v>0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0</v>
      </c>
      <c r="CW16" s="27">
        <v>2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27">
        <v>0</v>
      </c>
      <c r="DD16" s="27">
        <v>0</v>
      </c>
      <c r="DE16" s="27">
        <v>0</v>
      </c>
      <c r="DF16" s="27">
        <v>0</v>
      </c>
      <c r="DG16" s="27">
        <v>0</v>
      </c>
      <c r="DH16" s="27">
        <v>0</v>
      </c>
      <c r="DI16" s="27">
        <v>0</v>
      </c>
      <c r="DJ16" s="27">
        <v>0</v>
      </c>
      <c r="DK16" s="27">
        <v>0</v>
      </c>
      <c r="DL16" s="27">
        <v>0</v>
      </c>
      <c r="DM16" s="27">
        <v>0</v>
      </c>
      <c r="DN16" s="27">
        <v>4</v>
      </c>
      <c r="DO16" s="27">
        <v>0</v>
      </c>
      <c r="DP16" s="27">
        <v>0</v>
      </c>
      <c r="DQ16" s="27">
        <v>0</v>
      </c>
      <c r="DR16" s="27">
        <v>0</v>
      </c>
      <c r="DS16" s="27">
        <v>0</v>
      </c>
      <c r="DT16" s="27">
        <v>0</v>
      </c>
      <c r="DU16" s="26">
        <v>0</v>
      </c>
      <c r="DV16" s="27">
        <v>0</v>
      </c>
      <c r="DW16" s="27">
        <v>0</v>
      </c>
      <c r="DX16" s="27">
        <v>0</v>
      </c>
      <c r="DY16" s="27">
        <v>0</v>
      </c>
      <c r="DZ16" s="27">
        <v>0</v>
      </c>
      <c r="EA16" s="27">
        <v>0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0</v>
      </c>
      <c r="EI16" s="27">
        <v>0</v>
      </c>
      <c r="EJ16" s="27">
        <v>0</v>
      </c>
      <c r="EK16" s="27">
        <v>0</v>
      </c>
      <c r="EL16" s="27">
        <v>0</v>
      </c>
      <c r="EM16" s="27">
        <v>0</v>
      </c>
      <c r="EN16" s="27">
        <v>0</v>
      </c>
      <c r="EO16" s="27">
        <v>0</v>
      </c>
      <c r="EP16" s="27">
        <v>0</v>
      </c>
      <c r="EQ16" s="27">
        <v>0</v>
      </c>
      <c r="ER16" s="27"/>
      <c r="ES16" s="27"/>
      <c r="ET16" s="27"/>
      <c r="EU16" s="27"/>
    </row>
    <row r="17" spans="1:151" x14ac:dyDescent="0.3">
      <c r="A17" s="130">
        <v>320471</v>
      </c>
      <c r="B17" s="21" t="s">
        <v>13</v>
      </c>
      <c r="C17" s="249">
        <f>IFERROR(VLOOKUP(A17,완제품!B:AX,49,FALSE),0)</f>
        <v>892</v>
      </c>
      <c r="D17" s="27">
        <f t="shared" si="89"/>
        <v>721.19354838709683</v>
      </c>
      <c r="E17" s="27">
        <v>0</v>
      </c>
      <c r="F17" s="27">
        <v>35</v>
      </c>
      <c r="G17" s="27">
        <v>43</v>
      </c>
      <c r="H17" s="27">
        <v>0</v>
      </c>
      <c r="I17" s="27">
        <v>0</v>
      </c>
      <c r="J17" s="27">
        <v>0</v>
      </c>
      <c r="K17" s="27">
        <v>8</v>
      </c>
      <c r="L17" s="27">
        <v>5</v>
      </c>
      <c r="M17" s="27">
        <v>1</v>
      </c>
      <c r="N17" s="27">
        <v>0</v>
      </c>
      <c r="O17" s="27">
        <v>2</v>
      </c>
      <c r="P17" s="27">
        <v>0</v>
      </c>
      <c r="Q17" s="27">
        <v>0</v>
      </c>
      <c r="R17" s="27">
        <v>0</v>
      </c>
      <c r="S17" s="27">
        <v>10</v>
      </c>
      <c r="T17" s="27">
        <v>43</v>
      </c>
      <c r="U17" s="27">
        <v>0</v>
      </c>
      <c r="V17" s="27">
        <v>15</v>
      </c>
      <c r="W17" s="27">
        <v>0</v>
      </c>
      <c r="X17" s="27">
        <v>7</v>
      </c>
      <c r="Y17" s="27">
        <v>11</v>
      </c>
      <c r="Z17" s="27">
        <v>0</v>
      </c>
      <c r="AA17" s="27">
        <v>19</v>
      </c>
      <c r="AB17" s="27">
        <v>6</v>
      </c>
      <c r="AC17" s="27">
        <v>0</v>
      </c>
      <c r="AD17" s="27">
        <v>0</v>
      </c>
      <c r="AE17" s="27">
        <v>26</v>
      </c>
      <c r="AF17" s="27">
        <v>0</v>
      </c>
      <c r="AG17" s="27">
        <v>0</v>
      </c>
      <c r="AH17" s="27">
        <v>11</v>
      </c>
      <c r="AI17" s="28">
        <v>2</v>
      </c>
      <c r="AJ17" s="26">
        <v>45</v>
      </c>
      <c r="AK17" s="27">
        <v>0</v>
      </c>
      <c r="AL17" s="27">
        <v>0</v>
      </c>
      <c r="AM17" s="27">
        <v>26</v>
      </c>
      <c r="AN17" s="27">
        <v>0</v>
      </c>
      <c r="AO17" s="27">
        <v>32</v>
      </c>
      <c r="AP17" s="27">
        <v>23</v>
      </c>
      <c r="AQ17" s="27">
        <v>0</v>
      </c>
      <c r="AR17" s="27">
        <v>0</v>
      </c>
      <c r="AS17" s="27">
        <v>0</v>
      </c>
      <c r="AT17" s="27">
        <v>5</v>
      </c>
      <c r="AU17" s="27">
        <v>12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20</v>
      </c>
      <c r="BB17" s="27">
        <v>0</v>
      </c>
      <c r="BC17" s="27">
        <v>4</v>
      </c>
      <c r="BD17" s="27">
        <v>6</v>
      </c>
      <c r="BE17" s="27">
        <v>0</v>
      </c>
      <c r="BF17" s="27">
        <v>0</v>
      </c>
      <c r="BG17" s="27">
        <v>62</v>
      </c>
      <c r="BH17" s="27">
        <v>5</v>
      </c>
      <c r="BI17" s="27">
        <v>0</v>
      </c>
      <c r="BJ17" s="27">
        <v>0</v>
      </c>
      <c r="BK17" s="27">
        <v>0</v>
      </c>
      <c r="BL17" s="26">
        <v>8</v>
      </c>
      <c r="BM17" s="27">
        <v>0</v>
      </c>
      <c r="BN17" s="27">
        <v>0</v>
      </c>
      <c r="BO17" s="27">
        <v>1</v>
      </c>
      <c r="BP17" s="27">
        <v>0</v>
      </c>
      <c r="BQ17" s="27">
        <v>0</v>
      </c>
      <c r="BR17" s="27">
        <v>8</v>
      </c>
      <c r="BS17" s="27">
        <v>0</v>
      </c>
      <c r="BT17" s="27">
        <v>0</v>
      </c>
      <c r="BU17" s="27">
        <v>7</v>
      </c>
      <c r="BV17" s="27">
        <v>20</v>
      </c>
      <c r="BW17" s="27">
        <v>18</v>
      </c>
      <c r="BX17" s="27">
        <v>0</v>
      </c>
      <c r="BY17" s="27">
        <v>1</v>
      </c>
      <c r="BZ17" s="27">
        <v>0</v>
      </c>
      <c r="CA17" s="27">
        <v>0</v>
      </c>
      <c r="CB17" s="27">
        <v>1</v>
      </c>
      <c r="CC17" s="27">
        <v>60</v>
      </c>
      <c r="CD17" s="27">
        <v>3</v>
      </c>
      <c r="CE17" s="27">
        <v>71</v>
      </c>
      <c r="CF17" s="27">
        <v>0</v>
      </c>
      <c r="CG17" s="27">
        <v>55</v>
      </c>
      <c r="CH17" s="27">
        <v>0</v>
      </c>
      <c r="CI17" s="27">
        <v>67</v>
      </c>
      <c r="CJ17" s="27">
        <v>38</v>
      </c>
      <c r="CK17" s="27">
        <v>5</v>
      </c>
      <c r="CL17" s="27">
        <v>120</v>
      </c>
      <c r="CM17" s="27">
        <v>23</v>
      </c>
      <c r="CN17" s="27">
        <v>16</v>
      </c>
      <c r="CO17" s="27">
        <v>0</v>
      </c>
      <c r="CP17" s="28">
        <v>49</v>
      </c>
      <c r="CQ17" s="27">
        <v>38</v>
      </c>
      <c r="CR17" s="27">
        <v>1</v>
      </c>
      <c r="CS17" s="27">
        <v>32</v>
      </c>
      <c r="CT17" s="27">
        <v>46</v>
      </c>
      <c r="CU17" s="27">
        <v>10</v>
      </c>
      <c r="CV17" s="27">
        <v>0</v>
      </c>
      <c r="CW17" s="27">
        <v>78</v>
      </c>
      <c r="CX17" s="27">
        <v>0</v>
      </c>
      <c r="CY17" s="27">
        <v>35</v>
      </c>
      <c r="CZ17" s="27">
        <v>71</v>
      </c>
      <c r="DA17" s="27">
        <v>37</v>
      </c>
      <c r="DB17" s="27">
        <v>0</v>
      </c>
      <c r="DC17" s="27">
        <v>0</v>
      </c>
      <c r="DD17" s="27">
        <v>10</v>
      </c>
      <c r="DE17" s="27">
        <v>60</v>
      </c>
      <c r="DF17" s="27">
        <v>7</v>
      </c>
      <c r="DG17" s="27">
        <v>27</v>
      </c>
      <c r="DH17" s="27">
        <v>60</v>
      </c>
      <c r="DI17" s="27">
        <v>121</v>
      </c>
      <c r="DJ17" s="27">
        <v>0</v>
      </c>
      <c r="DK17" s="27">
        <v>54</v>
      </c>
      <c r="DL17" s="27">
        <v>9</v>
      </c>
      <c r="DM17" s="27">
        <v>70</v>
      </c>
      <c r="DN17" s="27">
        <v>0</v>
      </c>
      <c r="DO17" s="27">
        <v>32</v>
      </c>
      <c r="DP17" s="27">
        <v>29</v>
      </c>
      <c r="DQ17" s="27">
        <v>0</v>
      </c>
      <c r="DR17" s="27">
        <v>0</v>
      </c>
      <c r="DS17" s="27">
        <v>0</v>
      </c>
      <c r="DT17" s="27">
        <v>65</v>
      </c>
      <c r="DU17" s="26">
        <v>3</v>
      </c>
      <c r="DV17" s="27">
        <v>10</v>
      </c>
      <c r="DW17" s="27">
        <v>0</v>
      </c>
      <c r="DX17" s="27">
        <v>0</v>
      </c>
      <c r="DY17" s="27">
        <v>0</v>
      </c>
      <c r="DZ17" s="27">
        <v>0</v>
      </c>
      <c r="EA17" s="27">
        <v>85</v>
      </c>
      <c r="EB17" s="27">
        <v>0</v>
      </c>
      <c r="EC17" s="27">
        <v>0</v>
      </c>
      <c r="ED17" s="27">
        <v>57</v>
      </c>
      <c r="EE17" s="27">
        <v>0</v>
      </c>
      <c r="EF17" s="27">
        <v>52</v>
      </c>
      <c r="EG17" s="27">
        <v>25</v>
      </c>
      <c r="EH17" s="27">
        <v>15</v>
      </c>
      <c r="EI17" s="27">
        <v>6</v>
      </c>
      <c r="EJ17" s="27">
        <v>1</v>
      </c>
      <c r="EK17" s="27">
        <v>0</v>
      </c>
      <c r="EL17" s="27">
        <v>0</v>
      </c>
      <c r="EM17" s="27">
        <v>2</v>
      </c>
      <c r="EN17" s="27">
        <v>0</v>
      </c>
      <c r="EO17" s="27">
        <v>90</v>
      </c>
      <c r="EP17" s="27">
        <v>106</v>
      </c>
      <c r="EQ17" s="27">
        <v>39</v>
      </c>
      <c r="ER17" s="27"/>
      <c r="ES17" s="27"/>
      <c r="ET17" s="27"/>
      <c r="EU17" s="27"/>
    </row>
    <row r="18" spans="1:151" x14ac:dyDescent="0.3">
      <c r="A18" s="130">
        <v>321310</v>
      </c>
      <c r="B18" s="21" t="s">
        <v>14</v>
      </c>
      <c r="C18" s="249">
        <f>IFERROR(VLOOKUP(A18,완제품!B:AX,49,FALSE),0)</f>
        <v>480</v>
      </c>
      <c r="D18" s="334">
        <f>IFERROR((SUM(DU18:EY18)+D19*3+D20*4+D21*5+D22*6+D23*6)/$D$2*$D$1,0)*$D$3+C18*$D$4</f>
        <v>227.87096774193549</v>
      </c>
      <c r="E18" s="27">
        <v>24</v>
      </c>
      <c r="F18" s="27">
        <v>24</v>
      </c>
      <c r="G18" s="27">
        <v>0</v>
      </c>
      <c r="H18" s="27">
        <v>24</v>
      </c>
      <c r="I18" s="27">
        <v>0</v>
      </c>
      <c r="J18" s="27">
        <v>2</v>
      </c>
      <c r="K18" s="27">
        <v>24</v>
      </c>
      <c r="L18" s="27">
        <v>0</v>
      </c>
      <c r="M18" s="27">
        <v>29</v>
      </c>
      <c r="N18" s="27">
        <v>0</v>
      </c>
      <c r="O18" s="27">
        <v>24</v>
      </c>
      <c r="P18" s="27">
        <v>1</v>
      </c>
      <c r="Q18" s="27">
        <v>0</v>
      </c>
      <c r="R18" s="27">
        <v>24</v>
      </c>
      <c r="S18" s="27">
        <v>1</v>
      </c>
      <c r="T18" s="27">
        <v>25</v>
      </c>
      <c r="U18" s="27">
        <v>48</v>
      </c>
      <c r="V18" s="27">
        <v>0</v>
      </c>
      <c r="W18" s="27">
        <v>1</v>
      </c>
      <c r="X18" s="27">
        <v>0</v>
      </c>
      <c r="Y18" s="27">
        <v>48</v>
      </c>
      <c r="Z18" s="27">
        <v>0</v>
      </c>
      <c r="AA18" s="27">
        <v>0</v>
      </c>
      <c r="AB18" s="27">
        <v>72</v>
      </c>
      <c r="AC18" s="27">
        <v>0</v>
      </c>
      <c r="AD18" s="27">
        <v>0</v>
      </c>
      <c r="AE18" s="27">
        <v>0</v>
      </c>
      <c r="AF18" s="27">
        <v>24</v>
      </c>
      <c r="AG18" s="27">
        <v>0</v>
      </c>
      <c r="AH18" s="27">
        <v>0</v>
      </c>
      <c r="AI18" s="28">
        <v>28</v>
      </c>
      <c r="AJ18" s="26">
        <v>0</v>
      </c>
      <c r="AK18" s="27">
        <v>0</v>
      </c>
      <c r="AL18" s="27">
        <v>0</v>
      </c>
      <c r="AM18" s="27">
        <v>48</v>
      </c>
      <c r="AN18" s="27">
        <v>0</v>
      </c>
      <c r="AO18" s="27">
        <v>0</v>
      </c>
      <c r="AP18" s="27">
        <v>24</v>
      </c>
      <c r="AQ18" s="27">
        <v>24</v>
      </c>
      <c r="AR18" s="27">
        <v>0</v>
      </c>
      <c r="AS18" s="27">
        <v>0</v>
      </c>
      <c r="AT18" s="27">
        <v>24</v>
      </c>
      <c r="AU18" s="27">
        <v>24</v>
      </c>
      <c r="AV18" s="27">
        <v>24</v>
      </c>
      <c r="AW18" s="27">
        <v>0</v>
      </c>
      <c r="AX18" s="27">
        <v>0</v>
      </c>
      <c r="AY18" s="27">
        <v>0</v>
      </c>
      <c r="AZ18" s="27">
        <v>28</v>
      </c>
      <c r="BA18" s="27">
        <v>72</v>
      </c>
      <c r="BB18" s="27">
        <v>6</v>
      </c>
      <c r="BC18" s="27">
        <v>24</v>
      </c>
      <c r="BD18" s="27">
        <v>0</v>
      </c>
      <c r="BE18" s="27">
        <v>48</v>
      </c>
      <c r="BF18" s="27">
        <v>0</v>
      </c>
      <c r="BG18" s="27">
        <v>2784</v>
      </c>
      <c r="BH18" s="27">
        <v>24</v>
      </c>
      <c r="BI18" s="27">
        <v>0</v>
      </c>
      <c r="BJ18" s="27">
        <v>24</v>
      </c>
      <c r="BK18" s="27">
        <v>0</v>
      </c>
      <c r="BL18" s="26">
        <v>24</v>
      </c>
      <c r="BM18" s="27">
        <v>0</v>
      </c>
      <c r="BN18" s="27">
        <v>0</v>
      </c>
      <c r="BO18" s="27">
        <v>24</v>
      </c>
      <c r="BP18" s="27">
        <v>24</v>
      </c>
      <c r="BQ18" s="27">
        <v>0</v>
      </c>
      <c r="BR18" s="27">
        <v>48</v>
      </c>
      <c r="BS18" s="27">
        <v>24</v>
      </c>
      <c r="BT18" s="27">
        <v>0</v>
      </c>
      <c r="BU18" s="27">
        <v>0</v>
      </c>
      <c r="BV18" s="27">
        <v>24</v>
      </c>
      <c r="BW18" s="27">
        <v>24</v>
      </c>
      <c r="BX18" s="27">
        <v>0</v>
      </c>
      <c r="BY18" s="27">
        <v>24</v>
      </c>
      <c r="BZ18" s="27">
        <v>0</v>
      </c>
      <c r="CA18" s="27">
        <v>0</v>
      </c>
      <c r="CB18" s="27">
        <v>24</v>
      </c>
      <c r="CC18" s="27">
        <v>75</v>
      </c>
      <c r="CD18" s="27">
        <v>24</v>
      </c>
      <c r="CE18" s="27">
        <v>0</v>
      </c>
      <c r="CF18" s="27">
        <v>24</v>
      </c>
      <c r="CG18" s="27">
        <v>24</v>
      </c>
      <c r="CH18" s="27">
        <v>0</v>
      </c>
      <c r="CI18" s="27">
        <v>24</v>
      </c>
      <c r="CJ18" s="27">
        <v>48</v>
      </c>
      <c r="CK18" s="27">
        <v>24</v>
      </c>
      <c r="CL18" s="27">
        <v>0</v>
      </c>
      <c r="CM18" s="27">
        <v>24</v>
      </c>
      <c r="CN18" s="27">
        <v>0</v>
      </c>
      <c r="CO18" s="27">
        <v>3</v>
      </c>
      <c r="CP18" s="28">
        <v>24</v>
      </c>
      <c r="CQ18" s="27">
        <v>24</v>
      </c>
      <c r="CR18" s="27">
        <v>0</v>
      </c>
      <c r="CS18" s="27">
        <v>24</v>
      </c>
      <c r="CT18" s="27">
        <v>0</v>
      </c>
      <c r="CU18" s="27">
        <v>24</v>
      </c>
      <c r="CV18" s="27">
        <v>0</v>
      </c>
      <c r="CW18" s="27">
        <v>0</v>
      </c>
      <c r="CX18" s="27">
        <v>48</v>
      </c>
      <c r="CY18" s="27">
        <v>72</v>
      </c>
      <c r="CZ18" s="27">
        <v>48</v>
      </c>
      <c r="DA18" s="27">
        <v>0</v>
      </c>
      <c r="DB18">
        <v>24</v>
      </c>
      <c r="DC18" s="27">
        <v>0</v>
      </c>
      <c r="DD18" s="27">
        <v>0</v>
      </c>
      <c r="DE18" s="27">
        <v>24</v>
      </c>
      <c r="DF18" s="27">
        <v>0</v>
      </c>
      <c r="DG18" s="27">
        <v>24</v>
      </c>
      <c r="DH18" s="27">
        <v>0</v>
      </c>
      <c r="DI18" s="27">
        <v>24</v>
      </c>
      <c r="DJ18" s="27">
        <v>0</v>
      </c>
      <c r="DK18" s="27">
        <v>24</v>
      </c>
      <c r="DL18" s="27">
        <v>0</v>
      </c>
      <c r="DM18" s="27">
        <v>48</v>
      </c>
      <c r="DN18" s="27">
        <v>0</v>
      </c>
      <c r="DO18" s="27">
        <v>24</v>
      </c>
      <c r="DP18" s="27">
        <v>24</v>
      </c>
      <c r="DQ18" s="27">
        <v>0</v>
      </c>
      <c r="DR18" s="27">
        <v>0</v>
      </c>
      <c r="DS18" s="27">
        <v>0</v>
      </c>
      <c r="DT18" s="27">
        <v>24</v>
      </c>
      <c r="DU18" s="26">
        <v>0</v>
      </c>
      <c r="DV18" s="27">
        <v>0</v>
      </c>
      <c r="DW18" s="27">
        <v>24</v>
      </c>
      <c r="DX18" s="27">
        <v>0</v>
      </c>
      <c r="DY18" s="27">
        <v>24</v>
      </c>
      <c r="DZ18" s="27">
        <v>0</v>
      </c>
      <c r="EA18" s="27">
        <v>1</v>
      </c>
      <c r="EB18" s="27">
        <v>24</v>
      </c>
      <c r="EC18" s="27">
        <v>0</v>
      </c>
      <c r="ED18" s="27">
        <v>0</v>
      </c>
      <c r="EE18" s="27">
        <v>0</v>
      </c>
      <c r="EF18" s="27">
        <v>24</v>
      </c>
      <c r="EG18" s="27">
        <v>5</v>
      </c>
      <c r="EH18" s="27">
        <v>2</v>
      </c>
      <c r="EI18" s="27">
        <v>0</v>
      </c>
      <c r="EJ18" s="27">
        <v>0</v>
      </c>
      <c r="EK18" s="27">
        <v>0</v>
      </c>
      <c r="EL18" s="27">
        <v>0</v>
      </c>
      <c r="EM18" s="27">
        <v>0</v>
      </c>
      <c r="EN18" s="27">
        <v>0</v>
      </c>
      <c r="EO18" s="27">
        <v>0</v>
      </c>
      <c r="EP18" s="27">
        <v>0</v>
      </c>
      <c r="EQ18" s="27">
        <v>0</v>
      </c>
      <c r="ER18" s="27"/>
      <c r="ES18" s="27"/>
      <c r="ET18" s="27"/>
      <c r="EU18" s="27"/>
    </row>
    <row r="19" spans="1:151" x14ac:dyDescent="0.3">
      <c r="A19" s="130">
        <v>316183</v>
      </c>
      <c r="B19" s="21" t="s">
        <v>832</v>
      </c>
      <c r="C19" s="249">
        <f>IFERROR(VLOOKUP(A19,완제품!B:AX,49,FALSE),0)</f>
        <v>0</v>
      </c>
      <c r="D19" s="27">
        <f t="shared" si="89"/>
        <v>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/>
      <c r="AJ19" s="26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6">
        <v>0</v>
      </c>
      <c r="BM19" s="27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  <c r="CM19" s="27">
        <v>0</v>
      </c>
      <c r="CN19" s="27">
        <v>0</v>
      </c>
      <c r="CO19" s="27">
        <v>0</v>
      </c>
      <c r="CP19" s="28">
        <v>0</v>
      </c>
      <c r="CQ19" s="27">
        <v>0</v>
      </c>
      <c r="CR19" s="27">
        <v>0</v>
      </c>
      <c r="CS19" s="27">
        <v>0</v>
      </c>
      <c r="CT19" s="27">
        <v>0</v>
      </c>
      <c r="CU19" s="27">
        <v>0</v>
      </c>
      <c r="CV19" s="27">
        <v>0</v>
      </c>
      <c r="CW19" s="27">
        <v>0</v>
      </c>
      <c r="CX19" s="27">
        <v>0</v>
      </c>
      <c r="CY19" s="27">
        <v>0</v>
      </c>
      <c r="CZ19" s="27">
        <v>0</v>
      </c>
      <c r="DA19" s="27">
        <v>0</v>
      </c>
      <c r="DB19" s="27">
        <v>0</v>
      </c>
      <c r="DC19" s="27">
        <v>0</v>
      </c>
      <c r="DD19" s="27">
        <v>0</v>
      </c>
      <c r="DE19" s="27">
        <v>0</v>
      </c>
      <c r="DF19" s="27">
        <v>0</v>
      </c>
      <c r="DG19" s="27">
        <v>0</v>
      </c>
      <c r="DH19" s="27">
        <v>0</v>
      </c>
      <c r="DI19" s="27">
        <v>0</v>
      </c>
      <c r="DJ19" s="27">
        <v>0</v>
      </c>
      <c r="DK19" s="27">
        <v>0</v>
      </c>
      <c r="DL19" s="27">
        <v>0</v>
      </c>
      <c r="DM19" s="27">
        <v>0</v>
      </c>
      <c r="DN19" s="27">
        <v>0</v>
      </c>
      <c r="DO19" s="27">
        <v>0</v>
      </c>
      <c r="DP19" s="27">
        <v>0</v>
      </c>
      <c r="DQ19" s="27">
        <v>0</v>
      </c>
      <c r="DR19" s="27">
        <v>0</v>
      </c>
      <c r="DS19" s="27">
        <v>0</v>
      </c>
      <c r="DT19" s="27">
        <v>0</v>
      </c>
      <c r="DU19" s="26">
        <v>0</v>
      </c>
      <c r="DV19" s="27">
        <v>0</v>
      </c>
      <c r="DW19" s="27">
        <v>0</v>
      </c>
      <c r="DX19" s="27">
        <v>0</v>
      </c>
      <c r="DY19" s="27">
        <v>0</v>
      </c>
      <c r="DZ19" s="27">
        <v>0</v>
      </c>
      <c r="EA19" s="27">
        <v>0</v>
      </c>
      <c r="EB19" s="27">
        <v>0</v>
      </c>
      <c r="EC19" s="27">
        <v>0</v>
      </c>
      <c r="ED19" s="27">
        <v>0</v>
      </c>
      <c r="EE19" s="27">
        <v>0</v>
      </c>
      <c r="EF19" s="27">
        <v>0</v>
      </c>
      <c r="EG19" s="27">
        <v>0</v>
      </c>
      <c r="EH19" s="27">
        <v>0</v>
      </c>
      <c r="EI19" s="27">
        <v>0</v>
      </c>
      <c r="EJ19" s="27">
        <v>0</v>
      </c>
      <c r="EK19" s="27">
        <v>0</v>
      </c>
      <c r="EL19" s="27">
        <v>0</v>
      </c>
      <c r="EM19" s="27">
        <v>0</v>
      </c>
      <c r="EN19" s="27">
        <v>0</v>
      </c>
      <c r="EO19" s="27">
        <v>0</v>
      </c>
      <c r="EP19" s="27">
        <v>0</v>
      </c>
      <c r="EQ19" s="27">
        <v>0</v>
      </c>
      <c r="ER19" s="27"/>
      <c r="ES19" s="27"/>
      <c r="ET19" s="27"/>
      <c r="EU19" s="27"/>
    </row>
    <row r="20" spans="1:151" x14ac:dyDescent="0.3">
      <c r="A20" s="130">
        <v>316184</v>
      </c>
      <c r="B20" s="21" t="s">
        <v>833</v>
      </c>
      <c r="C20" s="249">
        <f>IFERROR(VLOOKUP(A20,완제품!B:AX,49,FALSE),0)</f>
        <v>0</v>
      </c>
      <c r="D20" s="27">
        <f t="shared" si="89"/>
        <v>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/>
      <c r="AJ20" s="26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6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0</v>
      </c>
      <c r="BT20" s="27">
        <v>0</v>
      </c>
      <c r="BU20" s="27">
        <v>0</v>
      </c>
      <c r="BV20" s="27">
        <v>0</v>
      </c>
      <c r="BW20" s="27">
        <v>0</v>
      </c>
      <c r="BX20" s="27">
        <v>0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0</v>
      </c>
      <c r="CF20" s="27">
        <v>0</v>
      </c>
      <c r="CG20" s="27">
        <v>0</v>
      </c>
      <c r="CH20" s="27">
        <v>0</v>
      </c>
      <c r="CI20" s="27">
        <v>0</v>
      </c>
      <c r="CJ20" s="27">
        <v>0</v>
      </c>
      <c r="CK20" s="27">
        <v>0</v>
      </c>
      <c r="CL20" s="27">
        <v>0</v>
      </c>
      <c r="CM20" s="27">
        <v>0</v>
      </c>
      <c r="CN20" s="27">
        <v>0</v>
      </c>
      <c r="CO20" s="27">
        <v>0</v>
      </c>
      <c r="CP20" s="28">
        <v>0</v>
      </c>
      <c r="CQ20" s="27">
        <v>0</v>
      </c>
      <c r="CR20" s="27">
        <v>0</v>
      </c>
      <c r="CS20" s="27">
        <v>0</v>
      </c>
      <c r="CT20" s="27">
        <v>0</v>
      </c>
      <c r="CU20" s="27">
        <v>0</v>
      </c>
      <c r="CV20" s="27">
        <v>0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0</v>
      </c>
      <c r="DC20" s="27">
        <v>0</v>
      </c>
      <c r="DD20" s="27">
        <v>0</v>
      </c>
      <c r="DE20" s="27">
        <v>0</v>
      </c>
      <c r="DF20" s="27">
        <v>0</v>
      </c>
      <c r="DG20" s="27">
        <v>0</v>
      </c>
      <c r="DH20" s="27">
        <v>0</v>
      </c>
      <c r="DI20" s="27">
        <v>0</v>
      </c>
      <c r="DJ20" s="27">
        <v>0</v>
      </c>
      <c r="DK20" s="27">
        <v>0</v>
      </c>
      <c r="DL20" s="27">
        <v>0</v>
      </c>
      <c r="DM20" s="27">
        <v>0</v>
      </c>
      <c r="DN20" s="27">
        <v>0</v>
      </c>
      <c r="DO20" s="27">
        <v>0</v>
      </c>
      <c r="DP20" s="27">
        <v>0</v>
      </c>
      <c r="DQ20" s="27">
        <v>0</v>
      </c>
      <c r="DR20" s="27">
        <v>0</v>
      </c>
      <c r="DS20" s="27">
        <v>0</v>
      </c>
      <c r="DT20" s="27">
        <v>0</v>
      </c>
      <c r="DU20" s="26">
        <v>0</v>
      </c>
      <c r="DV20" s="27">
        <v>0</v>
      </c>
      <c r="DW20" s="27">
        <v>0</v>
      </c>
      <c r="DX20" s="27">
        <v>0</v>
      </c>
      <c r="DY20" s="27">
        <v>0</v>
      </c>
      <c r="DZ20" s="27">
        <v>0</v>
      </c>
      <c r="EA20" s="27">
        <v>0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0</v>
      </c>
      <c r="EI20" s="27">
        <v>0</v>
      </c>
      <c r="EJ20" s="27">
        <v>0</v>
      </c>
      <c r="EK20" s="27">
        <v>0</v>
      </c>
      <c r="EL20" s="27">
        <v>0</v>
      </c>
      <c r="EM20" s="27">
        <v>0</v>
      </c>
      <c r="EN20" s="27">
        <v>0</v>
      </c>
      <c r="EO20" s="27">
        <v>0</v>
      </c>
      <c r="EP20" s="27">
        <v>0</v>
      </c>
      <c r="EQ20" s="27">
        <v>0</v>
      </c>
      <c r="ER20" s="27"/>
      <c r="ES20" s="27"/>
      <c r="ET20" s="27"/>
      <c r="EU20" s="27"/>
    </row>
    <row r="21" spans="1:151" x14ac:dyDescent="0.3">
      <c r="A21" s="130">
        <v>323306</v>
      </c>
      <c r="B21" s="21" t="s">
        <v>834</v>
      </c>
      <c r="C21" s="249">
        <f>IFERROR(VLOOKUP(A21,완제품!B:AX,49,FALSE),0)</f>
        <v>0</v>
      </c>
      <c r="D21" s="27">
        <f t="shared" si="89"/>
        <v>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8"/>
      <c r="AJ21" s="26">
        <v>0</v>
      </c>
      <c r="AK21" s="27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6">
        <v>0</v>
      </c>
      <c r="BM21" s="27">
        <v>0</v>
      </c>
      <c r="BN21" s="27">
        <v>0</v>
      </c>
      <c r="BO21" s="27">
        <v>0</v>
      </c>
      <c r="BP21" s="27">
        <v>0</v>
      </c>
      <c r="BQ21" s="27">
        <v>0</v>
      </c>
      <c r="BR21" s="27">
        <v>0</v>
      </c>
      <c r="BS21" s="27">
        <v>0</v>
      </c>
      <c r="BT21" s="27">
        <v>0</v>
      </c>
      <c r="BU21" s="27">
        <v>0</v>
      </c>
      <c r="BV21" s="27">
        <v>0</v>
      </c>
      <c r="BW21" s="27">
        <v>0</v>
      </c>
      <c r="BX21" s="27">
        <v>0</v>
      </c>
      <c r="BY21" s="27">
        <v>0</v>
      </c>
      <c r="BZ21" s="27">
        <v>0</v>
      </c>
      <c r="CA21" s="27">
        <v>0</v>
      </c>
      <c r="CB21" s="27">
        <v>0</v>
      </c>
      <c r="CC21" s="27">
        <v>0</v>
      </c>
      <c r="CD21" s="27">
        <v>0</v>
      </c>
      <c r="CE21" s="27">
        <v>0</v>
      </c>
      <c r="CF21" s="27">
        <v>0</v>
      </c>
      <c r="CG21" s="27">
        <v>0</v>
      </c>
      <c r="CH21" s="27">
        <v>0</v>
      </c>
      <c r="CI21" s="27">
        <v>0</v>
      </c>
      <c r="CJ21" s="27">
        <v>0</v>
      </c>
      <c r="CK21" s="27">
        <v>0</v>
      </c>
      <c r="CL21" s="27">
        <v>0</v>
      </c>
      <c r="CM21" s="27">
        <v>0</v>
      </c>
      <c r="CN21" s="27">
        <v>0</v>
      </c>
      <c r="CO21" s="27">
        <v>0</v>
      </c>
      <c r="CP21" s="28">
        <v>0</v>
      </c>
      <c r="CQ21" s="27">
        <v>0</v>
      </c>
      <c r="CR21" s="27">
        <v>0</v>
      </c>
      <c r="CS21" s="27">
        <v>0</v>
      </c>
      <c r="CT21" s="27">
        <v>0</v>
      </c>
      <c r="CU21" s="27">
        <v>0</v>
      </c>
      <c r="CV21" s="27">
        <v>0</v>
      </c>
      <c r="CW21" s="27">
        <v>0</v>
      </c>
      <c r="CX21" s="27">
        <v>0</v>
      </c>
      <c r="CY21" s="27">
        <v>0</v>
      </c>
      <c r="CZ21" s="27">
        <v>0</v>
      </c>
      <c r="DA21" s="27">
        <v>0</v>
      </c>
      <c r="DB21" s="27">
        <v>0</v>
      </c>
      <c r="DC21" s="27">
        <v>0</v>
      </c>
      <c r="DD21" s="27">
        <v>0</v>
      </c>
      <c r="DE21" s="27">
        <v>0</v>
      </c>
      <c r="DF21" s="27">
        <v>0</v>
      </c>
      <c r="DG21" s="27">
        <v>0</v>
      </c>
      <c r="DH21" s="27">
        <v>0</v>
      </c>
      <c r="DI21" s="27">
        <v>0</v>
      </c>
      <c r="DJ21" s="27">
        <v>0</v>
      </c>
      <c r="DK21" s="27">
        <v>0</v>
      </c>
      <c r="DL21" s="27">
        <v>0</v>
      </c>
      <c r="DM21" s="27">
        <v>0</v>
      </c>
      <c r="DN21" s="27">
        <v>0</v>
      </c>
      <c r="DO21" s="27">
        <v>0</v>
      </c>
      <c r="DP21" s="27">
        <v>0</v>
      </c>
      <c r="DQ21" s="27">
        <v>0</v>
      </c>
      <c r="DR21" s="27">
        <v>0</v>
      </c>
      <c r="DS21" s="27">
        <v>0</v>
      </c>
      <c r="DT21" s="27">
        <v>0</v>
      </c>
      <c r="DU21" s="26">
        <v>0</v>
      </c>
      <c r="DV21" s="27">
        <v>0</v>
      </c>
      <c r="DW21" s="27">
        <v>0</v>
      </c>
      <c r="DX21" s="27">
        <v>0</v>
      </c>
      <c r="DY21" s="27">
        <v>0</v>
      </c>
      <c r="DZ21" s="27">
        <v>0</v>
      </c>
      <c r="EA21" s="27">
        <v>0</v>
      </c>
      <c r="EB21" s="27">
        <v>0</v>
      </c>
      <c r="EC21" s="27">
        <v>0</v>
      </c>
      <c r="ED21" s="27">
        <v>0</v>
      </c>
      <c r="EE21" s="27">
        <v>0</v>
      </c>
      <c r="EF21" s="27">
        <v>0</v>
      </c>
      <c r="EG21" s="27">
        <v>0</v>
      </c>
      <c r="EH21" s="27">
        <v>0</v>
      </c>
      <c r="EI21" s="27">
        <v>0</v>
      </c>
      <c r="EJ21" s="27">
        <v>0</v>
      </c>
      <c r="EK21" s="27">
        <v>0</v>
      </c>
      <c r="EL21" s="27">
        <v>0</v>
      </c>
      <c r="EM21" s="27">
        <v>0</v>
      </c>
      <c r="EN21" s="27">
        <v>0</v>
      </c>
      <c r="EO21" s="27">
        <v>0</v>
      </c>
      <c r="EP21" s="27">
        <v>0</v>
      </c>
      <c r="EQ21" s="27">
        <v>0</v>
      </c>
      <c r="ER21" s="27"/>
      <c r="ES21" s="27"/>
      <c r="ET21" s="27"/>
      <c r="EU21" s="27"/>
    </row>
    <row r="22" spans="1:151" x14ac:dyDescent="0.3">
      <c r="A22" s="130">
        <v>316185</v>
      </c>
      <c r="B22" s="21" t="s">
        <v>835</v>
      </c>
      <c r="C22" s="249">
        <f>IFERROR(VLOOKUP(A22,완제품!B:AX,49,FALSE),0)</f>
        <v>0</v>
      </c>
      <c r="D22" s="27">
        <f t="shared" si="89"/>
        <v>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8"/>
      <c r="AJ22" s="26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6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</v>
      </c>
      <c r="BU22" s="27">
        <v>0</v>
      </c>
      <c r="BV22" s="27">
        <v>0</v>
      </c>
      <c r="BW22" s="27">
        <v>0</v>
      </c>
      <c r="BX22" s="27">
        <v>0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0</v>
      </c>
      <c r="CF22" s="27">
        <v>0</v>
      </c>
      <c r="CG22" s="27">
        <v>0</v>
      </c>
      <c r="CH22" s="27">
        <v>0</v>
      </c>
      <c r="CI22" s="27">
        <v>0</v>
      </c>
      <c r="CJ22" s="27">
        <v>0</v>
      </c>
      <c r="CK22" s="27">
        <v>0</v>
      </c>
      <c r="CL22" s="27">
        <v>0</v>
      </c>
      <c r="CM22" s="27">
        <v>0</v>
      </c>
      <c r="CN22" s="27">
        <v>0</v>
      </c>
      <c r="CO22" s="27">
        <v>0</v>
      </c>
      <c r="CP22" s="28">
        <v>0</v>
      </c>
      <c r="CQ22" s="27">
        <v>0</v>
      </c>
      <c r="CR22" s="27">
        <v>0</v>
      </c>
      <c r="CS22" s="27">
        <v>0</v>
      </c>
      <c r="CT22" s="27">
        <v>0</v>
      </c>
      <c r="CU22" s="27">
        <v>0</v>
      </c>
      <c r="CV22" s="27">
        <v>0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7">
        <v>0</v>
      </c>
      <c r="DC22" s="27">
        <v>0</v>
      </c>
      <c r="DD22" s="27">
        <v>0</v>
      </c>
      <c r="DE22" s="27">
        <v>0</v>
      </c>
      <c r="DF22" s="27">
        <v>0</v>
      </c>
      <c r="DG22" s="27">
        <v>0</v>
      </c>
      <c r="DH22" s="27">
        <v>0</v>
      </c>
      <c r="DI22" s="27">
        <v>0</v>
      </c>
      <c r="DJ22" s="27">
        <v>0</v>
      </c>
      <c r="DK22" s="27">
        <v>0</v>
      </c>
      <c r="DL22" s="27">
        <v>0</v>
      </c>
      <c r="DM22" s="27">
        <v>0</v>
      </c>
      <c r="DN22" s="27">
        <v>0</v>
      </c>
      <c r="DO22" s="27">
        <v>0</v>
      </c>
      <c r="DP22" s="27">
        <v>0</v>
      </c>
      <c r="DQ22" s="27">
        <v>0</v>
      </c>
      <c r="DR22" s="27">
        <v>0</v>
      </c>
      <c r="DS22" s="27">
        <v>0</v>
      </c>
      <c r="DT22" s="27">
        <v>0</v>
      </c>
      <c r="DU22" s="26">
        <v>0</v>
      </c>
      <c r="DV22" s="27">
        <v>0</v>
      </c>
      <c r="DW22" s="27">
        <v>0</v>
      </c>
      <c r="DX22" s="27">
        <v>0</v>
      </c>
      <c r="DY22" s="27">
        <v>0</v>
      </c>
      <c r="DZ22" s="27">
        <v>0</v>
      </c>
      <c r="EA22" s="27">
        <v>0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0</v>
      </c>
      <c r="EI22" s="27">
        <v>0</v>
      </c>
      <c r="EJ22" s="27">
        <v>0</v>
      </c>
      <c r="EK22" s="27">
        <v>0</v>
      </c>
      <c r="EL22" s="27">
        <v>0</v>
      </c>
      <c r="EM22" s="27">
        <v>0</v>
      </c>
      <c r="EN22" s="27">
        <v>0</v>
      </c>
      <c r="EO22" s="27">
        <v>0</v>
      </c>
      <c r="EP22" s="27">
        <v>0</v>
      </c>
      <c r="EQ22" s="27">
        <v>0</v>
      </c>
      <c r="ER22" s="27"/>
      <c r="ES22" s="27"/>
      <c r="ET22" s="27"/>
      <c r="EU22" s="27"/>
    </row>
    <row r="23" spans="1:151" x14ac:dyDescent="0.3">
      <c r="A23" s="130">
        <v>325621</v>
      </c>
      <c r="B23" s="21" t="s">
        <v>836</v>
      </c>
      <c r="C23" s="249">
        <f>IFERROR(VLOOKUP(A23,완제품!B:AX,49,FALSE),0)</f>
        <v>0</v>
      </c>
      <c r="D23" s="27">
        <f t="shared" si="89"/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8"/>
      <c r="AJ23" s="26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6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2</v>
      </c>
      <c r="BR23" s="27">
        <v>1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8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6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/>
      <c r="ES23" s="27"/>
      <c r="ET23" s="27"/>
      <c r="EU23" s="27"/>
    </row>
    <row r="24" spans="1:151" x14ac:dyDescent="0.3">
      <c r="A24" s="130">
        <v>323073</v>
      </c>
      <c r="B24" s="21" t="s">
        <v>15</v>
      </c>
      <c r="C24" s="249">
        <f>IFERROR(VLOOKUP(A24,완제품!B:AX,49,FALSE),0)</f>
        <v>15</v>
      </c>
      <c r="D24" s="27">
        <f t="shared" si="89"/>
        <v>13.870967741935484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2</v>
      </c>
      <c r="L24" s="27">
        <v>0</v>
      </c>
      <c r="M24" s="27">
        <v>0</v>
      </c>
      <c r="N24" s="27">
        <v>1</v>
      </c>
      <c r="O24" s="27">
        <v>0</v>
      </c>
      <c r="P24" s="27">
        <v>0</v>
      </c>
      <c r="Q24" s="27">
        <v>2</v>
      </c>
      <c r="R24" s="27">
        <v>1</v>
      </c>
      <c r="S24" s="27">
        <v>3</v>
      </c>
      <c r="T24" s="27">
        <v>2</v>
      </c>
      <c r="U24" s="27">
        <v>1</v>
      </c>
      <c r="V24" s="27">
        <v>0</v>
      </c>
      <c r="W24" s="27">
        <v>0</v>
      </c>
      <c r="X24" s="27">
        <v>0</v>
      </c>
      <c r="Y24" s="27">
        <v>1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8">
        <v>2</v>
      </c>
      <c r="AJ24" s="26">
        <v>0</v>
      </c>
      <c r="AK24" s="27">
        <v>1</v>
      </c>
      <c r="AL24" s="27">
        <v>1</v>
      </c>
      <c r="AM24" s="27">
        <v>24</v>
      </c>
      <c r="AN24" s="27">
        <v>0</v>
      </c>
      <c r="AO24" s="27">
        <v>0</v>
      </c>
      <c r="AP24" s="27">
        <v>3</v>
      </c>
      <c r="AQ24" s="27">
        <v>0</v>
      </c>
      <c r="AR24" s="27">
        <v>2</v>
      </c>
      <c r="AS24" s="27">
        <v>0</v>
      </c>
      <c r="AT24" s="27">
        <v>0</v>
      </c>
      <c r="AU24" s="27">
        <v>0</v>
      </c>
      <c r="AV24" s="27">
        <v>1</v>
      </c>
      <c r="AW24" s="27">
        <v>4</v>
      </c>
      <c r="AX24" s="27">
        <v>0</v>
      </c>
      <c r="AY24" s="27">
        <v>0</v>
      </c>
      <c r="AZ24" s="27">
        <v>2</v>
      </c>
      <c r="BA24" s="27">
        <v>0</v>
      </c>
      <c r="BB24" s="27">
        <v>1</v>
      </c>
      <c r="BC24" s="27">
        <v>0</v>
      </c>
      <c r="BD24" s="27">
        <v>0</v>
      </c>
      <c r="BE24" s="27">
        <v>0</v>
      </c>
      <c r="BF24" s="27">
        <v>2</v>
      </c>
      <c r="BG24" s="27">
        <v>0</v>
      </c>
      <c r="BH24" s="27">
        <v>8</v>
      </c>
      <c r="BI24" s="27">
        <v>0</v>
      </c>
      <c r="BJ24" s="27">
        <v>0</v>
      </c>
      <c r="BK24" s="27">
        <v>0</v>
      </c>
      <c r="BL24" s="26">
        <v>0</v>
      </c>
      <c r="BM24" s="27">
        <v>0</v>
      </c>
      <c r="BN24" s="27">
        <v>0</v>
      </c>
      <c r="BO24" s="27">
        <v>8</v>
      </c>
      <c r="BP24" s="27">
        <v>0</v>
      </c>
      <c r="BQ24" s="27">
        <v>0</v>
      </c>
      <c r="BR24" s="27">
        <v>0</v>
      </c>
      <c r="BS24" s="27">
        <v>0</v>
      </c>
      <c r="BT24" s="27">
        <v>1</v>
      </c>
      <c r="BU24" s="27">
        <v>0</v>
      </c>
      <c r="BV24" s="27">
        <v>9</v>
      </c>
      <c r="BW24" s="27">
        <v>0</v>
      </c>
      <c r="BX24" s="27">
        <v>0</v>
      </c>
      <c r="BY24" s="27">
        <v>16</v>
      </c>
      <c r="BZ24" s="27">
        <v>0</v>
      </c>
      <c r="CA24" s="27">
        <v>0</v>
      </c>
      <c r="CB24" s="27">
        <v>0</v>
      </c>
      <c r="CC24" s="27">
        <v>16</v>
      </c>
      <c r="CD24" s="27">
        <v>16</v>
      </c>
      <c r="CE24" s="27">
        <v>0</v>
      </c>
      <c r="CF24" s="27">
        <v>0</v>
      </c>
      <c r="CG24" s="27">
        <v>0</v>
      </c>
      <c r="CH24" s="27">
        <v>0</v>
      </c>
      <c r="CI24" s="27">
        <v>0</v>
      </c>
      <c r="CJ24" s="27">
        <v>0</v>
      </c>
      <c r="CK24" s="27">
        <v>0</v>
      </c>
      <c r="CL24" s="27">
        <v>0</v>
      </c>
      <c r="CM24" s="27">
        <v>16</v>
      </c>
      <c r="CN24" s="27">
        <v>0</v>
      </c>
      <c r="CO24" s="27">
        <v>0</v>
      </c>
      <c r="CP24" s="28">
        <v>0</v>
      </c>
      <c r="CQ24" s="27">
        <v>1</v>
      </c>
      <c r="CR24" s="27">
        <v>0</v>
      </c>
      <c r="CS24" s="27">
        <v>2</v>
      </c>
      <c r="CT24" s="27">
        <v>0</v>
      </c>
      <c r="CU24" s="27">
        <v>0</v>
      </c>
      <c r="CV24" s="27">
        <v>0</v>
      </c>
      <c r="CW24" s="27">
        <v>0</v>
      </c>
      <c r="CX24" s="27">
        <v>1</v>
      </c>
      <c r="CY24" s="27">
        <v>2</v>
      </c>
      <c r="CZ24" s="27">
        <v>0</v>
      </c>
      <c r="DA24" s="27">
        <v>0</v>
      </c>
      <c r="DB24" s="27">
        <v>0</v>
      </c>
      <c r="DC24" s="27">
        <v>0</v>
      </c>
      <c r="DD24" s="27">
        <v>3</v>
      </c>
      <c r="DE24" s="27">
        <v>0</v>
      </c>
      <c r="DF24" s="27">
        <v>0</v>
      </c>
      <c r="DG24" s="27">
        <v>2</v>
      </c>
      <c r="DH24" s="27">
        <v>2</v>
      </c>
      <c r="DI24" s="27">
        <v>0</v>
      </c>
      <c r="DJ24" s="27">
        <v>0</v>
      </c>
      <c r="DK24" s="27">
        <v>0</v>
      </c>
      <c r="DL24" s="27">
        <v>0</v>
      </c>
      <c r="DM24" s="27">
        <v>0</v>
      </c>
      <c r="DN24" s="27">
        <v>0</v>
      </c>
      <c r="DO24" s="27">
        <v>1</v>
      </c>
      <c r="DP24" s="27">
        <v>0</v>
      </c>
      <c r="DQ24" s="27">
        <v>0</v>
      </c>
      <c r="DR24" s="27">
        <v>0</v>
      </c>
      <c r="DS24" s="27">
        <v>1</v>
      </c>
      <c r="DT24" s="27">
        <v>0</v>
      </c>
      <c r="DU24" s="26">
        <v>0</v>
      </c>
      <c r="DV24" s="27">
        <v>0</v>
      </c>
      <c r="DW24" s="27">
        <v>0</v>
      </c>
      <c r="DX24" s="27">
        <v>0</v>
      </c>
      <c r="DY24" s="27">
        <v>0</v>
      </c>
      <c r="DZ24" s="27">
        <v>0</v>
      </c>
      <c r="EA24" s="27">
        <v>0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0</v>
      </c>
      <c r="EI24" s="27">
        <v>0</v>
      </c>
      <c r="EJ24" s="27">
        <v>2</v>
      </c>
      <c r="EK24" s="27">
        <v>0</v>
      </c>
      <c r="EL24" s="27">
        <v>0</v>
      </c>
      <c r="EM24" s="27">
        <v>0</v>
      </c>
      <c r="EN24" s="27">
        <v>8</v>
      </c>
      <c r="EO24" s="27">
        <v>0</v>
      </c>
      <c r="EP24" s="27">
        <v>0</v>
      </c>
      <c r="EQ24" s="27">
        <v>0</v>
      </c>
      <c r="ER24" s="27"/>
      <c r="ES24" s="27"/>
      <c r="ET24" s="27"/>
      <c r="EU24" s="27"/>
    </row>
    <row r="25" spans="1:151" x14ac:dyDescent="0.3">
      <c r="A25" s="130">
        <v>323769</v>
      </c>
      <c r="B25" s="21" t="s">
        <v>16</v>
      </c>
      <c r="C25" s="249">
        <f>IFERROR(VLOOKUP(A25,완제품!B:AX,49,FALSE),0)</f>
        <v>3</v>
      </c>
      <c r="D25" s="27">
        <f t="shared" si="89"/>
        <v>3.774193548387097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1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5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8">
        <v>0</v>
      </c>
      <c r="AJ25" s="26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10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6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3</v>
      </c>
      <c r="BK25" s="27">
        <v>0</v>
      </c>
      <c r="BL25" s="26">
        <v>0</v>
      </c>
      <c r="BM25" s="27">
        <v>0</v>
      </c>
      <c r="BN25" s="27">
        <v>0</v>
      </c>
      <c r="BO25" s="27">
        <v>0</v>
      </c>
      <c r="BP25" s="27">
        <v>0</v>
      </c>
      <c r="BQ25" s="27">
        <v>0</v>
      </c>
      <c r="BR25" s="27">
        <v>0</v>
      </c>
      <c r="BS25" s="27">
        <v>0</v>
      </c>
      <c r="BT25" s="27">
        <v>0</v>
      </c>
      <c r="BU25" s="27">
        <v>0</v>
      </c>
      <c r="BV25" s="27">
        <v>0</v>
      </c>
      <c r="BW25" s="27">
        <v>0</v>
      </c>
      <c r="BX25" s="27">
        <v>0</v>
      </c>
      <c r="BY25" s="27">
        <v>5</v>
      </c>
      <c r="BZ25" s="27">
        <v>0</v>
      </c>
      <c r="CA25" s="27">
        <v>0</v>
      </c>
      <c r="CB25" s="27">
        <v>0</v>
      </c>
      <c r="CC25" s="27">
        <v>0</v>
      </c>
      <c r="CD25" s="27">
        <v>10</v>
      </c>
      <c r="CE25" s="27">
        <v>10</v>
      </c>
      <c r="CF25" s="27">
        <v>0</v>
      </c>
      <c r="CG25" s="27">
        <v>0</v>
      </c>
      <c r="CH25" s="27">
        <v>0</v>
      </c>
      <c r="CI25" s="27">
        <v>0</v>
      </c>
      <c r="CJ25" s="27">
        <v>0</v>
      </c>
      <c r="CK25" s="27">
        <v>0</v>
      </c>
      <c r="CL25" s="27">
        <v>0</v>
      </c>
      <c r="CM25" s="27">
        <v>0</v>
      </c>
      <c r="CN25" s="27">
        <v>0</v>
      </c>
      <c r="CO25" s="27">
        <v>0</v>
      </c>
      <c r="CP25" s="28">
        <v>0</v>
      </c>
      <c r="CQ25" s="27">
        <v>0</v>
      </c>
      <c r="CR25" s="27">
        <v>0</v>
      </c>
      <c r="CS25" s="27">
        <v>0</v>
      </c>
      <c r="CT25" s="27">
        <v>0</v>
      </c>
      <c r="CU25" s="27">
        <v>0</v>
      </c>
      <c r="CV25" s="27">
        <v>0</v>
      </c>
      <c r="CW25" s="27">
        <v>0</v>
      </c>
      <c r="CX25" s="27">
        <v>0</v>
      </c>
      <c r="CY25" s="27">
        <v>0</v>
      </c>
      <c r="CZ25" s="27">
        <v>0</v>
      </c>
      <c r="DA25" s="27">
        <v>0</v>
      </c>
      <c r="DB25" s="27">
        <v>0</v>
      </c>
      <c r="DC25" s="27">
        <v>0</v>
      </c>
      <c r="DD25" s="27">
        <v>0</v>
      </c>
      <c r="DE25" s="27">
        <v>0</v>
      </c>
      <c r="DF25" s="27">
        <v>0</v>
      </c>
      <c r="DG25" s="27">
        <v>0</v>
      </c>
      <c r="DH25" s="27">
        <v>0</v>
      </c>
      <c r="DI25" s="27">
        <v>0</v>
      </c>
      <c r="DJ25" s="27">
        <v>0</v>
      </c>
      <c r="DK25" s="27">
        <v>0</v>
      </c>
      <c r="DL25" s="27">
        <v>0</v>
      </c>
      <c r="DM25" s="27">
        <v>0</v>
      </c>
      <c r="DN25" s="27">
        <v>0</v>
      </c>
      <c r="DO25" s="27">
        <v>3</v>
      </c>
      <c r="DP25" s="27">
        <v>0</v>
      </c>
      <c r="DQ25" s="27">
        <v>0</v>
      </c>
      <c r="DR25" s="27">
        <v>0</v>
      </c>
      <c r="DS25" s="27">
        <v>0</v>
      </c>
      <c r="DT25" s="27">
        <v>0</v>
      </c>
      <c r="DU25" s="26">
        <v>0</v>
      </c>
      <c r="DV25" s="27">
        <v>0</v>
      </c>
      <c r="DW25" s="27">
        <v>0</v>
      </c>
      <c r="DX25" s="27">
        <v>0</v>
      </c>
      <c r="DY25" s="27">
        <v>0</v>
      </c>
      <c r="DZ25" s="27">
        <v>0</v>
      </c>
      <c r="EA25" s="27">
        <v>0</v>
      </c>
      <c r="EB25" s="27">
        <v>0</v>
      </c>
      <c r="EC25" s="27">
        <v>0</v>
      </c>
      <c r="ED25" s="27">
        <v>0</v>
      </c>
      <c r="EE25" s="27">
        <v>0</v>
      </c>
      <c r="EF25" s="27">
        <v>0</v>
      </c>
      <c r="EG25" s="27">
        <v>0</v>
      </c>
      <c r="EH25" s="27">
        <v>0</v>
      </c>
      <c r="EI25" s="27">
        <v>0</v>
      </c>
      <c r="EJ25" s="27">
        <v>0</v>
      </c>
      <c r="EK25" s="27">
        <v>0</v>
      </c>
      <c r="EL25" s="27">
        <v>0</v>
      </c>
      <c r="EM25" s="27">
        <v>0</v>
      </c>
      <c r="EN25" s="27">
        <v>2</v>
      </c>
      <c r="EO25" s="27">
        <v>0</v>
      </c>
      <c r="EP25" s="27">
        <v>1</v>
      </c>
      <c r="EQ25" s="27">
        <v>0</v>
      </c>
      <c r="ER25" s="27"/>
      <c r="ES25" s="27"/>
      <c r="ET25" s="27"/>
      <c r="EU25" s="27"/>
    </row>
    <row r="26" spans="1:151" x14ac:dyDescent="0.3">
      <c r="A26" s="130">
        <v>326552</v>
      </c>
      <c r="B26" s="21" t="s">
        <v>17</v>
      </c>
      <c r="C26" s="249">
        <f>IFERROR(VLOOKUP(A26,완제품!B:AX,49,FALSE),0)</f>
        <v>0</v>
      </c>
      <c r="D26" s="27">
        <f t="shared" si="89"/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8">
        <v>0</v>
      </c>
      <c r="AJ26" s="26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6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</v>
      </c>
      <c r="BV26" s="27">
        <v>0</v>
      </c>
      <c r="BW26" s="27">
        <v>0</v>
      </c>
      <c r="BX26" s="27">
        <v>0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0</v>
      </c>
      <c r="CF26" s="27">
        <v>0</v>
      </c>
      <c r="CG26" s="27">
        <v>0</v>
      </c>
      <c r="CH26" s="27">
        <v>0</v>
      </c>
      <c r="CI26" s="27">
        <v>0</v>
      </c>
      <c r="CJ26" s="27">
        <v>0</v>
      </c>
      <c r="CK26" s="27">
        <v>0</v>
      </c>
      <c r="CL26" s="27">
        <v>0</v>
      </c>
      <c r="CM26" s="27">
        <v>0</v>
      </c>
      <c r="CN26" s="27">
        <v>0</v>
      </c>
      <c r="CO26" s="27">
        <v>0</v>
      </c>
      <c r="CP26" s="28">
        <v>0</v>
      </c>
      <c r="CQ26" s="27">
        <v>0</v>
      </c>
      <c r="CR26" s="27">
        <v>0</v>
      </c>
      <c r="CS26" s="27">
        <v>0</v>
      </c>
      <c r="CT26" s="27">
        <v>0</v>
      </c>
      <c r="CU26" s="27">
        <v>0</v>
      </c>
      <c r="CV26" s="27">
        <v>0</v>
      </c>
      <c r="CW26" s="27">
        <v>0</v>
      </c>
      <c r="CX26" s="27">
        <v>0</v>
      </c>
      <c r="CY26" s="27">
        <v>0</v>
      </c>
      <c r="CZ26" s="27">
        <v>0</v>
      </c>
      <c r="DA26" s="27">
        <v>0</v>
      </c>
      <c r="DB26" s="27">
        <v>0</v>
      </c>
      <c r="DC26" s="27">
        <v>0</v>
      </c>
      <c r="DD26" s="27">
        <v>0</v>
      </c>
      <c r="DE26" s="27">
        <v>0</v>
      </c>
      <c r="DF26" s="27">
        <v>0</v>
      </c>
      <c r="DG26" s="27">
        <v>0</v>
      </c>
      <c r="DH26" s="27">
        <v>0</v>
      </c>
      <c r="DI26" s="27">
        <v>0</v>
      </c>
      <c r="DJ26" s="27">
        <v>0</v>
      </c>
      <c r="DK26" s="27">
        <v>0</v>
      </c>
      <c r="DL26" s="27">
        <v>0</v>
      </c>
      <c r="DM26" s="27">
        <v>0</v>
      </c>
      <c r="DN26" s="27">
        <v>0</v>
      </c>
      <c r="DO26" s="27">
        <v>0</v>
      </c>
      <c r="DP26" s="27">
        <v>0</v>
      </c>
      <c r="DQ26" s="27">
        <v>0</v>
      </c>
      <c r="DR26" s="27">
        <v>0</v>
      </c>
      <c r="DS26" s="27">
        <v>0</v>
      </c>
      <c r="DT26" s="27">
        <v>0</v>
      </c>
      <c r="DU26" s="26">
        <v>0</v>
      </c>
      <c r="DV26" s="27">
        <v>0</v>
      </c>
      <c r="DW26" s="27">
        <v>0</v>
      </c>
      <c r="DX26" s="27">
        <v>0</v>
      </c>
      <c r="DY26" s="27">
        <v>0</v>
      </c>
      <c r="DZ26" s="27">
        <v>0</v>
      </c>
      <c r="EA26" s="27">
        <v>0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0</v>
      </c>
      <c r="EI26" s="27">
        <v>0</v>
      </c>
      <c r="EJ26" s="27">
        <v>0</v>
      </c>
      <c r="EK26" s="27">
        <v>0</v>
      </c>
      <c r="EL26" s="27">
        <v>0</v>
      </c>
      <c r="EM26" s="27">
        <v>0</v>
      </c>
      <c r="EN26" s="27">
        <v>0</v>
      </c>
      <c r="EO26" s="27">
        <v>0</v>
      </c>
      <c r="EP26" s="27">
        <v>0</v>
      </c>
      <c r="EQ26" s="27">
        <v>0</v>
      </c>
      <c r="ER26" s="27"/>
      <c r="ES26" s="27"/>
      <c r="ET26" s="27"/>
      <c r="EU26" s="27"/>
    </row>
    <row r="27" spans="1:151" x14ac:dyDescent="0.3">
      <c r="A27" s="130">
        <v>316950</v>
      </c>
      <c r="B27" s="21" t="s">
        <v>18</v>
      </c>
      <c r="C27" s="249">
        <f>IFERROR(VLOOKUP(A27,완제품!B:AX,49,FALSE),0)</f>
        <v>119</v>
      </c>
      <c r="D27" s="27">
        <f t="shared" si="89"/>
        <v>30.709677419354836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4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6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8">
        <v>0</v>
      </c>
      <c r="AJ27" s="26">
        <v>0</v>
      </c>
      <c r="AK27" s="27">
        <v>0</v>
      </c>
      <c r="AL27" s="27">
        <v>0</v>
      </c>
      <c r="AM27" s="27">
        <v>0</v>
      </c>
      <c r="AN27" s="27">
        <v>3</v>
      </c>
      <c r="AO27" s="27">
        <v>0</v>
      </c>
      <c r="AP27" s="27">
        <v>0</v>
      </c>
      <c r="AQ27" s="27">
        <v>0</v>
      </c>
      <c r="AR27" s="27">
        <v>0</v>
      </c>
      <c r="AS27" s="27">
        <v>1</v>
      </c>
      <c r="AT27" s="27">
        <v>0</v>
      </c>
      <c r="AU27" s="27">
        <v>1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1</v>
      </c>
      <c r="BC27" s="27">
        <v>1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6">
        <v>0</v>
      </c>
      <c r="BM27" s="27">
        <v>0</v>
      </c>
      <c r="BN27" s="27">
        <v>0</v>
      </c>
      <c r="BO27" s="27">
        <v>0</v>
      </c>
      <c r="BP27" s="27">
        <v>0</v>
      </c>
      <c r="BQ27" s="27">
        <v>0</v>
      </c>
      <c r="BR27" s="27">
        <v>0</v>
      </c>
      <c r="BS27" s="27">
        <v>0</v>
      </c>
      <c r="BT27" s="27">
        <v>0</v>
      </c>
      <c r="BU27" s="27">
        <v>0</v>
      </c>
      <c r="BV27" s="27">
        <v>0</v>
      </c>
      <c r="BW27" s="27">
        <v>0</v>
      </c>
      <c r="BX27" s="27">
        <v>0</v>
      </c>
      <c r="BY27" s="27">
        <v>0</v>
      </c>
      <c r="BZ27" s="27">
        <v>0</v>
      </c>
      <c r="CA27" s="27">
        <v>0</v>
      </c>
      <c r="CB27" s="27">
        <v>0</v>
      </c>
      <c r="CC27" s="27">
        <v>3</v>
      </c>
      <c r="CD27" s="27">
        <v>0</v>
      </c>
      <c r="CE27" s="27">
        <v>0</v>
      </c>
      <c r="CF27" s="27">
        <v>1</v>
      </c>
      <c r="CG27" s="27">
        <v>0</v>
      </c>
      <c r="CH27" s="27">
        <v>0</v>
      </c>
      <c r="CI27" s="27">
        <v>0</v>
      </c>
      <c r="CJ27" s="27">
        <v>0</v>
      </c>
      <c r="CK27" s="27">
        <v>3</v>
      </c>
      <c r="CL27" s="27">
        <v>0</v>
      </c>
      <c r="CM27" s="27">
        <v>0</v>
      </c>
      <c r="CN27" s="27">
        <v>0</v>
      </c>
      <c r="CO27" s="27">
        <v>0</v>
      </c>
      <c r="CP27" s="28">
        <v>0</v>
      </c>
      <c r="CQ27" s="27">
        <v>0</v>
      </c>
      <c r="CR27" s="27">
        <v>4</v>
      </c>
      <c r="CS27" s="27">
        <v>0</v>
      </c>
      <c r="CT27" s="27">
        <v>0</v>
      </c>
      <c r="CU27" s="27">
        <v>0</v>
      </c>
      <c r="CV27" s="27">
        <v>0</v>
      </c>
      <c r="CW27" s="27">
        <v>0</v>
      </c>
      <c r="CX27" s="27">
        <v>0</v>
      </c>
      <c r="CY27" s="27">
        <v>0</v>
      </c>
      <c r="CZ27" s="27">
        <v>0</v>
      </c>
      <c r="DA27" s="27">
        <v>0</v>
      </c>
      <c r="DB27" s="27">
        <v>0</v>
      </c>
      <c r="DC27" s="27">
        <v>0</v>
      </c>
      <c r="DD27" s="27">
        <v>0</v>
      </c>
      <c r="DE27" s="27">
        <v>3</v>
      </c>
      <c r="DF27" s="27">
        <v>0</v>
      </c>
      <c r="DG27" s="27">
        <v>106</v>
      </c>
      <c r="DH27" s="27">
        <v>0</v>
      </c>
      <c r="DI27" s="27">
        <v>0</v>
      </c>
      <c r="DJ27" s="27">
        <v>0</v>
      </c>
      <c r="DK27" s="27">
        <v>0</v>
      </c>
      <c r="DL27" s="27">
        <v>0</v>
      </c>
      <c r="DM27" s="27">
        <v>0</v>
      </c>
      <c r="DN27" s="27">
        <v>0</v>
      </c>
      <c r="DO27" s="27">
        <v>0</v>
      </c>
      <c r="DP27" s="27">
        <v>0</v>
      </c>
      <c r="DQ27" s="27">
        <v>0</v>
      </c>
      <c r="DR27" s="27">
        <v>6</v>
      </c>
      <c r="DS27" s="27">
        <v>0</v>
      </c>
      <c r="DT27" s="27">
        <v>0</v>
      </c>
      <c r="DU27" s="26">
        <v>0</v>
      </c>
      <c r="DV27" s="27">
        <v>0</v>
      </c>
      <c r="DW27" s="27">
        <v>0</v>
      </c>
      <c r="DX27" s="27">
        <v>0</v>
      </c>
      <c r="DY27" s="27">
        <v>0</v>
      </c>
      <c r="DZ27" s="27">
        <v>0</v>
      </c>
      <c r="EA27" s="27">
        <v>0</v>
      </c>
      <c r="EB27" s="27">
        <v>0</v>
      </c>
      <c r="EC27" s="27">
        <v>0</v>
      </c>
      <c r="ED27" s="27">
        <v>0</v>
      </c>
      <c r="EE27" s="27">
        <v>0</v>
      </c>
      <c r="EF27" s="27">
        <v>0</v>
      </c>
      <c r="EG27" s="27">
        <v>0</v>
      </c>
      <c r="EH27" s="27">
        <v>0</v>
      </c>
      <c r="EI27" s="27">
        <v>0</v>
      </c>
      <c r="EJ27" s="27">
        <v>0</v>
      </c>
      <c r="EK27" s="27">
        <v>0</v>
      </c>
      <c r="EL27" s="27">
        <v>0</v>
      </c>
      <c r="EM27" s="27">
        <v>0</v>
      </c>
      <c r="EN27" s="27">
        <v>0</v>
      </c>
      <c r="EO27" s="27">
        <v>0</v>
      </c>
      <c r="EP27" s="27">
        <v>0</v>
      </c>
      <c r="EQ27" s="27">
        <v>0</v>
      </c>
      <c r="ER27" s="27"/>
      <c r="ES27" s="27"/>
      <c r="ET27" s="27"/>
      <c r="EU27" s="27"/>
    </row>
    <row r="28" spans="1:151" x14ac:dyDescent="0.3">
      <c r="A28" s="130">
        <v>316953</v>
      </c>
      <c r="B28" s="21" t="s">
        <v>18</v>
      </c>
      <c r="C28" s="249">
        <f>IFERROR(VLOOKUP(A28,완제품!B:AX,49,FALSE),0)</f>
        <v>10</v>
      </c>
      <c r="D28" s="27">
        <f t="shared" si="89"/>
        <v>2.5806451612903225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5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8">
        <v>0</v>
      </c>
      <c r="AJ28" s="26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6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  <c r="BV28" s="27">
        <v>0</v>
      </c>
      <c r="BW28" s="27">
        <v>0</v>
      </c>
      <c r="BX28" s="27">
        <v>0</v>
      </c>
      <c r="BY28" s="27">
        <v>0</v>
      </c>
      <c r="BZ28" s="27">
        <v>0</v>
      </c>
      <c r="CA28" s="27">
        <v>0</v>
      </c>
      <c r="CB28" s="27">
        <v>0</v>
      </c>
      <c r="CC28" s="27">
        <v>4</v>
      </c>
      <c r="CD28" s="27">
        <v>0</v>
      </c>
      <c r="CE28" s="27">
        <v>0</v>
      </c>
      <c r="CF28" s="27">
        <v>0</v>
      </c>
      <c r="CG28" s="27">
        <v>0</v>
      </c>
      <c r="CH28" s="27">
        <v>0</v>
      </c>
      <c r="CI28" s="27">
        <v>0</v>
      </c>
      <c r="CJ28" s="27">
        <v>0</v>
      </c>
      <c r="CK28" s="27">
        <v>0</v>
      </c>
      <c r="CL28" s="27">
        <v>0</v>
      </c>
      <c r="CM28" s="27">
        <v>0</v>
      </c>
      <c r="CN28" s="27">
        <v>0</v>
      </c>
      <c r="CO28" s="27">
        <v>0</v>
      </c>
      <c r="CP28" s="28">
        <v>0</v>
      </c>
      <c r="CQ28" s="27">
        <v>0</v>
      </c>
      <c r="CR28" s="27">
        <v>0</v>
      </c>
      <c r="CS28" s="27">
        <v>0</v>
      </c>
      <c r="CT28" s="27">
        <v>0</v>
      </c>
      <c r="CU28" s="27">
        <v>0</v>
      </c>
      <c r="CV28" s="27">
        <v>0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7">
        <v>0</v>
      </c>
      <c r="DD28" s="27">
        <v>0</v>
      </c>
      <c r="DE28" s="27">
        <v>0</v>
      </c>
      <c r="DF28" s="27">
        <v>0</v>
      </c>
      <c r="DG28" s="27">
        <v>0</v>
      </c>
      <c r="DH28" s="27">
        <v>0</v>
      </c>
      <c r="DI28" s="27">
        <v>0</v>
      </c>
      <c r="DJ28" s="27">
        <v>0</v>
      </c>
      <c r="DK28" s="27">
        <v>0</v>
      </c>
      <c r="DL28" s="27">
        <v>0</v>
      </c>
      <c r="DM28" s="27">
        <v>0</v>
      </c>
      <c r="DN28" s="27">
        <v>0</v>
      </c>
      <c r="DO28" s="27">
        <v>0</v>
      </c>
      <c r="DP28" s="27">
        <v>0</v>
      </c>
      <c r="DQ28" s="27">
        <v>0</v>
      </c>
      <c r="DR28" s="27">
        <v>10</v>
      </c>
      <c r="DS28" s="27">
        <v>0</v>
      </c>
      <c r="DT28" s="27">
        <v>0</v>
      </c>
      <c r="DU28" s="26">
        <v>0</v>
      </c>
      <c r="DV28" s="27">
        <v>0</v>
      </c>
      <c r="DW28" s="27">
        <v>0</v>
      </c>
      <c r="DX28" s="27">
        <v>0</v>
      </c>
      <c r="DY28" s="27">
        <v>0</v>
      </c>
      <c r="DZ28" s="27">
        <v>0</v>
      </c>
      <c r="EA28" s="27">
        <v>0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0</v>
      </c>
      <c r="EI28" s="27">
        <v>0</v>
      </c>
      <c r="EJ28" s="27">
        <v>0</v>
      </c>
      <c r="EK28" s="27">
        <v>0</v>
      </c>
      <c r="EL28" s="27">
        <v>0</v>
      </c>
      <c r="EM28" s="27">
        <v>0</v>
      </c>
      <c r="EN28" s="27">
        <v>0</v>
      </c>
      <c r="EO28" s="27">
        <v>0</v>
      </c>
      <c r="EP28" s="27">
        <v>0</v>
      </c>
      <c r="EQ28" s="27">
        <v>0</v>
      </c>
      <c r="ER28" s="27"/>
      <c r="ES28" s="27"/>
      <c r="ET28" s="27"/>
      <c r="EU28" s="27"/>
    </row>
    <row r="29" spans="1:151" x14ac:dyDescent="0.3">
      <c r="A29" s="130">
        <v>321093</v>
      </c>
      <c r="B29" s="21" t="s">
        <v>19</v>
      </c>
      <c r="C29" s="249">
        <f>IFERROR(VLOOKUP(A29,완제품!B:AX,49,FALSE),0)</f>
        <v>36</v>
      </c>
      <c r="D29" s="334">
        <f>IFERROR((SUM(DU29:EY29)+D30*3+D31*5)/$D$2*$D$1,0)*$D$3+C29*$D$4</f>
        <v>9.2903225806451601</v>
      </c>
      <c r="E29" s="27">
        <v>0</v>
      </c>
      <c r="F29" s="27">
        <v>53</v>
      </c>
      <c r="G29" s="27">
        <v>22</v>
      </c>
      <c r="H29" s="27">
        <v>56</v>
      </c>
      <c r="I29" s="27">
        <v>0</v>
      </c>
      <c r="J29" s="27">
        <v>59</v>
      </c>
      <c r="K29" s="27">
        <v>51</v>
      </c>
      <c r="L29" s="27">
        <v>26</v>
      </c>
      <c r="M29" s="27">
        <v>49</v>
      </c>
      <c r="N29" s="27">
        <v>58</v>
      </c>
      <c r="O29" s="27">
        <v>23</v>
      </c>
      <c r="P29" s="27">
        <v>43</v>
      </c>
      <c r="Q29" s="27">
        <v>61</v>
      </c>
      <c r="R29" s="27">
        <v>83</v>
      </c>
      <c r="S29" s="27">
        <v>33</v>
      </c>
      <c r="T29" s="27">
        <v>47</v>
      </c>
      <c r="U29" s="27">
        <v>54</v>
      </c>
      <c r="V29" s="27">
        <v>24</v>
      </c>
      <c r="W29" s="27">
        <v>4</v>
      </c>
      <c r="X29" s="27">
        <v>66</v>
      </c>
      <c r="Y29" s="27">
        <v>58</v>
      </c>
      <c r="Z29" s="27">
        <v>1</v>
      </c>
      <c r="AA29" s="27">
        <v>66</v>
      </c>
      <c r="AB29" s="27">
        <v>65</v>
      </c>
      <c r="AC29" s="27">
        <v>63</v>
      </c>
      <c r="AD29" s="27">
        <v>0</v>
      </c>
      <c r="AE29" s="27">
        <v>53</v>
      </c>
      <c r="AF29" s="27">
        <v>42</v>
      </c>
      <c r="AG29" s="27">
        <v>0</v>
      </c>
      <c r="AH29" s="27">
        <v>27</v>
      </c>
      <c r="AI29" s="28">
        <v>23</v>
      </c>
      <c r="AJ29" s="26">
        <v>23</v>
      </c>
      <c r="AK29" s="27">
        <v>0</v>
      </c>
      <c r="AL29" s="27">
        <v>83</v>
      </c>
      <c r="AM29" s="27">
        <v>114</v>
      </c>
      <c r="AN29" s="27">
        <v>6</v>
      </c>
      <c r="AO29" s="27">
        <v>52</v>
      </c>
      <c r="AP29" s="27">
        <v>51</v>
      </c>
      <c r="AQ29" s="27">
        <v>55</v>
      </c>
      <c r="AR29" s="27">
        <v>0</v>
      </c>
      <c r="AS29" s="27">
        <v>59</v>
      </c>
      <c r="AT29" s="27">
        <v>21</v>
      </c>
      <c r="AU29" s="27">
        <v>3</v>
      </c>
      <c r="AV29" s="27">
        <v>37</v>
      </c>
      <c r="AW29" s="27">
        <v>24</v>
      </c>
      <c r="AX29" s="27">
        <v>47</v>
      </c>
      <c r="AY29" s="27">
        <v>4</v>
      </c>
      <c r="AZ29" s="27">
        <v>34</v>
      </c>
      <c r="BA29" s="27">
        <v>54</v>
      </c>
      <c r="BB29" s="27">
        <v>26</v>
      </c>
      <c r="BC29" s="27">
        <v>56</v>
      </c>
      <c r="BD29" s="27">
        <v>34</v>
      </c>
      <c r="BE29" s="27">
        <v>59</v>
      </c>
      <c r="BF29" s="27">
        <v>8</v>
      </c>
      <c r="BG29" s="27">
        <v>39</v>
      </c>
      <c r="BH29" s="27">
        <v>34</v>
      </c>
      <c r="BI29" s="27">
        <v>0</v>
      </c>
      <c r="BJ29" s="27">
        <v>58</v>
      </c>
      <c r="BK29" s="27">
        <v>20</v>
      </c>
      <c r="BL29" s="26">
        <v>40</v>
      </c>
      <c r="BM29" s="27">
        <v>0</v>
      </c>
      <c r="BN29" s="27">
        <v>10</v>
      </c>
      <c r="BO29" s="27">
        <v>9</v>
      </c>
      <c r="BP29" s="27">
        <v>0</v>
      </c>
      <c r="BQ29" s="27">
        <v>24</v>
      </c>
      <c r="BR29" s="27">
        <v>11</v>
      </c>
      <c r="BS29" s="27">
        <v>20</v>
      </c>
      <c r="BT29" s="27">
        <v>0</v>
      </c>
      <c r="BU29" s="27">
        <v>19</v>
      </c>
      <c r="BV29" s="27">
        <v>13</v>
      </c>
      <c r="BW29" s="27">
        <v>0</v>
      </c>
      <c r="BX29" s="27">
        <v>36</v>
      </c>
      <c r="BY29" s="27">
        <v>17</v>
      </c>
      <c r="BZ29" s="27">
        <v>35</v>
      </c>
      <c r="CA29" s="27">
        <v>0</v>
      </c>
      <c r="CB29" s="27">
        <v>16</v>
      </c>
      <c r="CC29" s="27">
        <v>24</v>
      </c>
      <c r="CD29" s="27">
        <v>0</v>
      </c>
      <c r="CE29" s="27">
        <v>9</v>
      </c>
      <c r="CF29" s="27">
        <v>2</v>
      </c>
      <c r="CG29" s="27">
        <v>0</v>
      </c>
      <c r="CH29" s="27">
        <v>0</v>
      </c>
      <c r="CI29" s="27">
        <v>0</v>
      </c>
      <c r="CJ29" s="27">
        <v>2</v>
      </c>
      <c r="CK29" s="27">
        <v>0</v>
      </c>
      <c r="CL29" s="27">
        <v>0</v>
      </c>
      <c r="CM29" s="27">
        <v>0</v>
      </c>
      <c r="CN29" s="27">
        <v>0</v>
      </c>
      <c r="CO29" s="27">
        <v>0</v>
      </c>
      <c r="CP29" s="28">
        <v>0</v>
      </c>
      <c r="CQ29" s="27">
        <v>18</v>
      </c>
      <c r="CR29" s="27">
        <v>0</v>
      </c>
      <c r="CS29" s="27">
        <v>14</v>
      </c>
      <c r="CT29" s="27">
        <v>0</v>
      </c>
      <c r="CU29" s="27">
        <v>0</v>
      </c>
      <c r="CV29" s="27">
        <v>0</v>
      </c>
      <c r="CW29" s="27">
        <v>0</v>
      </c>
      <c r="CX29" s="27">
        <v>0</v>
      </c>
      <c r="CY29" s="27">
        <v>0</v>
      </c>
      <c r="CZ29" s="27">
        <v>0</v>
      </c>
      <c r="DA29" s="27">
        <v>4</v>
      </c>
      <c r="DB29" s="27">
        <v>0</v>
      </c>
      <c r="DC29" s="27">
        <v>0</v>
      </c>
      <c r="DD29" s="27">
        <v>0</v>
      </c>
      <c r="DE29" s="27">
        <v>0</v>
      </c>
      <c r="DF29" s="27">
        <v>0</v>
      </c>
      <c r="DG29" s="27">
        <v>0</v>
      </c>
      <c r="DH29" s="27">
        <v>0</v>
      </c>
      <c r="DI29" s="27">
        <v>0</v>
      </c>
      <c r="DJ29" s="27">
        <v>0</v>
      </c>
      <c r="DK29" s="27">
        <v>0</v>
      </c>
      <c r="DL29" s="27">
        <v>0</v>
      </c>
      <c r="DM29" s="27">
        <v>0</v>
      </c>
      <c r="DN29" s="27">
        <v>0</v>
      </c>
      <c r="DO29" s="27">
        <v>0</v>
      </c>
      <c r="DP29" s="27">
        <v>0</v>
      </c>
      <c r="DQ29" s="27">
        <v>0</v>
      </c>
      <c r="DR29" s="27">
        <v>0</v>
      </c>
      <c r="DS29" s="27">
        <v>0</v>
      </c>
      <c r="DT29" s="27">
        <v>0</v>
      </c>
      <c r="DU29" s="26">
        <v>0</v>
      </c>
      <c r="DV29" s="27">
        <v>0</v>
      </c>
      <c r="DW29" s="27">
        <v>0</v>
      </c>
      <c r="DX29" s="27">
        <v>0</v>
      </c>
      <c r="DY29" s="27">
        <v>0</v>
      </c>
      <c r="DZ29" s="27">
        <v>0</v>
      </c>
      <c r="EA29" s="27">
        <v>0</v>
      </c>
      <c r="EB29" s="27">
        <v>0</v>
      </c>
      <c r="EC29" s="27">
        <v>0</v>
      </c>
      <c r="ED29" s="27">
        <v>0</v>
      </c>
      <c r="EE29" s="27">
        <v>0</v>
      </c>
      <c r="EF29" s="27">
        <v>0</v>
      </c>
      <c r="EG29" s="27">
        <v>0</v>
      </c>
      <c r="EH29" s="27">
        <v>0</v>
      </c>
      <c r="EI29" s="27">
        <v>0</v>
      </c>
      <c r="EJ29" s="27">
        <v>0</v>
      </c>
      <c r="EK29" s="27">
        <v>0</v>
      </c>
      <c r="EL29" s="27">
        <v>0</v>
      </c>
      <c r="EM29" s="27">
        <v>0</v>
      </c>
      <c r="EN29" s="27">
        <v>0</v>
      </c>
      <c r="EO29" s="27">
        <v>0</v>
      </c>
      <c r="EP29" s="27">
        <v>0</v>
      </c>
      <c r="EQ29" s="27">
        <v>0</v>
      </c>
      <c r="ER29" s="27"/>
      <c r="ES29" s="27"/>
      <c r="ET29" s="27"/>
      <c r="EU29" s="27"/>
    </row>
    <row r="30" spans="1:151" x14ac:dyDescent="0.3">
      <c r="A30" s="130">
        <v>332199</v>
      </c>
      <c r="B30" s="21" t="s">
        <v>825</v>
      </c>
      <c r="C30" s="249">
        <f>IFERROR(VLOOKUP(A30,완제품!B:AX,49,FALSE),0)</f>
        <v>0</v>
      </c>
      <c r="D30" s="27">
        <f t="shared" ref="D30:D31" si="90">IFERROR(SUM(DU30:EY30)/$D$2*$D$1,0)*$D$3+C30*$D$4</f>
        <v>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8"/>
      <c r="AJ30" s="26">
        <v>0</v>
      </c>
      <c r="AK30" s="27">
        <v>11</v>
      </c>
      <c r="AL30" s="27">
        <v>5</v>
      </c>
      <c r="AM30" s="27">
        <v>3</v>
      </c>
      <c r="AN30" s="27">
        <v>1</v>
      </c>
      <c r="AO30" s="27">
        <v>2</v>
      </c>
      <c r="AP30" s="27">
        <v>40</v>
      </c>
      <c r="AQ30" s="27">
        <v>0</v>
      </c>
      <c r="AR30" s="27">
        <v>29</v>
      </c>
      <c r="AS30" s="27">
        <v>20</v>
      </c>
      <c r="AT30" s="27">
        <v>14</v>
      </c>
      <c r="AU30" s="27">
        <v>2</v>
      </c>
      <c r="AV30" s="27">
        <v>8</v>
      </c>
      <c r="AW30" s="27">
        <v>1</v>
      </c>
      <c r="AX30" s="27">
        <v>0</v>
      </c>
      <c r="AY30" s="27">
        <v>2</v>
      </c>
      <c r="AZ30" s="27">
        <v>5</v>
      </c>
      <c r="BA30" s="27">
        <v>13</v>
      </c>
      <c r="BB30" s="27">
        <v>14</v>
      </c>
      <c r="BC30" s="27">
        <v>3</v>
      </c>
      <c r="BD30" s="27">
        <v>6</v>
      </c>
      <c r="BE30" s="27">
        <v>0</v>
      </c>
      <c r="BF30" s="27">
        <v>6</v>
      </c>
      <c r="BG30" s="27">
        <v>5</v>
      </c>
      <c r="BH30" s="27">
        <v>0</v>
      </c>
      <c r="BI30" s="27">
        <v>0</v>
      </c>
      <c r="BJ30" s="27">
        <v>0</v>
      </c>
      <c r="BK30" s="27">
        <v>0</v>
      </c>
      <c r="BL30" s="26">
        <v>0</v>
      </c>
      <c r="BM30" s="27">
        <v>0</v>
      </c>
      <c r="BN30" s="27">
        <v>5</v>
      </c>
      <c r="BO30" s="27">
        <v>18</v>
      </c>
      <c r="BP30" s="27">
        <v>19</v>
      </c>
      <c r="BQ30" s="27">
        <v>29</v>
      </c>
      <c r="BR30" s="27">
        <v>22</v>
      </c>
      <c r="BS30" s="27">
        <v>0</v>
      </c>
      <c r="BT30" s="27">
        <v>34</v>
      </c>
      <c r="BU30" s="27">
        <v>2</v>
      </c>
      <c r="BV30" s="27">
        <v>0</v>
      </c>
      <c r="BW30" s="27">
        <v>0</v>
      </c>
      <c r="BX30" s="27">
        <v>0</v>
      </c>
      <c r="BY30" s="27">
        <v>10</v>
      </c>
      <c r="BZ30" s="27">
        <v>0</v>
      </c>
      <c r="CA30" s="27">
        <v>4</v>
      </c>
      <c r="CB30" s="27">
        <v>7</v>
      </c>
      <c r="CC30" s="27">
        <v>9</v>
      </c>
      <c r="CD30" s="27">
        <v>2</v>
      </c>
      <c r="CE30" s="27">
        <v>4</v>
      </c>
      <c r="CF30" s="27">
        <v>3</v>
      </c>
      <c r="CG30" s="27">
        <v>0</v>
      </c>
      <c r="CH30" s="27">
        <v>0</v>
      </c>
      <c r="CI30" s="27">
        <v>0</v>
      </c>
      <c r="CJ30" s="27">
        <v>0</v>
      </c>
      <c r="CK30" s="27">
        <v>0</v>
      </c>
      <c r="CL30" s="27">
        <v>0</v>
      </c>
      <c r="CM30" s="27">
        <v>0</v>
      </c>
      <c r="CN30" s="27">
        <v>0</v>
      </c>
      <c r="CO30" s="27">
        <v>0</v>
      </c>
      <c r="CP30" s="28">
        <v>0</v>
      </c>
      <c r="CQ30" s="27">
        <v>0</v>
      </c>
      <c r="CR30" s="27">
        <v>0</v>
      </c>
      <c r="CS30" s="27">
        <v>0</v>
      </c>
      <c r="CT30" s="27">
        <v>0</v>
      </c>
      <c r="CU30" s="27">
        <v>0</v>
      </c>
      <c r="CV30" s="27">
        <v>0</v>
      </c>
      <c r="CW30" s="27">
        <v>0</v>
      </c>
      <c r="CX30" s="27">
        <v>0</v>
      </c>
      <c r="CY30" s="27">
        <v>0</v>
      </c>
      <c r="CZ30" s="27">
        <v>0</v>
      </c>
      <c r="DA30" s="27">
        <v>0</v>
      </c>
      <c r="DB30" s="27">
        <v>0</v>
      </c>
      <c r="DC30" s="27">
        <v>0</v>
      </c>
      <c r="DD30" s="27">
        <v>0</v>
      </c>
      <c r="DE30" s="27">
        <v>0</v>
      </c>
      <c r="DF30" s="27">
        <v>0</v>
      </c>
      <c r="DG30" s="27">
        <v>0</v>
      </c>
      <c r="DH30" s="27">
        <v>0</v>
      </c>
      <c r="DI30" s="27">
        <v>0</v>
      </c>
      <c r="DJ30" s="27">
        <v>0</v>
      </c>
      <c r="DK30" s="27">
        <v>0</v>
      </c>
      <c r="DL30" s="27">
        <v>0</v>
      </c>
      <c r="DM30" s="27">
        <v>0</v>
      </c>
      <c r="DN30" s="27">
        <v>0</v>
      </c>
      <c r="DO30" s="27">
        <v>0</v>
      </c>
      <c r="DP30" s="27">
        <v>0</v>
      </c>
      <c r="DQ30" s="27">
        <v>0</v>
      </c>
      <c r="DR30" s="27">
        <v>0</v>
      </c>
      <c r="DS30" s="27">
        <v>0</v>
      </c>
      <c r="DT30" s="27">
        <v>0</v>
      </c>
      <c r="DU30" s="26">
        <v>0</v>
      </c>
      <c r="DV30" s="27">
        <v>0</v>
      </c>
      <c r="DW30" s="27">
        <v>0</v>
      </c>
      <c r="DX30" s="27">
        <v>0</v>
      </c>
      <c r="DY30" s="27">
        <v>0</v>
      </c>
      <c r="DZ30" s="27">
        <v>0</v>
      </c>
      <c r="EA30" s="27">
        <v>0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0</v>
      </c>
      <c r="EI30" s="27">
        <v>0</v>
      </c>
      <c r="EJ30" s="27">
        <v>0</v>
      </c>
      <c r="EK30" s="27">
        <v>0</v>
      </c>
      <c r="EL30" s="27">
        <v>0</v>
      </c>
      <c r="EM30" s="27">
        <v>0</v>
      </c>
      <c r="EN30" s="27">
        <v>0</v>
      </c>
      <c r="EO30" s="27">
        <v>0</v>
      </c>
      <c r="EP30" s="27">
        <v>0</v>
      </c>
      <c r="EQ30" s="27">
        <v>0</v>
      </c>
      <c r="ER30" s="27"/>
      <c r="ES30" s="27"/>
      <c r="ET30" s="27"/>
      <c r="EU30" s="27"/>
    </row>
    <row r="31" spans="1:151" x14ac:dyDescent="0.3">
      <c r="A31" s="130">
        <v>332583</v>
      </c>
      <c r="B31" s="21" t="s">
        <v>826</v>
      </c>
      <c r="C31" s="249">
        <f>IFERROR(VLOOKUP(A31,완제품!B:AX,49,FALSE),0)</f>
        <v>0</v>
      </c>
      <c r="D31" s="27">
        <f t="shared" si="90"/>
        <v>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8"/>
      <c r="AJ31" s="26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6">
        <v>0</v>
      </c>
      <c r="BM31" s="27">
        <v>0</v>
      </c>
      <c r="BN31" s="27">
        <v>1</v>
      </c>
      <c r="BO31" s="27">
        <v>0</v>
      </c>
      <c r="BP31" s="27">
        <v>0</v>
      </c>
      <c r="BQ31" s="27">
        <v>4</v>
      </c>
      <c r="BR31" s="27">
        <v>0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</v>
      </c>
      <c r="BY31" s="27">
        <v>0</v>
      </c>
      <c r="BZ31" s="27">
        <v>0</v>
      </c>
      <c r="CA31" s="27">
        <v>0</v>
      </c>
      <c r="CB31" s="27">
        <v>0</v>
      </c>
      <c r="CC31" s="27">
        <v>0</v>
      </c>
      <c r="CD31" s="27">
        <v>0</v>
      </c>
      <c r="CE31" s="27">
        <v>0</v>
      </c>
      <c r="CF31" s="27">
        <v>0</v>
      </c>
      <c r="CG31" s="27">
        <v>0</v>
      </c>
      <c r="CH31" s="27">
        <v>0</v>
      </c>
      <c r="CI31" s="27">
        <v>0</v>
      </c>
      <c r="CJ31" s="27">
        <v>0</v>
      </c>
      <c r="CK31" s="27">
        <v>0</v>
      </c>
      <c r="CL31" s="27">
        <v>0</v>
      </c>
      <c r="CM31" s="27">
        <v>0</v>
      </c>
      <c r="CN31" s="27">
        <v>0</v>
      </c>
      <c r="CO31" s="27">
        <v>0</v>
      </c>
      <c r="CP31" s="28">
        <v>0</v>
      </c>
      <c r="CQ31" s="27">
        <v>0</v>
      </c>
      <c r="CR31" s="27">
        <v>0</v>
      </c>
      <c r="CS31" s="27">
        <v>0</v>
      </c>
      <c r="CT31" s="27">
        <v>0</v>
      </c>
      <c r="CU31" s="27">
        <v>0</v>
      </c>
      <c r="CV31" s="27">
        <v>0</v>
      </c>
      <c r="CW31" s="27">
        <v>0</v>
      </c>
      <c r="CX31" s="27">
        <v>0</v>
      </c>
      <c r="CY31" s="27">
        <v>0</v>
      </c>
      <c r="CZ31" s="27">
        <v>0</v>
      </c>
      <c r="DA31" s="27">
        <v>0</v>
      </c>
      <c r="DB31" s="27">
        <v>0</v>
      </c>
      <c r="DC31" s="27">
        <v>0</v>
      </c>
      <c r="DD31" s="27">
        <v>0</v>
      </c>
      <c r="DE31" s="27">
        <v>0</v>
      </c>
      <c r="DF31" s="27">
        <v>0</v>
      </c>
      <c r="DG31" s="27">
        <v>0</v>
      </c>
      <c r="DH31" s="27">
        <v>0</v>
      </c>
      <c r="DI31" s="27">
        <v>0</v>
      </c>
      <c r="DJ31" s="27">
        <v>0</v>
      </c>
      <c r="DK31" s="27">
        <v>0</v>
      </c>
      <c r="DL31" s="27">
        <v>0</v>
      </c>
      <c r="DM31" s="27">
        <v>0</v>
      </c>
      <c r="DN31" s="27">
        <v>0</v>
      </c>
      <c r="DO31" s="27">
        <v>0</v>
      </c>
      <c r="DP31" s="27">
        <v>0</v>
      </c>
      <c r="DQ31" s="27">
        <v>0</v>
      </c>
      <c r="DR31" s="27">
        <v>0</v>
      </c>
      <c r="DS31" s="27">
        <v>0</v>
      </c>
      <c r="DT31" s="27">
        <v>0</v>
      </c>
      <c r="DU31" s="26">
        <v>0</v>
      </c>
      <c r="DV31" s="27">
        <v>0</v>
      </c>
      <c r="DW31" s="27">
        <v>0</v>
      </c>
      <c r="DX31" s="27">
        <v>0</v>
      </c>
      <c r="DY31" s="27">
        <v>0</v>
      </c>
      <c r="DZ31" s="27">
        <v>0</v>
      </c>
      <c r="EA31" s="27">
        <v>0</v>
      </c>
      <c r="EB31" s="27">
        <v>0</v>
      </c>
      <c r="EC31" s="27">
        <v>0</v>
      </c>
      <c r="ED31" s="27">
        <v>0</v>
      </c>
      <c r="EE31" s="27">
        <v>0</v>
      </c>
      <c r="EF31" s="27">
        <v>0</v>
      </c>
      <c r="EG31" s="27">
        <v>0</v>
      </c>
      <c r="EH31" s="27">
        <v>0</v>
      </c>
      <c r="EI31" s="27">
        <v>0</v>
      </c>
      <c r="EJ31" s="27">
        <v>0</v>
      </c>
      <c r="EK31" s="27">
        <v>0</v>
      </c>
      <c r="EL31" s="27">
        <v>0</v>
      </c>
      <c r="EM31" s="27">
        <v>0</v>
      </c>
      <c r="EN31" s="27">
        <v>0</v>
      </c>
      <c r="EO31" s="27">
        <v>0</v>
      </c>
      <c r="EP31" s="27">
        <v>0</v>
      </c>
      <c r="EQ31" s="27">
        <v>0</v>
      </c>
      <c r="ER31" s="27"/>
      <c r="ES31" s="27"/>
      <c r="ET31" s="27"/>
      <c r="EU31" s="27"/>
    </row>
    <row r="32" spans="1:151" x14ac:dyDescent="0.3">
      <c r="A32" s="130">
        <v>331934</v>
      </c>
      <c r="B32" s="21" t="s">
        <v>20</v>
      </c>
      <c r="C32" s="249">
        <f>IFERROR(VLOOKUP(A32,완제품!B:AX,49,FALSE),0)</f>
        <v>3670</v>
      </c>
      <c r="D32" s="27">
        <f>IFERROR(SUM(DU32:EY32)/$D$2*$D$1,0)*$D$3+C32*$D$4</f>
        <v>4614.0967741935483</v>
      </c>
      <c r="E32" s="27">
        <v>46</v>
      </c>
      <c r="F32" s="27">
        <v>25</v>
      </c>
      <c r="G32" s="27">
        <v>641</v>
      </c>
      <c r="H32" s="27">
        <v>133</v>
      </c>
      <c r="I32" s="27">
        <v>0</v>
      </c>
      <c r="J32" s="27">
        <v>74</v>
      </c>
      <c r="K32" s="27">
        <v>42</v>
      </c>
      <c r="L32" s="27">
        <v>628</v>
      </c>
      <c r="M32" s="27">
        <v>44</v>
      </c>
      <c r="N32" s="27">
        <v>90</v>
      </c>
      <c r="O32" s="27">
        <v>639</v>
      </c>
      <c r="P32" s="27">
        <v>0</v>
      </c>
      <c r="Q32" s="27">
        <v>35</v>
      </c>
      <c r="R32" s="27">
        <v>64</v>
      </c>
      <c r="S32" s="27">
        <v>676</v>
      </c>
      <c r="T32" s="27">
        <v>57</v>
      </c>
      <c r="U32" s="27">
        <v>1247</v>
      </c>
      <c r="V32" s="27">
        <v>699</v>
      </c>
      <c r="W32" s="27">
        <v>0</v>
      </c>
      <c r="X32" s="27">
        <v>693</v>
      </c>
      <c r="Y32" s="27">
        <v>47</v>
      </c>
      <c r="Z32" s="27">
        <v>79</v>
      </c>
      <c r="AA32" s="27">
        <v>704</v>
      </c>
      <c r="AB32" s="27">
        <v>68</v>
      </c>
      <c r="AC32" s="27">
        <v>717</v>
      </c>
      <c r="AD32" s="27">
        <v>0</v>
      </c>
      <c r="AE32" s="27">
        <v>1321</v>
      </c>
      <c r="AF32" s="27">
        <v>174</v>
      </c>
      <c r="AG32" s="27">
        <v>0</v>
      </c>
      <c r="AH32" s="27">
        <v>73</v>
      </c>
      <c r="AI32" s="28">
        <v>30</v>
      </c>
      <c r="AJ32" s="26">
        <v>85</v>
      </c>
      <c r="AK32" s="27">
        <v>0</v>
      </c>
      <c r="AL32" s="27">
        <v>93</v>
      </c>
      <c r="AM32" s="27">
        <v>39</v>
      </c>
      <c r="AN32" s="27">
        <v>620</v>
      </c>
      <c r="AO32" s="27">
        <v>47</v>
      </c>
      <c r="AP32" s="27">
        <v>23</v>
      </c>
      <c r="AQ32" s="27">
        <v>38</v>
      </c>
      <c r="AR32" s="27">
        <v>0</v>
      </c>
      <c r="AS32" s="27">
        <v>620</v>
      </c>
      <c r="AT32" s="27">
        <v>36</v>
      </c>
      <c r="AU32" s="27">
        <v>29</v>
      </c>
      <c r="AV32" s="27">
        <v>53</v>
      </c>
      <c r="AW32" s="27">
        <v>662</v>
      </c>
      <c r="AX32" s="27">
        <v>10</v>
      </c>
      <c r="AY32" s="27">
        <v>0</v>
      </c>
      <c r="AZ32" s="27">
        <v>59</v>
      </c>
      <c r="BA32" s="27">
        <v>58</v>
      </c>
      <c r="BB32" s="27">
        <v>34</v>
      </c>
      <c r="BC32" s="27">
        <v>650</v>
      </c>
      <c r="BD32" s="27">
        <v>35</v>
      </c>
      <c r="BE32" s="27">
        <v>47</v>
      </c>
      <c r="BF32" s="27">
        <v>0</v>
      </c>
      <c r="BG32" s="27">
        <v>620</v>
      </c>
      <c r="BH32" s="27">
        <v>36</v>
      </c>
      <c r="BI32" s="27">
        <v>32</v>
      </c>
      <c r="BJ32" s="27">
        <v>71</v>
      </c>
      <c r="BK32" s="27">
        <v>62</v>
      </c>
      <c r="BL32" s="26">
        <v>706</v>
      </c>
      <c r="BM32" s="27">
        <v>0</v>
      </c>
      <c r="BN32" s="27">
        <v>109</v>
      </c>
      <c r="BO32" s="27">
        <v>26</v>
      </c>
      <c r="BP32" s="27">
        <v>628</v>
      </c>
      <c r="BQ32" s="27">
        <v>92</v>
      </c>
      <c r="BR32" s="27">
        <v>30</v>
      </c>
      <c r="BS32" s="27">
        <v>37</v>
      </c>
      <c r="BT32" s="27">
        <v>0</v>
      </c>
      <c r="BU32" s="27">
        <v>615</v>
      </c>
      <c r="BV32" s="27">
        <v>20</v>
      </c>
      <c r="BW32" s="27">
        <v>31</v>
      </c>
      <c r="BX32" s="27">
        <v>20</v>
      </c>
      <c r="BY32" s="27">
        <v>1209</v>
      </c>
      <c r="BZ32" s="27">
        <v>29</v>
      </c>
      <c r="CA32" s="27">
        <v>0</v>
      </c>
      <c r="CB32" s="27">
        <v>5</v>
      </c>
      <c r="CC32" s="27">
        <v>10</v>
      </c>
      <c r="CD32" s="27">
        <v>14</v>
      </c>
      <c r="CE32" s="27">
        <v>0</v>
      </c>
      <c r="CF32" s="27">
        <v>12</v>
      </c>
      <c r="CG32" s="27">
        <v>1210</v>
      </c>
      <c r="CH32" s="27">
        <v>0</v>
      </c>
      <c r="CI32" s="27">
        <v>4</v>
      </c>
      <c r="CJ32" s="27">
        <v>1</v>
      </c>
      <c r="CK32" s="27">
        <v>1</v>
      </c>
      <c r="CL32" s="27">
        <v>0</v>
      </c>
      <c r="CM32" s="27">
        <v>0</v>
      </c>
      <c r="CN32" s="27">
        <v>1201</v>
      </c>
      <c r="CO32" s="27">
        <v>0</v>
      </c>
      <c r="CP32" s="28">
        <v>0</v>
      </c>
      <c r="CQ32" s="27">
        <v>6</v>
      </c>
      <c r="CR32" s="27">
        <v>0</v>
      </c>
      <c r="CS32" s="27">
        <v>0</v>
      </c>
      <c r="CT32" s="27">
        <v>8</v>
      </c>
      <c r="CU32" s="27">
        <v>0</v>
      </c>
      <c r="CV32" s="27">
        <v>0</v>
      </c>
      <c r="CW32" s="27">
        <v>6</v>
      </c>
      <c r="CX32" s="27">
        <v>1200</v>
      </c>
      <c r="CY32" s="27">
        <v>0</v>
      </c>
      <c r="CZ32" s="27">
        <v>2</v>
      </c>
      <c r="DA32" s="27">
        <v>5</v>
      </c>
      <c r="DB32" s="27">
        <v>0</v>
      </c>
      <c r="DC32" s="27">
        <v>0</v>
      </c>
      <c r="DD32" s="27">
        <v>0</v>
      </c>
      <c r="DE32" s="27">
        <v>0</v>
      </c>
      <c r="DF32" s="27">
        <v>1200</v>
      </c>
      <c r="DG32" s="27">
        <v>0</v>
      </c>
      <c r="DH32" s="27">
        <v>26</v>
      </c>
      <c r="DI32" s="27">
        <v>0</v>
      </c>
      <c r="DJ32" s="27">
        <v>0</v>
      </c>
      <c r="DK32" s="27">
        <v>12</v>
      </c>
      <c r="DL32" s="27">
        <v>0</v>
      </c>
      <c r="DM32" s="27">
        <v>0</v>
      </c>
      <c r="DN32" s="27">
        <v>4</v>
      </c>
      <c r="DO32" s="27">
        <v>1200</v>
      </c>
      <c r="DP32" s="27">
        <v>0</v>
      </c>
      <c r="DQ32" s="27">
        <v>0</v>
      </c>
      <c r="DR32" s="27">
        <v>0</v>
      </c>
      <c r="DS32" s="27">
        <v>1</v>
      </c>
      <c r="DT32" s="27">
        <v>0</v>
      </c>
      <c r="DU32" s="26">
        <v>1200</v>
      </c>
      <c r="DV32" s="27">
        <v>2</v>
      </c>
      <c r="DW32" s="27">
        <v>24</v>
      </c>
      <c r="DX32" s="27">
        <v>0</v>
      </c>
      <c r="DY32" s="27">
        <v>0</v>
      </c>
      <c r="DZ32" s="27">
        <v>0</v>
      </c>
      <c r="EA32" s="27">
        <v>0</v>
      </c>
      <c r="EB32" s="27">
        <v>0</v>
      </c>
      <c r="EC32" s="27">
        <v>5</v>
      </c>
      <c r="ED32" s="27">
        <v>1200</v>
      </c>
      <c r="EE32" s="27">
        <v>0</v>
      </c>
      <c r="EF32" s="27">
        <v>0</v>
      </c>
      <c r="EG32" s="27">
        <v>0</v>
      </c>
      <c r="EH32" s="27">
        <v>24</v>
      </c>
      <c r="EI32" s="27">
        <v>10</v>
      </c>
      <c r="EJ32" s="27">
        <v>0</v>
      </c>
      <c r="EK32" s="27">
        <v>0</v>
      </c>
      <c r="EL32" s="27">
        <v>0</v>
      </c>
      <c r="EM32" s="27">
        <v>1200</v>
      </c>
      <c r="EN32" s="27">
        <v>0</v>
      </c>
      <c r="EO32" s="27">
        <v>0</v>
      </c>
      <c r="EP32" s="27">
        <v>2</v>
      </c>
      <c r="EQ32" s="27">
        <v>0</v>
      </c>
      <c r="ER32" s="27"/>
      <c r="ES32" s="27"/>
      <c r="ET32" s="27"/>
      <c r="EU32" s="27"/>
    </row>
    <row r="33" spans="1:151" x14ac:dyDescent="0.3">
      <c r="A33" s="130">
        <v>340495</v>
      </c>
      <c r="B33" s="21" t="s">
        <v>971</v>
      </c>
      <c r="C33" s="249">
        <f>IFERROR(VLOOKUP(A33,완제품!B:AX,49,FALSE),0)</f>
        <v>0</v>
      </c>
      <c r="D33" s="27">
        <f t="shared" ref="D33:D48" si="91">IFERROR(SUM(DU33:EY33)/$D$2*$D$1,0)*$D$3+C33*$D$4</f>
        <v>66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8"/>
      <c r="AJ33" s="26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6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8"/>
      <c r="CQ33" s="27">
        <v>0</v>
      </c>
      <c r="CR33" s="27">
        <v>0</v>
      </c>
      <c r="CS33" s="27">
        <v>0</v>
      </c>
      <c r="CT33" s="27">
        <v>0</v>
      </c>
      <c r="CU33" s="27">
        <v>0</v>
      </c>
      <c r="CV33" s="27">
        <v>0</v>
      </c>
      <c r="CW33" s="27">
        <v>0</v>
      </c>
      <c r="CX33" s="27">
        <v>0</v>
      </c>
      <c r="CY33" s="27">
        <v>0</v>
      </c>
      <c r="CZ33" s="27">
        <v>0</v>
      </c>
      <c r="DA33" s="27">
        <v>0</v>
      </c>
      <c r="DB33" s="27">
        <v>0</v>
      </c>
      <c r="DC33" s="27">
        <v>0</v>
      </c>
      <c r="DD33" s="27">
        <v>0</v>
      </c>
      <c r="DE33" s="27">
        <v>0</v>
      </c>
      <c r="DF33" s="27">
        <v>0</v>
      </c>
      <c r="DG33" s="27">
        <v>0</v>
      </c>
      <c r="DH33" s="27">
        <v>0</v>
      </c>
      <c r="DI33" s="27">
        <v>0</v>
      </c>
      <c r="DJ33" s="27">
        <v>0</v>
      </c>
      <c r="DK33" s="27">
        <v>0</v>
      </c>
      <c r="DL33" s="27">
        <v>0</v>
      </c>
      <c r="DM33" s="27">
        <v>0</v>
      </c>
      <c r="DN33" s="27">
        <v>0</v>
      </c>
      <c r="DO33" s="27">
        <v>0</v>
      </c>
      <c r="DP33" s="27">
        <v>0</v>
      </c>
      <c r="DQ33" s="27">
        <v>0</v>
      </c>
      <c r="DR33" s="27">
        <v>0</v>
      </c>
      <c r="DS33" s="27">
        <v>0</v>
      </c>
      <c r="DT33" s="27">
        <v>0</v>
      </c>
      <c r="DU33" s="26">
        <v>0</v>
      </c>
      <c r="DV33" s="27">
        <v>0</v>
      </c>
      <c r="DW33" s="27">
        <v>0</v>
      </c>
      <c r="DX33" s="27">
        <v>0</v>
      </c>
      <c r="DY33" s="27">
        <v>0</v>
      </c>
      <c r="DZ33" s="27">
        <v>0</v>
      </c>
      <c r="EA33" s="27">
        <v>66</v>
      </c>
      <c r="EB33" s="27">
        <v>0</v>
      </c>
      <c r="EC33" s="27">
        <v>0</v>
      </c>
      <c r="ED33" s="27">
        <v>0</v>
      </c>
      <c r="EE33" s="27">
        <v>0</v>
      </c>
      <c r="EF33" s="27">
        <v>0</v>
      </c>
      <c r="EG33" s="27">
        <v>0</v>
      </c>
      <c r="EH33" s="27">
        <v>0</v>
      </c>
      <c r="EI33" s="27">
        <v>0</v>
      </c>
      <c r="EJ33" s="27">
        <v>0</v>
      </c>
      <c r="EK33" s="27">
        <v>0</v>
      </c>
      <c r="EL33" s="27">
        <v>0</v>
      </c>
      <c r="EM33" s="27">
        <v>0</v>
      </c>
      <c r="EN33" s="27">
        <v>0</v>
      </c>
      <c r="EO33" s="27">
        <v>0</v>
      </c>
      <c r="EP33" s="27">
        <v>0</v>
      </c>
      <c r="EQ33" s="27">
        <v>0</v>
      </c>
      <c r="ER33" s="27"/>
      <c r="ES33" s="27"/>
      <c r="ET33" s="27"/>
      <c r="EU33" s="27"/>
    </row>
    <row r="34" spans="1:151" x14ac:dyDescent="0.3">
      <c r="A34" s="130">
        <v>326263</v>
      </c>
      <c r="B34" s="21" t="s">
        <v>21</v>
      </c>
      <c r="C34" s="249">
        <f>IFERROR(VLOOKUP(A34,완제품!B:AX,49,FALSE),0)</f>
        <v>10412</v>
      </c>
      <c r="D34" s="334">
        <f>IFERROR((SUM(DU34:EY34)+D35*2+D36*2+D37*3+D38*2+D39*3+D40*3)/$D$2*$D$1,0)*$D$3+C34*$D$4</f>
        <v>10091.967741935485</v>
      </c>
      <c r="E34" s="27">
        <v>247</v>
      </c>
      <c r="F34" s="27">
        <v>202</v>
      </c>
      <c r="G34" s="27">
        <v>379</v>
      </c>
      <c r="H34" s="27">
        <v>508</v>
      </c>
      <c r="I34" s="27">
        <v>0</v>
      </c>
      <c r="J34" s="27">
        <v>462</v>
      </c>
      <c r="K34" s="27">
        <v>346</v>
      </c>
      <c r="L34" s="27">
        <v>193</v>
      </c>
      <c r="M34" s="27">
        <v>355</v>
      </c>
      <c r="N34" s="27">
        <v>239</v>
      </c>
      <c r="O34" s="27">
        <v>675</v>
      </c>
      <c r="P34" s="27">
        <v>11</v>
      </c>
      <c r="Q34" s="27">
        <v>471</v>
      </c>
      <c r="R34" s="27">
        <v>248</v>
      </c>
      <c r="S34" s="27">
        <v>297</v>
      </c>
      <c r="T34" s="27">
        <v>226</v>
      </c>
      <c r="U34" s="27">
        <v>340</v>
      </c>
      <c r="V34" s="27">
        <v>669</v>
      </c>
      <c r="W34" s="27">
        <v>14</v>
      </c>
      <c r="X34" s="27">
        <v>427</v>
      </c>
      <c r="Y34" s="27">
        <v>291</v>
      </c>
      <c r="Z34" s="27">
        <v>285</v>
      </c>
      <c r="AA34" s="27">
        <v>210</v>
      </c>
      <c r="AB34" s="27">
        <v>661</v>
      </c>
      <c r="AC34" s="27">
        <v>607</v>
      </c>
      <c r="AD34" s="27">
        <v>0</v>
      </c>
      <c r="AE34" s="27">
        <v>633</v>
      </c>
      <c r="AF34" s="27">
        <v>163</v>
      </c>
      <c r="AG34" s="27">
        <v>0</v>
      </c>
      <c r="AH34" s="27">
        <v>247</v>
      </c>
      <c r="AI34" s="28">
        <v>214</v>
      </c>
      <c r="AJ34" s="26">
        <v>378</v>
      </c>
      <c r="AK34" s="27">
        <v>13</v>
      </c>
      <c r="AL34" s="27">
        <v>289</v>
      </c>
      <c r="AM34" s="27">
        <v>234</v>
      </c>
      <c r="AN34" s="27">
        <v>116</v>
      </c>
      <c r="AO34" s="27">
        <v>260</v>
      </c>
      <c r="AP34" s="27">
        <v>246</v>
      </c>
      <c r="AQ34" s="27">
        <v>276</v>
      </c>
      <c r="AR34" s="27">
        <v>13</v>
      </c>
      <c r="AS34" s="27">
        <v>181</v>
      </c>
      <c r="AT34" s="27">
        <v>274</v>
      </c>
      <c r="AU34" s="27">
        <v>203</v>
      </c>
      <c r="AV34" s="27">
        <v>496</v>
      </c>
      <c r="AW34" s="27">
        <v>339</v>
      </c>
      <c r="AX34" s="27">
        <v>717</v>
      </c>
      <c r="AY34" s="27">
        <v>25</v>
      </c>
      <c r="AZ34" s="27">
        <v>542</v>
      </c>
      <c r="BA34" s="27">
        <v>348</v>
      </c>
      <c r="BB34" s="27">
        <v>368</v>
      </c>
      <c r="BC34" s="27">
        <v>375</v>
      </c>
      <c r="BD34" s="27">
        <v>363</v>
      </c>
      <c r="BE34" s="27">
        <v>404</v>
      </c>
      <c r="BF34" s="27">
        <v>0</v>
      </c>
      <c r="BG34" s="27">
        <v>350</v>
      </c>
      <c r="BH34" s="27">
        <v>337</v>
      </c>
      <c r="BI34" s="27">
        <v>229</v>
      </c>
      <c r="BJ34" s="27">
        <v>318</v>
      </c>
      <c r="BK34" s="27">
        <v>217</v>
      </c>
      <c r="BL34" s="26">
        <v>670</v>
      </c>
      <c r="BM34" s="27">
        <v>0</v>
      </c>
      <c r="BN34" s="27">
        <v>490</v>
      </c>
      <c r="BO34" s="27">
        <v>287</v>
      </c>
      <c r="BP34" s="27">
        <v>474</v>
      </c>
      <c r="BQ34" s="27">
        <v>405</v>
      </c>
      <c r="BR34" s="27">
        <v>357</v>
      </c>
      <c r="BS34" s="27">
        <v>514</v>
      </c>
      <c r="BT34" s="27">
        <v>0</v>
      </c>
      <c r="BU34" s="27">
        <v>302</v>
      </c>
      <c r="BV34" s="27">
        <v>308</v>
      </c>
      <c r="BW34" s="27">
        <v>315</v>
      </c>
      <c r="BX34" s="27">
        <v>1104</v>
      </c>
      <c r="BY34" s="27">
        <v>315</v>
      </c>
      <c r="BZ34" s="27">
        <v>566</v>
      </c>
      <c r="CA34" s="27">
        <v>0</v>
      </c>
      <c r="CB34" s="27">
        <v>398</v>
      </c>
      <c r="CC34" s="27">
        <v>689</v>
      </c>
      <c r="CD34" s="27">
        <v>1001</v>
      </c>
      <c r="CE34" s="27">
        <v>288</v>
      </c>
      <c r="CF34" s="27">
        <v>281</v>
      </c>
      <c r="CG34" s="27">
        <v>425</v>
      </c>
      <c r="CH34" s="27">
        <v>10</v>
      </c>
      <c r="CI34" s="27">
        <v>272</v>
      </c>
      <c r="CJ34" s="27">
        <v>366</v>
      </c>
      <c r="CK34" s="27">
        <v>165</v>
      </c>
      <c r="CL34" s="27">
        <v>242</v>
      </c>
      <c r="CM34" s="27">
        <v>404</v>
      </c>
      <c r="CN34" s="27">
        <v>469</v>
      </c>
      <c r="CO34" s="27">
        <v>0</v>
      </c>
      <c r="CP34" s="28">
        <v>184</v>
      </c>
      <c r="CQ34" s="27">
        <v>455</v>
      </c>
      <c r="CR34" s="27">
        <v>361</v>
      </c>
      <c r="CS34" s="27">
        <v>387</v>
      </c>
      <c r="CT34" s="27">
        <v>470</v>
      </c>
      <c r="CU34" s="27">
        <v>586</v>
      </c>
      <c r="CV34" s="27">
        <v>0</v>
      </c>
      <c r="CW34" s="27">
        <v>422</v>
      </c>
      <c r="CX34" s="27">
        <v>238</v>
      </c>
      <c r="CY34" s="27">
        <v>189</v>
      </c>
      <c r="CZ34" s="27">
        <v>426</v>
      </c>
      <c r="DA34" s="27">
        <v>370</v>
      </c>
      <c r="DB34" s="27">
        <v>416</v>
      </c>
      <c r="DC34" s="27">
        <v>6</v>
      </c>
      <c r="DD34" s="27">
        <v>359</v>
      </c>
      <c r="DE34" s="27">
        <v>334</v>
      </c>
      <c r="DF34" s="27">
        <v>310</v>
      </c>
      <c r="DG34" s="27">
        <v>324</v>
      </c>
      <c r="DH34" s="27">
        <v>519</v>
      </c>
      <c r="DI34" s="27">
        <v>416</v>
      </c>
      <c r="DJ34" s="27">
        <v>0</v>
      </c>
      <c r="DK34" s="27">
        <v>590</v>
      </c>
      <c r="DL34" s="27">
        <v>1103</v>
      </c>
      <c r="DM34" s="27">
        <v>193</v>
      </c>
      <c r="DN34" s="27">
        <v>331</v>
      </c>
      <c r="DO34" s="27">
        <v>385</v>
      </c>
      <c r="DP34" s="27">
        <v>322</v>
      </c>
      <c r="DQ34" s="27">
        <v>6</v>
      </c>
      <c r="DR34" s="27">
        <v>256</v>
      </c>
      <c r="DS34" s="27">
        <v>308</v>
      </c>
      <c r="DT34" s="27">
        <v>285</v>
      </c>
      <c r="DU34" s="26">
        <v>548</v>
      </c>
      <c r="DV34" s="27">
        <v>321</v>
      </c>
      <c r="DW34" s="27">
        <v>539</v>
      </c>
      <c r="DX34" s="27">
        <v>0</v>
      </c>
      <c r="DY34" s="27">
        <v>459</v>
      </c>
      <c r="DZ34" s="27">
        <v>251</v>
      </c>
      <c r="EA34" s="27">
        <v>368</v>
      </c>
      <c r="EB34" s="27">
        <v>355</v>
      </c>
      <c r="EC34" s="27">
        <v>365</v>
      </c>
      <c r="ED34" s="27">
        <v>345</v>
      </c>
      <c r="EE34" s="27">
        <v>0</v>
      </c>
      <c r="EF34" s="27">
        <v>437</v>
      </c>
      <c r="EG34" s="27">
        <v>248</v>
      </c>
      <c r="EH34" s="27">
        <v>152</v>
      </c>
      <c r="EI34" s="27">
        <v>334</v>
      </c>
      <c r="EJ34" s="27">
        <v>428</v>
      </c>
      <c r="EK34" s="27">
        <v>475</v>
      </c>
      <c r="EL34" s="27">
        <v>0</v>
      </c>
      <c r="EM34" s="27">
        <v>348</v>
      </c>
      <c r="EN34" s="27">
        <v>380</v>
      </c>
      <c r="EO34" s="27">
        <v>317</v>
      </c>
      <c r="EP34" s="27">
        <v>275</v>
      </c>
      <c r="EQ34" s="27">
        <v>430</v>
      </c>
      <c r="ER34" s="27"/>
      <c r="ES34" s="27"/>
      <c r="ET34" s="27"/>
      <c r="EU34" s="27"/>
    </row>
    <row r="35" spans="1:151" x14ac:dyDescent="0.3">
      <c r="A35" s="130">
        <v>333168</v>
      </c>
      <c r="B35" s="21" t="s">
        <v>827</v>
      </c>
      <c r="C35" s="249">
        <f>IFERROR(VLOOKUP(A35,완제품!B:AX,49,FALSE),0)</f>
        <v>0</v>
      </c>
      <c r="D35" s="27">
        <f t="shared" si="91"/>
        <v>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8"/>
      <c r="AJ35" s="26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6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0</v>
      </c>
      <c r="BV35" s="27">
        <v>0</v>
      </c>
      <c r="BW35" s="27">
        <v>0</v>
      </c>
      <c r="BX35" s="27">
        <v>0</v>
      </c>
      <c r="BY35" s="27">
        <v>0</v>
      </c>
      <c r="BZ35" s="27">
        <v>0</v>
      </c>
      <c r="CA35" s="27">
        <v>0</v>
      </c>
      <c r="CB35" s="27">
        <v>0</v>
      </c>
      <c r="CC35" s="27">
        <v>0</v>
      </c>
      <c r="CD35" s="27">
        <v>0</v>
      </c>
      <c r="CE35" s="27">
        <v>0</v>
      </c>
      <c r="CF35" s="27">
        <v>0</v>
      </c>
      <c r="CG35" s="27">
        <v>0</v>
      </c>
      <c r="CH35" s="27">
        <v>0</v>
      </c>
      <c r="CI35" s="27">
        <v>0</v>
      </c>
      <c r="CJ35" s="27">
        <v>0</v>
      </c>
      <c r="CK35" s="27">
        <v>0</v>
      </c>
      <c r="CL35" s="27">
        <v>0</v>
      </c>
      <c r="CM35" s="27">
        <v>0</v>
      </c>
      <c r="CN35" s="27">
        <v>0</v>
      </c>
      <c r="CO35" s="27">
        <v>0</v>
      </c>
      <c r="CP35" s="28">
        <v>0</v>
      </c>
      <c r="CQ35" s="27">
        <v>0</v>
      </c>
      <c r="CR35" s="27">
        <v>0</v>
      </c>
      <c r="CS35" s="27">
        <v>0</v>
      </c>
      <c r="CT35" s="27">
        <v>0</v>
      </c>
      <c r="CU35" s="27">
        <v>0</v>
      </c>
      <c r="CV35" s="27">
        <v>0</v>
      </c>
      <c r="CW35" s="27">
        <v>0</v>
      </c>
      <c r="CX35" s="27">
        <v>0</v>
      </c>
      <c r="CY35" s="27">
        <v>0</v>
      </c>
      <c r="CZ35" s="27">
        <v>0</v>
      </c>
      <c r="DA35" s="27">
        <v>0</v>
      </c>
      <c r="DB35" s="27">
        <v>0</v>
      </c>
      <c r="DC35" s="27">
        <v>0</v>
      </c>
      <c r="DD35" s="27">
        <v>0</v>
      </c>
      <c r="DE35" s="27">
        <v>0</v>
      </c>
      <c r="DF35" s="27">
        <v>0</v>
      </c>
      <c r="DG35" s="27">
        <v>0</v>
      </c>
      <c r="DH35" s="27">
        <v>0</v>
      </c>
      <c r="DI35" s="27">
        <v>0</v>
      </c>
      <c r="DJ35" s="27">
        <v>0</v>
      </c>
      <c r="DK35" s="27">
        <v>0</v>
      </c>
      <c r="DL35" s="27">
        <v>0</v>
      </c>
      <c r="DM35" s="27">
        <v>0</v>
      </c>
      <c r="DN35" s="27">
        <v>0</v>
      </c>
      <c r="DO35" s="27">
        <v>0</v>
      </c>
      <c r="DP35" s="27">
        <v>0</v>
      </c>
      <c r="DQ35" s="27">
        <v>0</v>
      </c>
      <c r="DR35" s="27">
        <v>0</v>
      </c>
      <c r="DS35" s="27">
        <v>0</v>
      </c>
      <c r="DT35" s="27">
        <v>0</v>
      </c>
      <c r="DU35" s="26">
        <v>0</v>
      </c>
      <c r="DV35" s="27">
        <v>0</v>
      </c>
      <c r="DW35" s="27">
        <v>0</v>
      </c>
      <c r="DX35" s="27">
        <v>0</v>
      </c>
      <c r="DY35" s="27">
        <v>0</v>
      </c>
      <c r="DZ35" s="27">
        <v>0</v>
      </c>
      <c r="EA35" s="27">
        <v>0</v>
      </c>
      <c r="EB35" s="27">
        <v>0</v>
      </c>
      <c r="EC35" s="27">
        <v>0</v>
      </c>
      <c r="ED35" s="27">
        <v>0</v>
      </c>
      <c r="EE35" s="27">
        <v>0</v>
      </c>
      <c r="EF35" s="27">
        <v>0</v>
      </c>
      <c r="EG35" s="27">
        <v>0</v>
      </c>
      <c r="EH35" s="27">
        <v>0</v>
      </c>
      <c r="EI35" s="27">
        <v>0</v>
      </c>
      <c r="EJ35" s="27">
        <v>0</v>
      </c>
      <c r="EK35" s="27">
        <v>0</v>
      </c>
      <c r="EL35" s="27">
        <v>0</v>
      </c>
      <c r="EM35" s="27">
        <v>0</v>
      </c>
      <c r="EN35" s="27">
        <v>0</v>
      </c>
      <c r="EO35" s="27">
        <v>0</v>
      </c>
      <c r="EP35" s="27">
        <v>0</v>
      </c>
      <c r="EQ35" s="27">
        <v>0</v>
      </c>
      <c r="ER35" s="27"/>
      <c r="ES35" s="27"/>
      <c r="ET35" s="27"/>
      <c r="EU35" s="27"/>
    </row>
    <row r="36" spans="1:151" x14ac:dyDescent="0.3">
      <c r="A36" s="130">
        <v>333194</v>
      </c>
      <c r="B36" s="21" t="s">
        <v>827</v>
      </c>
      <c r="C36" s="249">
        <f>IFERROR(VLOOKUP(A36,완제품!B:AX,49,FALSE),0)</f>
        <v>0</v>
      </c>
      <c r="D36" s="27">
        <f t="shared" si="91"/>
        <v>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8"/>
      <c r="AJ36" s="26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6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  <c r="CH36" s="27">
        <v>0</v>
      </c>
      <c r="CI36" s="27">
        <v>0</v>
      </c>
      <c r="CJ36" s="27">
        <v>0</v>
      </c>
      <c r="CK36" s="27">
        <v>0</v>
      </c>
      <c r="CL36" s="27">
        <v>0</v>
      </c>
      <c r="CM36" s="27">
        <v>0</v>
      </c>
      <c r="CN36" s="27">
        <v>0</v>
      </c>
      <c r="CO36" s="27">
        <v>0</v>
      </c>
      <c r="CP36" s="28">
        <v>0</v>
      </c>
      <c r="CQ36" s="27">
        <v>0</v>
      </c>
      <c r="CR36" s="27">
        <v>0</v>
      </c>
      <c r="CS36" s="27">
        <v>0</v>
      </c>
      <c r="CT36" s="27">
        <v>0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7">
        <v>0</v>
      </c>
      <c r="DD36" s="27">
        <v>0</v>
      </c>
      <c r="DE36" s="27">
        <v>0</v>
      </c>
      <c r="DF36" s="27">
        <v>0</v>
      </c>
      <c r="DG36" s="27">
        <v>0</v>
      </c>
      <c r="DH36" s="27">
        <v>0</v>
      </c>
      <c r="DI36" s="27">
        <v>0</v>
      </c>
      <c r="DJ36" s="27">
        <v>0</v>
      </c>
      <c r="DK36" s="27">
        <v>0</v>
      </c>
      <c r="DL36" s="27">
        <v>0</v>
      </c>
      <c r="DM36" s="27">
        <v>0</v>
      </c>
      <c r="DN36" s="27">
        <v>0</v>
      </c>
      <c r="DO36" s="27">
        <v>0</v>
      </c>
      <c r="DP36" s="27">
        <v>0</v>
      </c>
      <c r="DQ36" s="27">
        <v>0</v>
      </c>
      <c r="DR36" s="27">
        <v>0</v>
      </c>
      <c r="DS36" s="27">
        <v>0</v>
      </c>
      <c r="DT36" s="27">
        <v>0</v>
      </c>
      <c r="DU36" s="26">
        <v>0</v>
      </c>
      <c r="DV36" s="27">
        <v>0</v>
      </c>
      <c r="DW36" s="27">
        <v>0</v>
      </c>
      <c r="DX36" s="27">
        <v>0</v>
      </c>
      <c r="DY36" s="27">
        <v>0</v>
      </c>
      <c r="DZ36" s="27">
        <v>0</v>
      </c>
      <c r="EA36" s="27">
        <v>0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0</v>
      </c>
      <c r="EI36" s="27">
        <v>0</v>
      </c>
      <c r="EJ36" s="27">
        <v>0</v>
      </c>
      <c r="EK36" s="27">
        <v>0</v>
      </c>
      <c r="EL36" s="27">
        <v>0</v>
      </c>
      <c r="EM36" s="27">
        <v>0</v>
      </c>
      <c r="EN36" s="27">
        <v>0</v>
      </c>
      <c r="EO36" s="27">
        <v>0</v>
      </c>
      <c r="EP36" s="27">
        <v>0</v>
      </c>
      <c r="EQ36" s="27">
        <v>0</v>
      </c>
      <c r="ER36" s="27"/>
      <c r="ES36" s="27"/>
      <c r="ET36" s="27"/>
      <c r="EU36" s="27"/>
    </row>
    <row r="37" spans="1:151" x14ac:dyDescent="0.3">
      <c r="A37" s="130">
        <v>333078</v>
      </c>
      <c r="B37" s="21" t="s">
        <v>828</v>
      </c>
      <c r="C37" s="249">
        <f>IFERROR(VLOOKUP(A37,완제품!B:AX,49,FALSE),0)</f>
        <v>0</v>
      </c>
      <c r="D37" s="27">
        <f t="shared" si="91"/>
        <v>10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8"/>
      <c r="AJ37" s="26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3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1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6">
        <v>0</v>
      </c>
      <c r="BM37" s="27">
        <v>0</v>
      </c>
      <c r="BN37" s="27">
        <v>0</v>
      </c>
      <c r="BO37" s="27">
        <v>1</v>
      </c>
      <c r="BP37" s="27">
        <v>0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</v>
      </c>
      <c r="BW37" s="27">
        <v>1</v>
      </c>
      <c r="BX37" s="27">
        <v>0</v>
      </c>
      <c r="BY37" s="27">
        <v>0</v>
      </c>
      <c r="BZ37" s="27">
        <v>0</v>
      </c>
      <c r="CA37" s="27">
        <v>0</v>
      </c>
      <c r="CB37" s="27">
        <v>0</v>
      </c>
      <c r="CC37" s="27">
        <v>0</v>
      </c>
      <c r="CD37" s="27">
        <v>2</v>
      </c>
      <c r="CE37" s="27">
        <v>0</v>
      </c>
      <c r="CF37" s="27">
        <v>0</v>
      </c>
      <c r="CG37" s="27">
        <v>0</v>
      </c>
      <c r="CH37" s="27">
        <v>1</v>
      </c>
      <c r="CI37" s="27">
        <v>0</v>
      </c>
      <c r="CJ37" s="27">
        <v>0</v>
      </c>
      <c r="CK37" s="27">
        <v>0</v>
      </c>
      <c r="CL37" s="27">
        <v>0</v>
      </c>
      <c r="CM37" s="27">
        <v>0</v>
      </c>
      <c r="CN37" s="27">
        <v>0</v>
      </c>
      <c r="CO37" s="27">
        <v>0</v>
      </c>
      <c r="CP37" s="28">
        <v>0</v>
      </c>
      <c r="CQ37" s="27">
        <v>0</v>
      </c>
      <c r="CR37" s="27">
        <v>0</v>
      </c>
      <c r="CS37" s="27">
        <v>2</v>
      </c>
      <c r="CT37" s="27">
        <v>0</v>
      </c>
      <c r="CU37" s="27">
        <v>0</v>
      </c>
      <c r="CV37" s="27">
        <v>3</v>
      </c>
      <c r="CW37" s="27">
        <v>0</v>
      </c>
      <c r="CX37" s="27">
        <v>1</v>
      </c>
      <c r="CY37" s="27">
        <v>1</v>
      </c>
      <c r="CZ37" s="27">
        <v>4</v>
      </c>
      <c r="DA37" s="27">
        <v>0</v>
      </c>
      <c r="DB37" s="27">
        <v>0</v>
      </c>
      <c r="DC37" s="27">
        <v>0</v>
      </c>
      <c r="DD37" s="27">
        <v>0</v>
      </c>
      <c r="DE37" s="27">
        <v>0</v>
      </c>
      <c r="DF37" s="27">
        <v>0</v>
      </c>
      <c r="DG37" s="27">
        <v>1</v>
      </c>
      <c r="DH37" s="27">
        <v>0</v>
      </c>
      <c r="DI37" s="27">
        <v>0</v>
      </c>
      <c r="DJ37" s="27">
        <v>0</v>
      </c>
      <c r="DK37" s="27">
        <v>0</v>
      </c>
      <c r="DL37" s="27">
        <v>0</v>
      </c>
      <c r="DM37" s="27">
        <v>1</v>
      </c>
      <c r="DN37" s="27">
        <v>0</v>
      </c>
      <c r="DO37" s="27">
        <v>0</v>
      </c>
      <c r="DP37" s="27">
        <v>0</v>
      </c>
      <c r="DQ37" s="27">
        <v>1</v>
      </c>
      <c r="DR37" s="27">
        <v>0</v>
      </c>
      <c r="DS37" s="27">
        <v>1</v>
      </c>
      <c r="DT37" s="27">
        <v>0</v>
      </c>
      <c r="DU37" s="26">
        <v>0</v>
      </c>
      <c r="DV37" s="27">
        <v>0</v>
      </c>
      <c r="DW37" s="27">
        <v>0</v>
      </c>
      <c r="DX37" s="27">
        <v>0</v>
      </c>
      <c r="DY37" s="27">
        <v>0</v>
      </c>
      <c r="DZ37" s="27">
        <v>2</v>
      </c>
      <c r="EA37" s="27">
        <v>4</v>
      </c>
      <c r="EB37" s="27">
        <v>0</v>
      </c>
      <c r="EC37" s="27">
        <v>0</v>
      </c>
      <c r="ED37" s="27">
        <v>0</v>
      </c>
      <c r="EE37" s="27">
        <v>0</v>
      </c>
      <c r="EF37" s="27">
        <v>0</v>
      </c>
      <c r="EG37" s="27">
        <v>1</v>
      </c>
      <c r="EH37" s="27">
        <v>0</v>
      </c>
      <c r="EI37" s="27">
        <v>0</v>
      </c>
      <c r="EJ37" s="27">
        <v>1</v>
      </c>
      <c r="EK37" s="27">
        <v>0</v>
      </c>
      <c r="EL37" s="27">
        <v>1</v>
      </c>
      <c r="EM37" s="27">
        <v>0</v>
      </c>
      <c r="EN37" s="27">
        <v>1</v>
      </c>
      <c r="EO37" s="27">
        <v>0</v>
      </c>
      <c r="EP37" s="27">
        <v>0</v>
      </c>
      <c r="EQ37" s="27">
        <v>0</v>
      </c>
      <c r="ER37" s="27"/>
      <c r="ES37" s="27"/>
      <c r="ET37" s="27"/>
      <c r="EU37" s="27"/>
    </row>
    <row r="38" spans="1:151" x14ac:dyDescent="0.3">
      <c r="A38" s="130">
        <v>334127</v>
      </c>
      <c r="B38" s="21" t="s">
        <v>829</v>
      </c>
      <c r="C38" s="249">
        <f>IFERROR(VLOOKUP(A38,완제품!B:AX,49,FALSE),0)</f>
        <v>0</v>
      </c>
      <c r="D38" s="27">
        <f t="shared" si="91"/>
        <v>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8"/>
      <c r="AJ38" s="26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6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0</v>
      </c>
      <c r="CF38" s="27">
        <v>0</v>
      </c>
      <c r="CG38" s="27">
        <v>0</v>
      </c>
      <c r="CH38" s="27">
        <v>0</v>
      </c>
      <c r="CI38" s="27">
        <v>0</v>
      </c>
      <c r="CJ38" s="27">
        <v>0</v>
      </c>
      <c r="CK38" s="27">
        <v>0</v>
      </c>
      <c r="CL38" s="27">
        <v>0</v>
      </c>
      <c r="CM38" s="27">
        <v>0</v>
      </c>
      <c r="CN38" s="27">
        <v>0</v>
      </c>
      <c r="CO38" s="27">
        <v>0</v>
      </c>
      <c r="CP38" s="28">
        <v>0</v>
      </c>
      <c r="CQ38" s="27">
        <v>0</v>
      </c>
      <c r="CR38" s="27">
        <v>0</v>
      </c>
      <c r="CS38" s="27">
        <v>0</v>
      </c>
      <c r="CT38" s="27">
        <v>0</v>
      </c>
      <c r="CU38" s="27">
        <v>0</v>
      </c>
      <c r="CV38" s="27">
        <v>0</v>
      </c>
      <c r="CW38" s="27">
        <v>0</v>
      </c>
      <c r="CX38" s="27">
        <v>0</v>
      </c>
      <c r="CY38" s="27">
        <v>0</v>
      </c>
      <c r="CZ38" s="27">
        <v>0</v>
      </c>
      <c r="DA38" s="27">
        <v>0</v>
      </c>
      <c r="DB38" s="27">
        <v>0</v>
      </c>
      <c r="DC38" s="27">
        <v>0</v>
      </c>
      <c r="DD38" s="27">
        <v>0</v>
      </c>
      <c r="DE38" s="27">
        <v>0</v>
      </c>
      <c r="DF38" s="27">
        <v>0</v>
      </c>
      <c r="DG38" s="27">
        <v>0</v>
      </c>
      <c r="DH38" s="27">
        <v>0</v>
      </c>
      <c r="DI38" s="27">
        <v>0</v>
      </c>
      <c r="DJ38" s="27">
        <v>0</v>
      </c>
      <c r="DK38" s="27">
        <v>0</v>
      </c>
      <c r="DL38" s="27">
        <v>0</v>
      </c>
      <c r="DM38" s="27">
        <v>0</v>
      </c>
      <c r="DN38" s="27">
        <v>0</v>
      </c>
      <c r="DO38" s="27">
        <v>0</v>
      </c>
      <c r="DP38" s="27">
        <v>0</v>
      </c>
      <c r="DQ38" s="27">
        <v>0</v>
      </c>
      <c r="DR38" s="27">
        <v>0</v>
      </c>
      <c r="DS38" s="27">
        <v>0</v>
      </c>
      <c r="DT38" s="27">
        <v>0</v>
      </c>
      <c r="DU38" s="26">
        <v>0</v>
      </c>
      <c r="DV38" s="27">
        <v>0</v>
      </c>
      <c r="DW38" s="27">
        <v>0</v>
      </c>
      <c r="DX38" s="27">
        <v>0</v>
      </c>
      <c r="DY38" s="27">
        <v>0</v>
      </c>
      <c r="DZ38" s="27">
        <v>0</v>
      </c>
      <c r="EA38" s="27">
        <v>0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0</v>
      </c>
      <c r="EI38" s="27">
        <v>0</v>
      </c>
      <c r="EJ38" s="27">
        <v>0</v>
      </c>
      <c r="EK38" s="27">
        <v>0</v>
      </c>
      <c r="EL38" s="27">
        <v>0</v>
      </c>
      <c r="EM38" s="27">
        <v>0</v>
      </c>
      <c r="EN38" s="27">
        <v>0</v>
      </c>
      <c r="EO38" s="27">
        <v>0</v>
      </c>
      <c r="EP38" s="27">
        <v>0</v>
      </c>
      <c r="EQ38" s="27">
        <v>0</v>
      </c>
      <c r="ER38" s="27"/>
      <c r="ES38" s="27"/>
      <c r="ET38" s="27"/>
      <c r="EU38" s="27"/>
    </row>
    <row r="39" spans="1:151" x14ac:dyDescent="0.3">
      <c r="A39" s="130">
        <v>334128</v>
      </c>
      <c r="B39" s="21" t="s">
        <v>830</v>
      </c>
      <c r="C39" s="249">
        <f>IFERROR(VLOOKUP(A39,완제품!B:AX,49,FALSE),0)</f>
        <v>0</v>
      </c>
      <c r="D39" s="27">
        <f t="shared" si="91"/>
        <v>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8"/>
      <c r="AJ39" s="26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6">
        <v>0</v>
      </c>
      <c r="BM39" s="27">
        <v>0</v>
      </c>
      <c r="BN39" s="27">
        <v>0</v>
      </c>
      <c r="BO39" s="27">
        <v>0</v>
      </c>
      <c r="BP39" s="27">
        <v>0</v>
      </c>
      <c r="BQ39" s="27">
        <v>0</v>
      </c>
      <c r="BR39" s="27">
        <v>0</v>
      </c>
      <c r="BS39" s="27">
        <v>0</v>
      </c>
      <c r="BT39" s="27">
        <v>0</v>
      </c>
      <c r="BU39" s="27">
        <v>0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0</v>
      </c>
      <c r="CC39" s="27">
        <v>0</v>
      </c>
      <c r="CD39" s="27">
        <v>0</v>
      </c>
      <c r="CE39" s="27">
        <v>0</v>
      </c>
      <c r="CF39" s="27">
        <v>0</v>
      </c>
      <c r="CG39" s="27">
        <v>0</v>
      </c>
      <c r="CH39" s="27">
        <v>0</v>
      </c>
      <c r="CI39" s="27">
        <v>0</v>
      </c>
      <c r="CJ39" s="27">
        <v>0</v>
      </c>
      <c r="CK39" s="27">
        <v>0</v>
      </c>
      <c r="CL39" s="27">
        <v>0</v>
      </c>
      <c r="CM39" s="27">
        <v>0</v>
      </c>
      <c r="CN39" s="27">
        <v>0</v>
      </c>
      <c r="CO39" s="27">
        <v>0</v>
      </c>
      <c r="CP39" s="28">
        <v>0</v>
      </c>
      <c r="CQ39" s="27">
        <v>0</v>
      </c>
      <c r="CR39" s="27">
        <v>0</v>
      </c>
      <c r="CS39" s="27">
        <v>0</v>
      </c>
      <c r="CT39" s="27">
        <v>0</v>
      </c>
      <c r="CU39" s="27">
        <v>0</v>
      </c>
      <c r="CV39" s="27">
        <v>0</v>
      </c>
      <c r="CW39" s="27">
        <v>0</v>
      </c>
      <c r="CX39" s="27">
        <v>0</v>
      </c>
      <c r="CY39" s="27">
        <v>0</v>
      </c>
      <c r="CZ39" s="27">
        <v>0</v>
      </c>
      <c r="DA39" s="27">
        <v>0</v>
      </c>
      <c r="DB39" s="27">
        <v>0</v>
      </c>
      <c r="DC39" s="27">
        <v>0</v>
      </c>
      <c r="DD39" s="27">
        <v>0</v>
      </c>
      <c r="DE39" s="27">
        <v>0</v>
      </c>
      <c r="DF39" s="27">
        <v>0</v>
      </c>
      <c r="DG39" s="27">
        <v>0</v>
      </c>
      <c r="DH39" s="27">
        <v>0</v>
      </c>
      <c r="DI39" s="27">
        <v>0</v>
      </c>
      <c r="DJ39" s="27">
        <v>0</v>
      </c>
      <c r="DK39" s="27">
        <v>0</v>
      </c>
      <c r="DL39" s="27">
        <v>0</v>
      </c>
      <c r="DM39" s="27">
        <v>0</v>
      </c>
      <c r="DN39" s="27">
        <v>0</v>
      </c>
      <c r="DO39" s="27">
        <v>0</v>
      </c>
      <c r="DP39" s="27">
        <v>0</v>
      </c>
      <c r="DQ39" s="27">
        <v>0</v>
      </c>
      <c r="DR39" s="27">
        <v>0</v>
      </c>
      <c r="DS39" s="27">
        <v>0</v>
      </c>
      <c r="DT39" s="27">
        <v>0</v>
      </c>
      <c r="DU39" s="26">
        <v>0</v>
      </c>
      <c r="DV39" s="27">
        <v>0</v>
      </c>
      <c r="DW39" s="27">
        <v>0</v>
      </c>
      <c r="DX39" s="27">
        <v>0</v>
      </c>
      <c r="DY39" s="27">
        <v>0</v>
      </c>
      <c r="DZ39" s="27">
        <v>0</v>
      </c>
      <c r="EA39" s="27">
        <v>0</v>
      </c>
      <c r="EB39" s="27">
        <v>0</v>
      </c>
      <c r="EC39" s="27">
        <v>0</v>
      </c>
      <c r="ED39" s="27">
        <v>0</v>
      </c>
      <c r="EE39" s="27">
        <v>0</v>
      </c>
      <c r="EF39" s="27">
        <v>0</v>
      </c>
      <c r="EG39" s="27">
        <v>0</v>
      </c>
      <c r="EH39" s="27">
        <v>0</v>
      </c>
      <c r="EI39" s="27">
        <v>0</v>
      </c>
      <c r="EJ39" s="27">
        <v>0</v>
      </c>
      <c r="EK39" s="27">
        <v>0</v>
      </c>
      <c r="EL39" s="27">
        <v>0</v>
      </c>
      <c r="EM39" s="27">
        <v>0</v>
      </c>
      <c r="EN39" s="27">
        <v>0</v>
      </c>
      <c r="EO39" s="27">
        <v>0</v>
      </c>
      <c r="EP39" s="27">
        <v>0</v>
      </c>
      <c r="EQ39" s="27">
        <v>0</v>
      </c>
      <c r="ER39" s="27"/>
      <c r="ES39" s="27"/>
      <c r="ET39" s="27"/>
      <c r="EU39" s="27"/>
    </row>
    <row r="40" spans="1:151" x14ac:dyDescent="0.3">
      <c r="A40" s="130">
        <v>338002</v>
      </c>
      <c r="B40" s="21" t="s">
        <v>831</v>
      </c>
      <c r="C40" s="249">
        <f>IFERROR(VLOOKUP(A40,완제품!B:AX,49,FALSE),0)</f>
        <v>0</v>
      </c>
      <c r="D40" s="27">
        <f t="shared" si="91"/>
        <v>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8"/>
      <c r="AJ40" s="26">
        <v>0</v>
      </c>
      <c r="AK40" s="27">
        <v>2</v>
      </c>
      <c r="AL40" s="27">
        <v>0</v>
      </c>
      <c r="AM40" s="27">
        <v>0</v>
      </c>
      <c r="AN40" s="27">
        <v>0</v>
      </c>
      <c r="AO40" s="27">
        <v>3</v>
      </c>
      <c r="AP40" s="27">
        <v>2</v>
      </c>
      <c r="AQ40" s="27">
        <v>0</v>
      </c>
      <c r="AR40" s="27">
        <v>1</v>
      </c>
      <c r="AS40" s="27">
        <v>3</v>
      </c>
      <c r="AT40" s="27">
        <v>0</v>
      </c>
      <c r="AU40" s="27">
        <v>1</v>
      </c>
      <c r="AV40" s="27">
        <v>0</v>
      </c>
      <c r="AW40" s="27">
        <v>0</v>
      </c>
      <c r="AX40" s="27">
        <v>0</v>
      </c>
      <c r="AY40" s="27">
        <v>1</v>
      </c>
      <c r="AZ40" s="27">
        <v>1</v>
      </c>
      <c r="BA40" s="27">
        <v>1</v>
      </c>
      <c r="BB40" s="27">
        <v>0</v>
      </c>
      <c r="BC40" s="27">
        <v>0</v>
      </c>
      <c r="BD40" s="27">
        <v>0</v>
      </c>
      <c r="BE40" s="27">
        <v>0</v>
      </c>
      <c r="BF40" s="27">
        <v>1</v>
      </c>
      <c r="BG40" s="27">
        <v>1</v>
      </c>
      <c r="BH40" s="27">
        <v>0</v>
      </c>
      <c r="BI40" s="27">
        <v>0</v>
      </c>
      <c r="BJ40" s="27">
        <v>0</v>
      </c>
      <c r="BK40" s="27">
        <v>0</v>
      </c>
      <c r="BL40" s="26">
        <v>0</v>
      </c>
      <c r="BM40" s="27">
        <v>0</v>
      </c>
      <c r="BN40" s="27">
        <v>0</v>
      </c>
      <c r="BO40" s="27">
        <v>0</v>
      </c>
      <c r="BP40" s="27">
        <v>3</v>
      </c>
      <c r="BQ40" s="27">
        <v>1</v>
      </c>
      <c r="BR40" s="27">
        <v>4</v>
      </c>
      <c r="BS40" s="27">
        <v>0</v>
      </c>
      <c r="BT40" s="27">
        <v>0</v>
      </c>
      <c r="BU40" s="27">
        <v>0</v>
      </c>
      <c r="BV40" s="27">
        <v>5</v>
      </c>
      <c r="BW40" s="27">
        <v>10</v>
      </c>
      <c r="BX40" s="27">
        <v>7</v>
      </c>
      <c r="BY40" s="27">
        <v>28</v>
      </c>
      <c r="BZ40" s="27">
        <v>0</v>
      </c>
      <c r="CA40" s="27">
        <v>15</v>
      </c>
      <c r="CB40" s="27">
        <v>0</v>
      </c>
      <c r="CC40" s="27">
        <v>1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  <c r="CM40" s="27">
        <v>0</v>
      </c>
      <c r="CN40" s="27">
        <v>0</v>
      </c>
      <c r="CO40" s="27">
        <v>0</v>
      </c>
      <c r="CP40" s="28">
        <v>0</v>
      </c>
      <c r="CQ40" s="27">
        <v>0</v>
      </c>
      <c r="CR40" s="27">
        <v>0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0</v>
      </c>
      <c r="DE40" s="27">
        <v>0</v>
      </c>
      <c r="DF40" s="27">
        <v>0</v>
      </c>
      <c r="DG40" s="27">
        <v>0</v>
      </c>
      <c r="DH40" s="27">
        <v>0</v>
      </c>
      <c r="DI40" s="27">
        <v>0</v>
      </c>
      <c r="DJ40" s="27">
        <v>0</v>
      </c>
      <c r="DK40" s="27">
        <v>0</v>
      </c>
      <c r="DL40" s="27">
        <v>0</v>
      </c>
      <c r="DM40" s="27">
        <v>0</v>
      </c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  <c r="DU40" s="26">
        <v>0</v>
      </c>
      <c r="DV40" s="27">
        <v>0</v>
      </c>
      <c r="DW40" s="27">
        <v>0</v>
      </c>
      <c r="DX40" s="27">
        <v>0</v>
      </c>
      <c r="DY40" s="27">
        <v>0</v>
      </c>
      <c r="DZ40" s="27">
        <v>0</v>
      </c>
      <c r="EA40" s="27">
        <v>0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0</v>
      </c>
      <c r="EI40" s="27">
        <v>0</v>
      </c>
      <c r="EJ40" s="27">
        <v>0</v>
      </c>
      <c r="EK40" s="27">
        <v>0</v>
      </c>
      <c r="EL40" s="27">
        <v>0</v>
      </c>
      <c r="EM40" s="27">
        <v>0</v>
      </c>
      <c r="EN40" s="27">
        <v>0</v>
      </c>
      <c r="EO40" s="27">
        <v>0</v>
      </c>
      <c r="EP40" s="27">
        <v>0</v>
      </c>
      <c r="EQ40" s="27">
        <v>0</v>
      </c>
      <c r="ER40" s="27"/>
      <c r="ES40" s="27"/>
      <c r="ET40" s="27"/>
      <c r="EU40" s="27"/>
    </row>
    <row r="41" spans="1:151" x14ac:dyDescent="0.3">
      <c r="A41" s="130">
        <v>336755</v>
      </c>
      <c r="B41" s="21" t="s">
        <v>22</v>
      </c>
      <c r="C41" s="249">
        <f>IFERROR(VLOOKUP(A41,완제품!B:AX,49,FALSE),0)</f>
        <v>1224</v>
      </c>
      <c r="D41" s="27">
        <f t="shared" si="91"/>
        <v>315.87096774193549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8">
        <v>0</v>
      </c>
      <c r="AJ41" s="26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6">
        <v>0</v>
      </c>
      <c r="BM41" s="27">
        <v>0</v>
      </c>
      <c r="BN41" s="27">
        <v>0</v>
      </c>
      <c r="BO41" s="27">
        <v>0</v>
      </c>
      <c r="BP41" s="27">
        <v>0</v>
      </c>
      <c r="BQ41" s="27">
        <v>0</v>
      </c>
      <c r="BR41" s="27">
        <v>0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0</v>
      </c>
      <c r="BY41" s="27">
        <v>0</v>
      </c>
      <c r="BZ41" s="27">
        <v>0</v>
      </c>
      <c r="CA41" s="27">
        <v>0</v>
      </c>
      <c r="CB41" s="27">
        <v>0</v>
      </c>
      <c r="CC41" s="27">
        <v>0</v>
      </c>
      <c r="CD41" s="27">
        <v>0</v>
      </c>
      <c r="CE41" s="27">
        <v>0</v>
      </c>
      <c r="CF41" s="27">
        <v>0</v>
      </c>
      <c r="CG41" s="27">
        <v>0</v>
      </c>
      <c r="CH41" s="27">
        <v>0</v>
      </c>
      <c r="CI41" s="27">
        <v>0</v>
      </c>
      <c r="CJ41" s="27">
        <v>0</v>
      </c>
      <c r="CK41" s="27">
        <v>0</v>
      </c>
      <c r="CL41" s="27">
        <v>0</v>
      </c>
      <c r="CM41" s="27">
        <v>0</v>
      </c>
      <c r="CN41" s="27">
        <v>0</v>
      </c>
      <c r="CO41" s="27">
        <v>0</v>
      </c>
      <c r="CP41" s="28">
        <v>0</v>
      </c>
      <c r="CQ41" s="27">
        <v>0</v>
      </c>
      <c r="CR41" s="27">
        <v>0</v>
      </c>
      <c r="CS41" s="27">
        <v>0</v>
      </c>
      <c r="CT41" s="27">
        <v>0</v>
      </c>
      <c r="CU41" s="27">
        <v>0</v>
      </c>
      <c r="CV41" s="27">
        <v>0</v>
      </c>
      <c r="CW41" s="27">
        <v>0</v>
      </c>
      <c r="CX41" s="27">
        <v>0</v>
      </c>
      <c r="CY41" s="27">
        <v>0</v>
      </c>
      <c r="CZ41" s="27">
        <v>0</v>
      </c>
      <c r="DA41" s="27">
        <v>0</v>
      </c>
      <c r="DB41" s="27">
        <v>0</v>
      </c>
      <c r="DC41" s="27">
        <v>0</v>
      </c>
      <c r="DD41" s="27">
        <v>0</v>
      </c>
      <c r="DE41" s="27">
        <v>0</v>
      </c>
      <c r="DF41" s="27">
        <v>0</v>
      </c>
      <c r="DG41" s="27">
        <v>0</v>
      </c>
      <c r="DH41" s="27">
        <v>0</v>
      </c>
      <c r="DI41" s="27">
        <v>0</v>
      </c>
      <c r="DJ41" s="27">
        <v>0</v>
      </c>
      <c r="DK41" s="27">
        <v>0</v>
      </c>
      <c r="DL41" s="27">
        <v>0</v>
      </c>
      <c r="DM41" s="27">
        <v>0</v>
      </c>
      <c r="DN41" s="27">
        <v>0</v>
      </c>
      <c r="DO41" s="27">
        <v>0</v>
      </c>
      <c r="DP41" s="27">
        <v>0</v>
      </c>
      <c r="DQ41" s="27">
        <v>0</v>
      </c>
      <c r="DR41" s="27">
        <v>0</v>
      </c>
      <c r="DS41" s="27">
        <v>0</v>
      </c>
      <c r="DT41" s="27">
        <v>0</v>
      </c>
      <c r="DU41" s="26">
        <v>0</v>
      </c>
      <c r="DV41" s="27">
        <v>0</v>
      </c>
      <c r="DW41" s="27">
        <v>0</v>
      </c>
      <c r="DX41" s="27">
        <v>0</v>
      </c>
      <c r="DY41" s="27">
        <v>0</v>
      </c>
      <c r="DZ41" s="27">
        <v>0</v>
      </c>
      <c r="EA41" s="27">
        <v>0</v>
      </c>
      <c r="EB41" s="27">
        <v>0</v>
      </c>
      <c r="EC41" s="27">
        <v>0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27">
        <v>0</v>
      </c>
      <c r="EK41" s="27">
        <v>0</v>
      </c>
      <c r="EL41" s="27">
        <v>0</v>
      </c>
      <c r="EM41" s="27">
        <v>0</v>
      </c>
      <c r="EN41" s="27">
        <v>0</v>
      </c>
      <c r="EO41" s="27">
        <v>0</v>
      </c>
      <c r="EP41" s="27">
        <v>0</v>
      </c>
      <c r="EQ41" s="27">
        <v>0</v>
      </c>
      <c r="ER41" s="27"/>
      <c r="ES41" s="27"/>
      <c r="ET41" s="27"/>
      <c r="EU41" s="27"/>
    </row>
    <row r="42" spans="1:151" x14ac:dyDescent="0.3">
      <c r="A42" s="130">
        <v>332805</v>
      </c>
      <c r="B42" s="21" t="s">
        <v>23</v>
      </c>
      <c r="C42" s="249">
        <f>IFERROR(VLOOKUP(A42,완제품!B:AX,49,FALSE),0)</f>
        <v>19632</v>
      </c>
      <c r="D42" s="27">
        <f>IFERROR(SUM(DU42:EY42)/$D$2*$D$1,0)*24*$D$3+C42*$D$4</f>
        <v>14714.322580645161</v>
      </c>
      <c r="E42" s="27">
        <v>3</v>
      </c>
      <c r="F42" s="27">
        <v>11</v>
      </c>
      <c r="G42" s="27">
        <v>21</v>
      </c>
      <c r="H42" s="27">
        <v>27</v>
      </c>
      <c r="I42" s="27">
        <v>11</v>
      </c>
      <c r="J42" s="27">
        <v>180</v>
      </c>
      <c r="K42" s="27">
        <v>16</v>
      </c>
      <c r="L42" s="27">
        <v>5</v>
      </c>
      <c r="M42" s="27">
        <v>5</v>
      </c>
      <c r="N42" s="27">
        <v>31</v>
      </c>
      <c r="O42" s="27">
        <v>30</v>
      </c>
      <c r="P42" s="27">
        <v>9</v>
      </c>
      <c r="Q42" s="27">
        <v>24</v>
      </c>
      <c r="R42" s="27">
        <v>33</v>
      </c>
      <c r="S42" s="27">
        <v>10</v>
      </c>
      <c r="T42" s="27">
        <v>85</v>
      </c>
      <c r="U42" s="27">
        <v>35</v>
      </c>
      <c r="V42" s="27">
        <v>18</v>
      </c>
      <c r="W42" s="27">
        <v>9</v>
      </c>
      <c r="X42" s="27">
        <v>143</v>
      </c>
      <c r="Y42" s="27">
        <v>16</v>
      </c>
      <c r="Z42" s="27">
        <v>17</v>
      </c>
      <c r="AA42" s="27">
        <v>7</v>
      </c>
      <c r="AB42" s="27">
        <v>24</v>
      </c>
      <c r="AC42" s="27">
        <v>10</v>
      </c>
      <c r="AD42" s="27">
        <v>0</v>
      </c>
      <c r="AE42" s="27">
        <v>112</v>
      </c>
      <c r="AF42" s="27">
        <v>3</v>
      </c>
      <c r="AG42" s="27">
        <v>0</v>
      </c>
      <c r="AH42" s="27">
        <v>5</v>
      </c>
      <c r="AI42" s="28">
        <v>21</v>
      </c>
      <c r="AJ42" s="26">
        <v>19</v>
      </c>
      <c r="AK42" s="27">
        <v>16</v>
      </c>
      <c r="AL42" s="27">
        <v>14</v>
      </c>
      <c r="AM42" s="27">
        <v>24</v>
      </c>
      <c r="AN42" s="27">
        <v>44</v>
      </c>
      <c r="AO42" s="27">
        <v>3</v>
      </c>
      <c r="AP42" s="27">
        <v>110</v>
      </c>
      <c r="AQ42" s="27">
        <v>5</v>
      </c>
      <c r="AR42" s="27">
        <v>7</v>
      </c>
      <c r="AS42" s="27">
        <v>19</v>
      </c>
      <c r="AT42" s="27">
        <v>10</v>
      </c>
      <c r="AU42" s="27">
        <v>20</v>
      </c>
      <c r="AV42" s="27">
        <v>11</v>
      </c>
      <c r="AW42" s="27">
        <v>194</v>
      </c>
      <c r="AX42" s="27">
        <v>2</v>
      </c>
      <c r="AY42" s="27">
        <v>2</v>
      </c>
      <c r="AZ42" s="27">
        <v>7</v>
      </c>
      <c r="BA42" s="27">
        <v>5</v>
      </c>
      <c r="BB42" s="27">
        <v>9</v>
      </c>
      <c r="BC42" s="27">
        <v>5</v>
      </c>
      <c r="BD42" s="27">
        <v>18</v>
      </c>
      <c r="BE42" s="27">
        <v>4</v>
      </c>
      <c r="BF42" s="27">
        <v>8</v>
      </c>
      <c r="BG42" s="27">
        <v>4</v>
      </c>
      <c r="BH42" s="27">
        <v>3</v>
      </c>
      <c r="BI42" s="27">
        <v>15</v>
      </c>
      <c r="BJ42" s="27">
        <v>12</v>
      </c>
      <c r="BK42" s="27">
        <v>33</v>
      </c>
      <c r="BL42" s="26">
        <v>0</v>
      </c>
      <c r="BM42" s="27">
        <v>7</v>
      </c>
      <c r="BN42" s="27">
        <v>8</v>
      </c>
      <c r="BO42" s="27">
        <v>9</v>
      </c>
      <c r="BP42" s="27">
        <v>9</v>
      </c>
      <c r="BQ42" s="27">
        <v>16</v>
      </c>
      <c r="BR42" s="27">
        <v>19</v>
      </c>
      <c r="BS42" s="27">
        <v>80</v>
      </c>
      <c r="BT42" s="27">
        <v>1</v>
      </c>
      <c r="BU42" s="27">
        <v>35</v>
      </c>
      <c r="BV42" s="27">
        <v>5</v>
      </c>
      <c r="BW42" s="27">
        <v>9</v>
      </c>
      <c r="BX42" s="27">
        <v>97</v>
      </c>
      <c r="BY42" s="27">
        <v>60</v>
      </c>
      <c r="BZ42" s="27">
        <v>13</v>
      </c>
      <c r="CA42" s="27">
        <v>6</v>
      </c>
      <c r="CB42" s="27">
        <v>25</v>
      </c>
      <c r="CC42" s="27">
        <v>19</v>
      </c>
      <c r="CD42" s="27">
        <v>5</v>
      </c>
      <c r="CE42" s="27">
        <v>52</v>
      </c>
      <c r="CF42" s="27">
        <v>5</v>
      </c>
      <c r="CG42" s="27">
        <v>6</v>
      </c>
      <c r="CH42" s="27">
        <v>3</v>
      </c>
      <c r="CI42" s="27">
        <v>31</v>
      </c>
      <c r="CJ42" s="27">
        <v>20</v>
      </c>
      <c r="CK42" s="27">
        <v>7</v>
      </c>
      <c r="CL42" s="27">
        <v>50</v>
      </c>
      <c r="CM42" s="27">
        <v>10</v>
      </c>
      <c r="CN42" s="27">
        <v>1</v>
      </c>
      <c r="CO42" s="27">
        <v>3</v>
      </c>
      <c r="CP42" s="28">
        <v>35</v>
      </c>
      <c r="CQ42" s="27">
        <v>64</v>
      </c>
      <c r="CR42" s="27">
        <v>9</v>
      </c>
      <c r="CS42" s="27">
        <v>58</v>
      </c>
      <c r="CT42" s="27">
        <v>17</v>
      </c>
      <c r="CU42" s="27">
        <v>2</v>
      </c>
      <c r="CV42" s="27">
        <v>3</v>
      </c>
      <c r="CW42" s="27">
        <v>33</v>
      </c>
      <c r="CX42" s="27">
        <v>9</v>
      </c>
      <c r="CY42" s="27">
        <v>23</v>
      </c>
      <c r="CZ42" s="27">
        <v>8</v>
      </c>
      <c r="DA42" s="27">
        <v>18</v>
      </c>
      <c r="DB42" s="27">
        <v>1</v>
      </c>
      <c r="DC42" s="27">
        <v>3</v>
      </c>
      <c r="DD42" s="27">
        <v>88</v>
      </c>
      <c r="DE42" s="27">
        <v>21</v>
      </c>
      <c r="DF42" s="27">
        <v>51</v>
      </c>
      <c r="DG42" s="27">
        <v>0</v>
      </c>
      <c r="DH42" s="27">
        <v>10</v>
      </c>
      <c r="DI42" s="27">
        <v>118</v>
      </c>
      <c r="DJ42" s="27">
        <v>2</v>
      </c>
      <c r="DK42" s="27">
        <v>96</v>
      </c>
      <c r="DL42" s="27">
        <v>1</v>
      </c>
      <c r="DM42" s="27">
        <v>18</v>
      </c>
      <c r="DN42" s="27">
        <v>4</v>
      </c>
      <c r="DO42" s="27">
        <v>24</v>
      </c>
      <c r="DP42" s="27">
        <v>6</v>
      </c>
      <c r="DQ42" s="27">
        <v>18</v>
      </c>
      <c r="DR42" s="27">
        <v>34</v>
      </c>
      <c r="DS42" s="27">
        <v>67</v>
      </c>
      <c r="DT42" s="27">
        <v>12</v>
      </c>
      <c r="DU42" s="26">
        <v>22</v>
      </c>
      <c r="DV42" s="27">
        <v>5</v>
      </c>
      <c r="DW42" s="27">
        <v>3</v>
      </c>
      <c r="DX42" s="27">
        <v>0</v>
      </c>
      <c r="DY42" s="27">
        <v>4</v>
      </c>
      <c r="DZ42" s="27">
        <v>7</v>
      </c>
      <c r="EA42" s="27">
        <v>108</v>
      </c>
      <c r="EB42" s="27">
        <v>4</v>
      </c>
      <c r="EC42" s="27">
        <v>62</v>
      </c>
      <c r="ED42" s="27">
        <v>0</v>
      </c>
      <c r="EE42" s="27">
        <v>5</v>
      </c>
      <c r="EF42" s="27">
        <v>12</v>
      </c>
      <c r="EG42" s="27">
        <v>25</v>
      </c>
      <c r="EH42" s="27">
        <v>67</v>
      </c>
      <c r="EI42" s="27">
        <v>5</v>
      </c>
      <c r="EJ42" s="27">
        <v>2</v>
      </c>
      <c r="EK42" s="27">
        <v>5</v>
      </c>
      <c r="EL42" s="27">
        <v>2</v>
      </c>
      <c r="EM42" s="27">
        <v>5</v>
      </c>
      <c r="EN42" s="27">
        <v>18</v>
      </c>
      <c r="EO42" s="27">
        <v>27</v>
      </c>
      <c r="EP42" s="27">
        <v>2</v>
      </c>
      <c r="EQ42" s="27">
        <v>12</v>
      </c>
      <c r="ER42" s="27"/>
      <c r="ES42" s="27"/>
      <c r="ET42" s="27"/>
      <c r="EU42" s="27"/>
    </row>
    <row r="43" spans="1:151" x14ac:dyDescent="0.3">
      <c r="A43" s="130">
        <v>335472</v>
      </c>
      <c r="B43" s="21" t="s">
        <v>34</v>
      </c>
      <c r="C43" s="250">
        <f>IFERROR(VLOOKUP(A43,완제품!B:AX,49,FALSE),0)</f>
        <v>172</v>
      </c>
      <c r="D43" s="27">
        <f t="shared" si="91"/>
        <v>44.387096774193544</v>
      </c>
      <c r="E43" s="27">
        <v>14</v>
      </c>
      <c r="F43" s="27">
        <v>8</v>
      </c>
      <c r="G43" s="27">
        <v>5</v>
      </c>
      <c r="H43" s="27">
        <v>14</v>
      </c>
      <c r="I43" s="27">
        <v>0</v>
      </c>
      <c r="J43" s="27">
        <v>12</v>
      </c>
      <c r="K43" s="27">
        <v>12</v>
      </c>
      <c r="L43" s="27">
        <v>24</v>
      </c>
      <c r="M43" s="27">
        <v>7</v>
      </c>
      <c r="N43" s="27">
        <v>20</v>
      </c>
      <c r="O43" s="27">
        <v>12</v>
      </c>
      <c r="P43" s="27">
        <v>0</v>
      </c>
      <c r="Q43" s="27">
        <v>20</v>
      </c>
      <c r="R43" s="27">
        <v>2</v>
      </c>
      <c r="S43" s="27">
        <v>7</v>
      </c>
      <c r="T43" s="27">
        <v>7</v>
      </c>
      <c r="U43" s="27">
        <v>15</v>
      </c>
      <c r="V43" s="27">
        <v>14</v>
      </c>
      <c r="W43" s="27">
        <v>0</v>
      </c>
      <c r="X43" s="27">
        <v>12</v>
      </c>
      <c r="Y43" s="27">
        <v>15</v>
      </c>
      <c r="Z43" s="27">
        <v>7</v>
      </c>
      <c r="AA43" s="27">
        <v>16</v>
      </c>
      <c r="AB43" s="27">
        <v>9</v>
      </c>
      <c r="AC43" s="27">
        <v>11</v>
      </c>
      <c r="AD43" s="27">
        <v>0</v>
      </c>
      <c r="AE43" s="27">
        <v>14</v>
      </c>
      <c r="AF43" s="27">
        <v>8</v>
      </c>
      <c r="AG43" s="27">
        <v>0</v>
      </c>
      <c r="AH43" s="27">
        <v>0</v>
      </c>
      <c r="AI43" s="28">
        <v>20</v>
      </c>
      <c r="AJ43" s="26">
        <v>10</v>
      </c>
      <c r="AK43" s="27">
        <v>0</v>
      </c>
      <c r="AL43" s="27">
        <v>10</v>
      </c>
      <c r="AM43" s="27">
        <v>14</v>
      </c>
      <c r="AN43" s="27">
        <v>6</v>
      </c>
      <c r="AO43" s="27">
        <v>10</v>
      </c>
      <c r="AP43" s="27">
        <v>3</v>
      </c>
      <c r="AQ43" s="27">
        <v>3</v>
      </c>
      <c r="AR43" s="27">
        <v>0</v>
      </c>
      <c r="AS43" s="27">
        <v>9</v>
      </c>
      <c r="AT43" s="27">
        <v>11</v>
      </c>
      <c r="AU43" s="27">
        <v>6</v>
      </c>
      <c r="AV43" s="27">
        <v>7</v>
      </c>
      <c r="AW43" s="27">
        <v>8</v>
      </c>
      <c r="AX43" s="27">
        <v>3</v>
      </c>
      <c r="AY43" s="27">
        <v>0</v>
      </c>
      <c r="AZ43" s="27">
        <v>22</v>
      </c>
      <c r="BA43" s="27">
        <v>12</v>
      </c>
      <c r="BB43" s="27">
        <v>7</v>
      </c>
      <c r="BC43" s="27">
        <v>13</v>
      </c>
      <c r="BD43" s="27">
        <v>3</v>
      </c>
      <c r="BE43" s="27">
        <v>3</v>
      </c>
      <c r="BF43" s="27">
        <v>0</v>
      </c>
      <c r="BG43" s="27">
        <v>14</v>
      </c>
      <c r="BH43" s="27">
        <v>0</v>
      </c>
      <c r="BI43" s="27">
        <v>12</v>
      </c>
      <c r="BJ43" s="27">
        <v>11</v>
      </c>
      <c r="BK43" s="27">
        <v>0</v>
      </c>
      <c r="BL43" s="26">
        <v>8</v>
      </c>
      <c r="BM43" s="27">
        <v>0</v>
      </c>
      <c r="BN43" s="27">
        <v>9</v>
      </c>
      <c r="BO43" s="27">
        <v>15</v>
      </c>
      <c r="BP43" s="27">
        <v>3</v>
      </c>
      <c r="BQ43" s="27">
        <v>11</v>
      </c>
      <c r="BR43" s="27">
        <v>3</v>
      </c>
      <c r="BS43" s="27">
        <v>6</v>
      </c>
      <c r="BT43" s="27">
        <v>0</v>
      </c>
      <c r="BU43" s="27">
        <v>11</v>
      </c>
      <c r="BV43" s="27">
        <v>6</v>
      </c>
      <c r="BW43" s="27">
        <v>20</v>
      </c>
      <c r="BX43" s="27">
        <v>13</v>
      </c>
      <c r="BY43" s="27">
        <v>6</v>
      </c>
      <c r="BZ43" s="27">
        <v>6</v>
      </c>
      <c r="CA43" s="27">
        <v>0</v>
      </c>
      <c r="CB43" s="27">
        <v>15</v>
      </c>
      <c r="CC43" s="27">
        <v>3</v>
      </c>
      <c r="CD43" s="27">
        <v>12</v>
      </c>
      <c r="CE43" s="27">
        <v>8</v>
      </c>
      <c r="CF43" s="27">
        <v>6</v>
      </c>
      <c r="CG43" s="27">
        <v>9</v>
      </c>
      <c r="CH43" s="27">
        <v>0</v>
      </c>
      <c r="CI43" s="27">
        <v>23</v>
      </c>
      <c r="CJ43" s="27">
        <v>7</v>
      </c>
      <c r="CK43" s="27">
        <v>4</v>
      </c>
      <c r="CL43" s="27">
        <v>7</v>
      </c>
      <c r="CM43" s="27">
        <v>0</v>
      </c>
      <c r="CN43" s="27">
        <v>0</v>
      </c>
      <c r="CO43" s="27">
        <v>0</v>
      </c>
      <c r="CP43" s="28">
        <v>10</v>
      </c>
      <c r="CQ43" s="27">
        <v>2</v>
      </c>
      <c r="CR43" s="27">
        <v>16</v>
      </c>
      <c r="CS43" s="27">
        <v>0</v>
      </c>
      <c r="CT43" s="27">
        <v>19</v>
      </c>
      <c r="CU43" s="27">
        <v>12</v>
      </c>
      <c r="CV43" s="27">
        <v>0</v>
      </c>
      <c r="CW43" s="27">
        <v>11</v>
      </c>
      <c r="CX43" s="27">
        <v>7</v>
      </c>
      <c r="CY43" s="27">
        <v>0</v>
      </c>
      <c r="CZ43" s="27">
        <v>12</v>
      </c>
      <c r="DA43" s="27">
        <v>8</v>
      </c>
      <c r="DB43" s="27">
        <v>5</v>
      </c>
      <c r="DC43" s="27">
        <v>0</v>
      </c>
      <c r="DD43" s="27">
        <v>6</v>
      </c>
      <c r="DE43" s="27">
        <v>6</v>
      </c>
      <c r="DF43" s="27">
        <v>11</v>
      </c>
      <c r="DG43" s="27">
        <v>6</v>
      </c>
      <c r="DH43" s="27">
        <v>8</v>
      </c>
      <c r="DI43" s="27">
        <v>8</v>
      </c>
      <c r="DJ43" s="27">
        <v>0</v>
      </c>
      <c r="DK43" s="27">
        <v>12</v>
      </c>
      <c r="DL43" s="27">
        <v>4</v>
      </c>
      <c r="DM43" s="27">
        <v>2</v>
      </c>
      <c r="DN43" s="27">
        <v>5</v>
      </c>
      <c r="DO43" s="27">
        <v>12</v>
      </c>
      <c r="DP43" s="27">
        <v>0</v>
      </c>
      <c r="DQ43" s="27">
        <v>0</v>
      </c>
      <c r="DR43" s="27">
        <v>0</v>
      </c>
      <c r="DS43" s="27">
        <v>0</v>
      </c>
      <c r="DT43" s="27">
        <v>0</v>
      </c>
      <c r="DU43" s="26">
        <v>0</v>
      </c>
      <c r="DV43" s="27">
        <v>0</v>
      </c>
      <c r="DW43" s="27">
        <v>0</v>
      </c>
      <c r="DX43" s="27">
        <v>0</v>
      </c>
      <c r="DY43" s="27">
        <v>0</v>
      </c>
      <c r="DZ43" s="27">
        <v>0</v>
      </c>
      <c r="EA43" s="27">
        <v>0</v>
      </c>
      <c r="EB43" s="27">
        <v>0</v>
      </c>
      <c r="EC43" s="27">
        <v>0</v>
      </c>
      <c r="ED43" s="27">
        <v>0</v>
      </c>
      <c r="EE43" s="27">
        <v>0</v>
      </c>
      <c r="EF43" s="27">
        <v>0</v>
      </c>
      <c r="EG43" s="27">
        <v>0</v>
      </c>
      <c r="EH43" s="27">
        <v>0</v>
      </c>
      <c r="EI43" s="27">
        <v>0</v>
      </c>
      <c r="EJ43" s="27">
        <v>0</v>
      </c>
      <c r="EK43" s="27">
        <v>0</v>
      </c>
      <c r="EL43" s="27">
        <v>0</v>
      </c>
      <c r="EM43" s="27">
        <v>0</v>
      </c>
      <c r="EN43" s="27">
        <v>0</v>
      </c>
      <c r="EO43" s="27">
        <v>0</v>
      </c>
      <c r="EP43" s="27">
        <v>0</v>
      </c>
      <c r="EQ43" s="27">
        <v>0</v>
      </c>
      <c r="ER43" s="27"/>
      <c r="ES43" s="27"/>
      <c r="ET43" s="27"/>
      <c r="EU43" s="27"/>
    </row>
    <row r="44" spans="1:151" x14ac:dyDescent="0.3">
      <c r="A44" s="130">
        <v>318446</v>
      </c>
      <c r="B44" s="21" t="s">
        <v>24</v>
      </c>
      <c r="C44" s="249">
        <f>IFERROR(VLOOKUP(A44,완제품!B:AX,49,FALSE),0)</f>
        <v>0</v>
      </c>
      <c r="D44" s="27">
        <f t="shared" si="91"/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8">
        <v>0</v>
      </c>
      <c r="AJ44" s="26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6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0</v>
      </c>
      <c r="CF44" s="27">
        <v>0</v>
      </c>
      <c r="CG44" s="27">
        <v>0</v>
      </c>
      <c r="CH44" s="27">
        <v>0</v>
      </c>
      <c r="CI44" s="27">
        <v>0</v>
      </c>
      <c r="CJ44" s="27">
        <v>0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8">
        <v>0</v>
      </c>
      <c r="CQ44" s="27">
        <v>0</v>
      </c>
      <c r="CR44" s="27">
        <v>0</v>
      </c>
      <c r="CS44" s="27">
        <v>0</v>
      </c>
      <c r="CT44" s="27">
        <v>0</v>
      </c>
      <c r="CU44" s="27">
        <v>0</v>
      </c>
      <c r="CV44" s="27">
        <v>0</v>
      </c>
      <c r="CW44" s="27">
        <v>0</v>
      </c>
      <c r="CX44" s="27">
        <v>0</v>
      </c>
      <c r="CY44" s="27">
        <v>0</v>
      </c>
      <c r="CZ44" s="27">
        <v>0</v>
      </c>
      <c r="DA44" s="27">
        <v>0</v>
      </c>
      <c r="DB44" s="27">
        <v>0</v>
      </c>
      <c r="DC44" s="27">
        <v>0</v>
      </c>
      <c r="DD44" s="27">
        <v>0</v>
      </c>
      <c r="DE44" s="27">
        <v>0</v>
      </c>
      <c r="DF44" s="27">
        <v>0</v>
      </c>
      <c r="DG44" s="27">
        <v>0</v>
      </c>
      <c r="DH44" s="27">
        <v>0</v>
      </c>
      <c r="DI44" s="27">
        <v>0</v>
      </c>
      <c r="DJ44" s="27">
        <v>0</v>
      </c>
      <c r="DK44" s="27">
        <v>0</v>
      </c>
      <c r="DL44" s="27">
        <v>0</v>
      </c>
      <c r="DM44" s="27">
        <v>0</v>
      </c>
      <c r="DN44" s="27">
        <v>0</v>
      </c>
      <c r="DO44" s="27">
        <v>0</v>
      </c>
      <c r="DP44" s="27">
        <v>0</v>
      </c>
      <c r="DQ44" s="27">
        <v>0</v>
      </c>
      <c r="DR44" s="27">
        <v>0</v>
      </c>
      <c r="DS44" s="27">
        <v>0</v>
      </c>
      <c r="DT44" s="27">
        <v>0</v>
      </c>
      <c r="DU44" s="26">
        <v>0</v>
      </c>
      <c r="DV44" s="27">
        <v>0</v>
      </c>
      <c r="DW44" s="27">
        <v>0</v>
      </c>
      <c r="DX44" s="27">
        <v>0</v>
      </c>
      <c r="DY44" s="27">
        <v>0</v>
      </c>
      <c r="DZ44" s="27">
        <v>0</v>
      </c>
      <c r="EA44" s="27">
        <v>0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0</v>
      </c>
      <c r="EI44" s="27">
        <v>0</v>
      </c>
      <c r="EJ44" s="27">
        <v>0</v>
      </c>
      <c r="EK44" s="27">
        <v>0</v>
      </c>
      <c r="EL44" s="27">
        <v>0</v>
      </c>
      <c r="EM44" s="27">
        <v>0</v>
      </c>
      <c r="EN44" s="27">
        <v>0</v>
      </c>
      <c r="EO44" s="27">
        <v>0</v>
      </c>
      <c r="EP44" s="27">
        <v>0</v>
      </c>
      <c r="EQ44" s="27">
        <v>0</v>
      </c>
      <c r="ER44" s="27"/>
      <c r="ES44" s="27"/>
      <c r="ET44" s="27"/>
      <c r="EU44" s="27"/>
    </row>
    <row r="45" spans="1:151" x14ac:dyDescent="0.3">
      <c r="A45" s="130">
        <v>326138</v>
      </c>
      <c r="B45" s="21" t="s">
        <v>25</v>
      </c>
      <c r="C45" s="249">
        <f>IFERROR(VLOOKUP(A45,완제품!B:AX,49,FALSE),0)</f>
        <v>280</v>
      </c>
      <c r="D45" s="27">
        <f t="shared" si="91"/>
        <v>72.258064516129025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8">
        <v>0</v>
      </c>
      <c r="AJ45" s="26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27">
        <v>150</v>
      </c>
      <c r="BD45" s="27">
        <v>0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0</v>
      </c>
      <c r="BL45" s="26">
        <v>0</v>
      </c>
      <c r="BM45" s="27">
        <v>0</v>
      </c>
      <c r="BN45" s="27">
        <v>0</v>
      </c>
      <c r="BO45" s="27">
        <v>0</v>
      </c>
      <c r="BP45" s="27">
        <v>0</v>
      </c>
      <c r="BQ45" s="27">
        <v>0</v>
      </c>
      <c r="BR45" s="27">
        <v>0</v>
      </c>
      <c r="BS45" s="27">
        <v>0</v>
      </c>
      <c r="BT45" s="27">
        <v>0</v>
      </c>
      <c r="BU45" s="27">
        <v>0</v>
      </c>
      <c r="BV45" s="27">
        <v>0</v>
      </c>
      <c r="BW45" s="27">
        <v>0</v>
      </c>
      <c r="BX45" s="27">
        <v>0</v>
      </c>
      <c r="BY45" s="27">
        <v>3</v>
      </c>
      <c r="BZ45" s="27">
        <v>0</v>
      </c>
      <c r="CA45" s="27">
        <v>0</v>
      </c>
      <c r="CB45" s="27">
        <v>0</v>
      </c>
      <c r="CC45" s="27">
        <v>0</v>
      </c>
      <c r="CD45" s="27">
        <v>0</v>
      </c>
      <c r="CE45" s="27">
        <v>0</v>
      </c>
      <c r="CF45" s="27">
        <v>0</v>
      </c>
      <c r="CG45" s="27">
        <v>0</v>
      </c>
      <c r="CH45" s="27">
        <v>0</v>
      </c>
      <c r="CI45" s="27">
        <v>0</v>
      </c>
      <c r="CJ45" s="27">
        <v>0</v>
      </c>
      <c r="CK45" s="27">
        <v>0</v>
      </c>
      <c r="CL45" s="27">
        <v>270</v>
      </c>
      <c r="CM45" s="27">
        <v>0</v>
      </c>
      <c r="CN45" s="27">
        <v>0</v>
      </c>
      <c r="CO45" s="27">
        <v>0</v>
      </c>
      <c r="CP45" s="28">
        <v>0</v>
      </c>
      <c r="CQ45" s="27">
        <v>0</v>
      </c>
      <c r="CR45" s="27">
        <v>0</v>
      </c>
      <c r="CS45" s="27">
        <v>0</v>
      </c>
      <c r="CT45" s="27">
        <v>90</v>
      </c>
      <c r="CU45" s="27">
        <v>0</v>
      </c>
      <c r="CV45" s="27">
        <v>0</v>
      </c>
      <c r="CW45" s="27">
        <v>0</v>
      </c>
      <c r="CX45" s="27">
        <v>0</v>
      </c>
      <c r="CY45" s="27">
        <v>0</v>
      </c>
      <c r="CZ45" s="27">
        <v>0</v>
      </c>
      <c r="DA45" s="27">
        <v>0</v>
      </c>
      <c r="DB45" s="27">
        <v>0</v>
      </c>
      <c r="DC45" s="27">
        <v>0</v>
      </c>
      <c r="DD45" s="27">
        <v>0</v>
      </c>
      <c r="DE45" s="27">
        <v>0</v>
      </c>
      <c r="DF45" s="27">
        <v>0</v>
      </c>
      <c r="DG45" s="27">
        <v>0</v>
      </c>
      <c r="DH45" s="27">
        <v>0</v>
      </c>
      <c r="DI45" s="27">
        <v>0</v>
      </c>
      <c r="DJ45" s="27">
        <v>0</v>
      </c>
      <c r="DK45" s="27">
        <v>0</v>
      </c>
      <c r="DL45" s="27">
        <v>0</v>
      </c>
      <c r="DM45" s="27">
        <v>0</v>
      </c>
      <c r="DN45" s="27">
        <v>187</v>
      </c>
      <c r="DO45" s="27">
        <v>3</v>
      </c>
      <c r="DP45" s="27">
        <v>0</v>
      </c>
      <c r="DQ45" s="27">
        <v>0</v>
      </c>
      <c r="DR45" s="27">
        <v>0</v>
      </c>
      <c r="DS45" s="27">
        <v>0</v>
      </c>
      <c r="DT45" s="27">
        <v>0</v>
      </c>
      <c r="DU45" s="26">
        <v>0</v>
      </c>
      <c r="DV45" s="27">
        <v>0</v>
      </c>
      <c r="DW45" s="27">
        <v>0</v>
      </c>
      <c r="DX45" s="27">
        <v>0</v>
      </c>
      <c r="DY45" s="27">
        <v>0</v>
      </c>
      <c r="DZ45" s="27">
        <v>0</v>
      </c>
      <c r="EA45" s="27">
        <v>0</v>
      </c>
      <c r="EB45" s="27">
        <v>0</v>
      </c>
      <c r="EC45" s="27">
        <v>0</v>
      </c>
      <c r="ED45" s="27">
        <v>0</v>
      </c>
      <c r="EE45" s="27">
        <v>0</v>
      </c>
      <c r="EF45" s="27">
        <v>0</v>
      </c>
      <c r="EG45" s="27">
        <v>0</v>
      </c>
      <c r="EH45" s="27">
        <v>0</v>
      </c>
      <c r="EI45" s="27">
        <v>0</v>
      </c>
      <c r="EJ45" s="27">
        <v>0</v>
      </c>
      <c r="EK45" s="27">
        <v>0</v>
      </c>
      <c r="EL45" s="27">
        <v>0</v>
      </c>
      <c r="EM45" s="27">
        <v>0</v>
      </c>
      <c r="EN45" s="27">
        <v>0</v>
      </c>
      <c r="EO45" s="27">
        <v>0</v>
      </c>
      <c r="EP45" s="27">
        <v>0</v>
      </c>
      <c r="EQ45" s="27">
        <v>0</v>
      </c>
      <c r="ER45" s="27"/>
      <c r="ES45" s="27"/>
      <c r="ET45" s="27"/>
      <c r="EU45" s="27"/>
    </row>
    <row r="46" spans="1:151" x14ac:dyDescent="0.3">
      <c r="A46" s="130">
        <v>325643</v>
      </c>
      <c r="B46" s="21" t="s">
        <v>26</v>
      </c>
      <c r="C46" s="249">
        <f>IFERROR(VLOOKUP(A46,완제품!B:AX,49,FALSE),0)</f>
        <v>90</v>
      </c>
      <c r="D46" s="27">
        <f t="shared" si="91"/>
        <v>23.225806451612904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8">
        <v>0</v>
      </c>
      <c r="AJ46" s="26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6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0</v>
      </c>
      <c r="BW46" s="27">
        <v>0</v>
      </c>
      <c r="BX46" s="27">
        <v>0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0</v>
      </c>
      <c r="CF46" s="27">
        <v>0</v>
      </c>
      <c r="CG46" s="27">
        <v>0</v>
      </c>
      <c r="CH46" s="27">
        <v>0</v>
      </c>
      <c r="CI46" s="27">
        <v>0</v>
      </c>
      <c r="CJ46" s="27">
        <v>0</v>
      </c>
      <c r="CK46" s="27">
        <v>0</v>
      </c>
      <c r="CL46" s="27">
        <v>240</v>
      </c>
      <c r="CM46" s="27">
        <v>0</v>
      </c>
      <c r="CN46" s="27">
        <v>0</v>
      </c>
      <c r="CO46" s="27">
        <v>0</v>
      </c>
      <c r="CP46" s="28">
        <v>2</v>
      </c>
      <c r="CQ46" s="27">
        <v>0</v>
      </c>
      <c r="CR46" s="27">
        <v>0</v>
      </c>
      <c r="CS46" s="27">
        <v>0</v>
      </c>
      <c r="CT46" s="27">
        <v>90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7">
        <v>0</v>
      </c>
      <c r="DD46" s="27">
        <v>0</v>
      </c>
      <c r="DE46" s="27">
        <v>0</v>
      </c>
      <c r="DF46" s="27">
        <v>0</v>
      </c>
      <c r="DG46" s="27">
        <v>0</v>
      </c>
      <c r="DH46" s="27">
        <v>0</v>
      </c>
      <c r="DI46" s="27">
        <v>0</v>
      </c>
      <c r="DJ46" s="27">
        <v>0</v>
      </c>
      <c r="DK46" s="27">
        <v>0</v>
      </c>
      <c r="DL46" s="27">
        <v>0</v>
      </c>
      <c r="DM46" s="27">
        <v>0</v>
      </c>
      <c r="DN46" s="27">
        <v>0</v>
      </c>
      <c r="DO46" s="27">
        <v>0</v>
      </c>
      <c r="DP46" s="27">
        <v>0</v>
      </c>
      <c r="DQ46" s="27">
        <v>0</v>
      </c>
      <c r="DR46" s="27">
        <v>0</v>
      </c>
      <c r="DS46" s="27">
        <v>0</v>
      </c>
      <c r="DT46" s="27">
        <v>0</v>
      </c>
      <c r="DU46" s="26">
        <v>0</v>
      </c>
      <c r="DV46" s="27">
        <v>0</v>
      </c>
      <c r="DW46" s="27">
        <v>0</v>
      </c>
      <c r="DX46" s="27">
        <v>0</v>
      </c>
      <c r="DY46" s="27">
        <v>0</v>
      </c>
      <c r="DZ46" s="27">
        <v>0</v>
      </c>
      <c r="EA46" s="27">
        <v>0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0</v>
      </c>
      <c r="EI46" s="27">
        <v>0</v>
      </c>
      <c r="EJ46" s="27">
        <v>0</v>
      </c>
      <c r="EK46" s="27">
        <v>0</v>
      </c>
      <c r="EL46" s="27">
        <v>0</v>
      </c>
      <c r="EM46" s="27">
        <v>0</v>
      </c>
      <c r="EN46" s="27">
        <v>0</v>
      </c>
      <c r="EO46" s="27">
        <v>0</v>
      </c>
      <c r="EP46" s="27">
        <v>0</v>
      </c>
      <c r="EQ46" s="27">
        <v>0</v>
      </c>
      <c r="ER46" s="27"/>
      <c r="ES46" s="27"/>
      <c r="ET46" s="27"/>
      <c r="EU46" s="27"/>
    </row>
    <row r="47" spans="1:151" x14ac:dyDescent="0.3">
      <c r="A47" s="130">
        <v>332006</v>
      </c>
      <c r="B47" s="21" t="s">
        <v>27</v>
      </c>
      <c r="C47" s="249">
        <f>IFERROR(VLOOKUP(A47,완제품!B:AX,49,FALSE),0)</f>
        <v>90</v>
      </c>
      <c r="D47" s="27">
        <f t="shared" si="91"/>
        <v>23.225806451612904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8">
        <v>0</v>
      </c>
      <c r="AJ47" s="26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8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0</v>
      </c>
      <c r="BL47" s="26">
        <v>0</v>
      </c>
      <c r="BM47" s="27">
        <v>0</v>
      </c>
      <c r="BN47" s="27">
        <v>0</v>
      </c>
      <c r="BO47" s="27">
        <v>0</v>
      </c>
      <c r="BP47" s="27">
        <v>0</v>
      </c>
      <c r="BQ47" s="27">
        <v>0</v>
      </c>
      <c r="BR47" s="27">
        <v>0</v>
      </c>
      <c r="BS47" s="27">
        <v>0</v>
      </c>
      <c r="BT47" s="27">
        <v>0</v>
      </c>
      <c r="BU47" s="27">
        <v>0</v>
      </c>
      <c r="BV47" s="27">
        <v>0</v>
      </c>
      <c r="BW47" s="27">
        <v>0</v>
      </c>
      <c r="BX47" s="27">
        <v>0</v>
      </c>
      <c r="BY47" s="27">
        <v>0</v>
      </c>
      <c r="BZ47" s="27">
        <v>0</v>
      </c>
      <c r="CA47" s="27">
        <v>0</v>
      </c>
      <c r="CB47" s="27">
        <v>0</v>
      </c>
      <c r="CC47" s="27">
        <v>0</v>
      </c>
      <c r="CD47" s="27">
        <v>0</v>
      </c>
      <c r="CE47" s="27">
        <v>0</v>
      </c>
      <c r="CF47" s="27">
        <v>0</v>
      </c>
      <c r="CG47" s="27">
        <v>0</v>
      </c>
      <c r="CH47" s="27">
        <v>0</v>
      </c>
      <c r="CI47" s="27">
        <v>0</v>
      </c>
      <c r="CJ47" s="27">
        <v>0</v>
      </c>
      <c r="CK47" s="27">
        <v>0</v>
      </c>
      <c r="CL47" s="27">
        <v>138</v>
      </c>
      <c r="CM47" s="27">
        <v>6</v>
      </c>
      <c r="CN47" s="27">
        <v>0</v>
      </c>
      <c r="CO47" s="27">
        <v>0</v>
      </c>
      <c r="CP47" s="28">
        <v>0</v>
      </c>
      <c r="CQ47" s="27">
        <v>0</v>
      </c>
      <c r="CR47" s="27">
        <v>0</v>
      </c>
      <c r="CS47" s="27">
        <v>0</v>
      </c>
      <c r="CT47" s="27">
        <v>90</v>
      </c>
      <c r="CU47" s="27">
        <v>0</v>
      </c>
      <c r="CV47" s="27">
        <v>0</v>
      </c>
      <c r="CW47" s="27">
        <v>0</v>
      </c>
      <c r="CX47" s="27">
        <v>0</v>
      </c>
      <c r="CY47" s="27">
        <v>0</v>
      </c>
      <c r="CZ47" s="27">
        <v>0</v>
      </c>
      <c r="DA47" s="27">
        <v>0</v>
      </c>
      <c r="DB47" s="27">
        <v>0</v>
      </c>
      <c r="DC47" s="27">
        <v>0</v>
      </c>
      <c r="DD47" s="27">
        <v>0</v>
      </c>
      <c r="DE47" s="27">
        <v>0</v>
      </c>
      <c r="DF47" s="27">
        <v>0</v>
      </c>
      <c r="DG47" s="27">
        <v>0</v>
      </c>
      <c r="DH47" s="27">
        <v>0</v>
      </c>
      <c r="DI47" s="27">
        <v>0</v>
      </c>
      <c r="DJ47" s="27">
        <v>0</v>
      </c>
      <c r="DK47" s="27">
        <v>0</v>
      </c>
      <c r="DL47" s="27">
        <v>0</v>
      </c>
      <c r="DM47" s="27">
        <v>0</v>
      </c>
      <c r="DN47" s="27">
        <v>0</v>
      </c>
      <c r="DO47" s="27">
        <v>0</v>
      </c>
      <c r="DP47" s="27">
        <v>0</v>
      </c>
      <c r="DQ47" s="27">
        <v>0</v>
      </c>
      <c r="DR47" s="27">
        <v>0</v>
      </c>
      <c r="DS47" s="27">
        <v>0</v>
      </c>
      <c r="DT47" s="27">
        <v>0</v>
      </c>
      <c r="DU47" s="26">
        <v>0</v>
      </c>
      <c r="DV47" s="27">
        <v>0</v>
      </c>
      <c r="DW47" s="27">
        <v>0</v>
      </c>
      <c r="DX47" s="27">
        <v>0</v>
      </c>
      <c r="DY47" s="27">
        <v>0</v>
      </c>
      <c r="DZ47" s="27">
        <v>0</v>
      </c>
      <c r="EA47" s="27">
        <v>0</v>
      </c>
      <c r="EB47" s="27">
        <v>0</v>
      </c>
      <c r="EC47" s="27">
        <v>0</v>
      </c>
      <c r="ED47" s="27">
        <v>0</v>
      </c>
      <c r="EE47" s="27">
        <v>0</v>
      </c>
      <c r="EF47" s="27">
        <v>0</v>
      </c>
      <c r="EG47" s="27">
        <v>0</v>
      </c>
      <c r="EH47" s="27">
        <v>0</v>
      </c>
      <c r="EI47" s="27">
        <v>0</v>
      </c>
      <c r="EJ47" s="27">
        <v>0</v>
      </c>
      <c r="EK47" s="27">
        <v>0</v>
      </c>
      <c r="EL47" s="27">
        <v>0</v>
      </c>
      <c r="EM47" s="27">
        <v>0</v>
      </c>
      <c r="EN47" s="27">
        <v>0</v>
      </c>
      <c r="EO47" s="27">
        <v>0</v>
      </c>
      <c r="EP47" s="27">
        <v>0</v>
      </c>
      <c r="EQ47" s="27">
        <v>0</v>
      </c>
      <c r="ER47" s="27"/>
      <c r="ES47" s="27"/>
      <c r="ET47" s="27"/>
      <c r="EU47" s="27"/>
    </row>
    <row r="48" spans="1:151" x14ac:dyDescent="0.3">
      <c r="A48" s="131">
        <v>326137</v>
      </c>
      <c r="B48" s="132" t="s">
        <v>28</v>
      </c>
      <c r="C48" s="251">
        <f>IFERROR(VLOOKUP(A48,완제품!B:AX,49,FALSE),0)</f>
        <v>275</v>
      </c>
      <c r="D48" s="134">
        <f t="shared" si="91"/>
        <v>70.967741935483872</v>
      </c>
      <c r="E48" s="134">
        <v>0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4">
        <v>0</v>
      </c>
      <c r="L48" s="134">
        <v>0</v>
      </c>
      <c r="M48" s="134">
        <v>0</v>
      </c>
      <c r="N48" s="134">
        <v>0</v>
      </c>
      <c r="O48" s="134">
        <v>0</v>
      </c>
      <c r="P48" s="134">
        <v>0</v>
      </c>
      <c r="Q48" s="134">
        <v>0</v>
      </c>
      <c r="R48" s="134">
        <v>0</v>
      </c>
      <c r="S48" s="134">
        <v>0</v>
      </c>
      <c r="T48" s="134">
        <v>0</v>
      </c>
      <c r="U48" s="134">
        <v>0</v>
      </c>
      <c r="V48" s="134">
        <v>0</v>
      </c>
      <c r="W48" s="134">
        <v>0</v>
      </c>
      <c r="X48" s="134">
        <v>0</v>
      </c>
      <c r="Y48" s="134">
        <v>0</v>
      </c>
      <c r="Z48" s="134">
        <v>0</v>
      </c>
      <c r="AA48" s="134">
        <v>0</v>
      </c>
      <c r="AB48" s="134">
        <v>0</v>
      </c>
      <c r="AC48" s="134">
        <v>0</v>
      </c>
      <c r="AD48" s="134">
        <v>0</v>
      </c>
      <c r="AE48" s="134">
        <v>0</v>
      </c>
      <c r="AF48" s="134">
        <v>0</v>
      </c>
      <c r="AG48" s="134">
        <v>0</v>
      </c>
      <c r="AH48" s="134">
        <v>0</v>
      </c>
      <c r="AI48" s="135">
        <v>0</v>
      </c>
      <c r="AJ48" s="133">
        <v>0</v>
      </c>
      <c r="AK48" s="134">
        <v>0</v>
      </c>
      <c r="AL48" s="134">
        <v>0</v>
      </c>
      <c r="AM48" s="134">
        <v>0</v>
      </c>
      <c r="AN48" s="134">
        <v>0</v>
      </c>
      <c r="AO48" s="134">
        <v>0</v>
      </c>
      <c r="AP48" s="134">
        <v>0</v>
      </c>
      <c r="AQ48" s="134">
        <v>0</v>
      </c>
      <c r="AR48" s="134">
        <v>0</v>
      </c>
      <c r="AS48" s="134">
        <v>0</v>
      </c>
      <c r="AT48" s="134">
        <v>0</v>
      </c>
      <c r="AU48" s="134">
        <v>0</v>
      </c>
      <c r="AV48" s="134">
        <v>0</v>
      </c>
      <c r="AW48" s="134">
        <v>0</v>
      </c>
      <c r="AX48" s="134">
        <v>0</v>
      </c>
      <c r="AY48" s="134">
        <v>0</v>
      </c>
      <c r="AZ48" s="134">
        <v>0</v>
      </c>
      <c r="BA48" s="134">
        <v>0</v>
      </c>
      <c r="BB48" s="134">
        <v>0</v>
      </c>
      <c r="BC48" s="134">
        <v>0</v>
      </c>
      <c r="BD48" s="134">
        <v>0</v>
      </c>
      <c r="BE48" s="134">
        <v>0</v>
      </c>
      <c r="BF48" s="134">
        <v>0</v>
      </c>
      <c r="BG48" s="134">
        <v>0</v>
      </c>
      <c r="BH48" s="134">
        <v>0</v>
      </c>
      <c r="BI48" s="134">
        <v>0</v>
      </c>
      <c r="BJ48" s="134">
        <v>160</v>
      </c>
      <c r="BK48" s="134">
        <v>0</v>
      </c>
      <c r="BL48" s="133">
        <v>0</v>
      </c>
      <c r="BM48" s="134">
        <v>0</v>
      </c>
      <c r="BN48" s="134">
        <v>0</v>
      </c>
      <c r="BO48" s="134">
        <v>0</v>
      </c>
      <c r="BP48" s="134">
        <v>0</v>
      </c>
      <c r="BQ48" s="134">
        <v>0</v>
      </c>
      <c r="BR48" s="134">
        <v>0</v>
      </c>
      <c r="BS48" s="134">
        <v>0</v>
      </c>
      <c r="BT48" s="134">
        <v>0</v>
      </c>
      <c r="BU48" s="134">
        <v>0</v>
      </c>
      <c r="BV48" s="134">
        <v>0</v>
      </c>
      <c r="BW48" s="134">
        <v>0</v>
      </c>
      <c r="BX48" s="134">
        <v>0</v>
      </c>
      <c r="BY48" s="134">
        <v>0</v>
      </c>
      <c r="BZ48" s="134">
        <v>0</v>
      </c>
      <c r="CA48" s="134">
        <v>0</v>
      </c>
      <c r="CB48" s="134">
        <v>0</v>
      </c>
      <c r="CC48" s="134">
        <v>0</v>
      </c>
      <c r="CD48" s="134">
        <v>0</v>
      </c>
      <c r="CE48" s="134">
        <v>0</v>
      </c>
      <c r="CF48" s="134">
        <v>0</v>
      </c>
      <c r="CG48" s="134">
        <v>0</v>
      </c>
      <c r="CH48" s="134">
        <v>0</v>
      </c>
      <c r="CI48" s="134">
        <v>0</v>
      </c>
      <c r="CJ48" s="134">
        <v>0</v>
      </c>
      <c r="CK48" s="134">
        <v>0</v>
      </c>
      <c r="CL48" s="134">
        <v>210</v>
      </c>
      <c r="CM48" s="134">
        <v>0</v>
      </c>
      <c r="CN48" s="134">
        <v>0</v>
      </c>
      <c r="CO48" s="134">
        <v>0</v>
      </c>
      <c r="CP48" s="135">
        <v>0</v>
      </c>
      <c r="CQ48" s="134">
        <v>0</v>
      </c>
      <c r="CR48" s="134">
        <v>0</v>
      </c>
      <c r="CS48" s="134">
        <v>0</v>
      </c>
      <c r="CT48" s="134">
        <v>90</v>
      </c>
      <c r="CU48" s="134">
        <v>0</v>
      </c>
      <c r="CV48" s="134">
        <v>0</v>
      </c>
      <c r="CW48" s="134">
        <v>0</v>
      </c>
      <c r="CX48" s="134">
        <v>0</v>
      </c>
      <c r="CY48" s="134">
        <v>0</v>
      </c>
      <c r="CZ48" s="134">
        <v>0</v>
      </c>
      <c r="DA48" s="134">
        <v>0</v>
      </c>
      <c r="DB48" s="134">
        <v>0</v>
      </c>
      <c r="DC48" s="134">
        <v>0</v>
      </c>
      <c r="DD48" s="134">
        <v>0</v>
      </c>
      <c r="DE48" s="134">
        <v>0</v>
      </c>
      <c r="DF48" s="134">
        <v>0</v>
      </c>
      <c r="DG48" s="134">
        <v>0</v>
      </c>
      <c r="DH48" s="134">
        <v>0</v>
      </c>
      <c r="DI48" s="134">
        <v>0</v>
      </c>
      <c r="DJ48" s="134">
        <v>0</v>
      </c>
      <c r="DK48" s="134">
        <v>0</v>
      </c>
      <c r="DL48" s="134">
        <v>0</v>
      </c>
      <c r="DM48" s="134">
        <v>0</v>
      </c>
      <c r="DN48" s="134">
        <v>185</v>
      </c>
      <c r="DO48" s="134">
        <v>0</v>
      </c>
      <c r="DP48" s="134">
        <v>0</v>
      </c>
      <c r="DQ48" s="134">
        <v>0</v>
      </c>
      <c r="DR48" s="134">
        <v>0</v>
      </c>
      <c r="DS48" s="134">
        <v>0</v>
      </c>
      <c r="DT48" s="134">
        <v>0</v>
      </c>
      <c r="DU48" s="133">
        <v>0</v>
      </c>
      <c r="DV48" s="134">
        <v>0</v>
      </c>
      <c r="DW48" s="134">
        <v>0</v>
      </c>
      <c r="DX48" s="134">
        <v>0</v>
      </c>
      <c r="DY48" s="134">
        <v>0</v>
      </c>
      <c r="DZ48" s="134">
        <v>0</v>
      </c>
      <c r="EA48" s="134">
        <v>0</v>
      </c>
      <c r="EB48" s="134">
        <v>0</v>
      </c>
      <c r="EC48" s="134">
        <v>0</v>
      </c>
      <c r="ED48" s="134">
        <v>0</v>
      </c>
      <c r="EE48" s="134">
        <v>0</v>
      </c>
      <c r="EF48" s="134">
        <v>0</v>
      </c>
      <c r="EG48" s="134">
        <v>0</v>
      </c>
      <c r="EH48" s="134">
        <v>0</v>
      </c>
      <c r="EI48" s="134">
        <v>0</v>
      </c>
      <c r="EJ48" s="134">
        <v>0</v>
      </c>
      <c r="EK48" s="134">
        <v>0</v>
      </c>
      <c r="EL48" s="134">
        <v>0</v>
      </c>
      <c r="EM48" s="134">
        <v>0</v>
      </c>
      <c r="EN48" s="134">
        <v>0</v>
      </c>
      <c r="EO48" s="134">
        <v>0</v>
      </c>
      <c r="EP48" s="134">
        <v>0</v>
      </c>
      <c r="EQ48" s="134">
        <v>0</v>
      </c>
      <c r="ER48" s="134"/>
      <c r="ES48" s="134"/>
      <c r="ET48" s="134"/>
      <c r="EU48" s="134"/>
    </row>
    <row r="49" spans="2:94" x14ac:dyDescent="0.3">
      <c r="C49" s="143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CP49" s="333"/>
    </row>
    <row r="50" spans="2:94" x14ac:dyDescent="0.3">
      <c r="C50" s="143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CP50" s="333"/>
    </row>
    <row r="51" spans="2:94" x14ac:dyDescent="0.3">
      <c r="C51" s="143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CP51" s="333"/>
    </row>
    <row r="52" spans="2:94" x14ac:dyDescent="0.3">
      <c r="C52" s="143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CP52" s="333"/>
    </row>
    <row r="53" spans="2:94" x14ac:dyDescent="0.3">
      <c r="C53" s="143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CP53" s="333"/>
    </row>
    <row r="54" spans="2:94" x14ac:dyDescent="0.3">
      <c r="C54" s="143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CP54" s="333"/>
    </row>
    <row r="55" spans="2:94" x14ac:dyDescent="0.3">
      <c r="C55" s="143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CP55" s="333"/>
    </row>
    <row r="56" spans="2:94" x14ac:dyDescent="0.3">
      <c r="B56" s="117"/>
      <c r="C56" s="143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CP56" s="333"/>
    </row>
    <row r="57" spans="2:94" x14ac:dyDescent="0.3">
      <c r="C57" s="143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CP57" s="333"/>
    </row>
    <row r="58" spans="2:94" x14ac:dyDescent="0.3">
      <c r="C58" s="143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94" x14ac:dyDescent="0.3">
      <c r="C59" s="143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3"/>
  <sheetViews>
    <sheetView zoomScaleNormal="100" workbookViewId="0">
      <selection activeCell="B6" sqref="B6"/>
    </sheetView>
  </sheetViews>
  <sheetFormatPr defaultRowHeight="16.5" x14ac:dyDescent="0.3"/>
  <cols>
    <col min="1" max="1" width="7.625" style="83" customWidth="1"/>
    <col min="2" max="2" width="9" style="83"/>
    <col min="3" max="3" width="41.75" style="83" bestFit="1" customWidth="1"/>
    <col min="4" max="4" width="9.125" style="220" customWidth="1"/>
    <col min="5" max="16" width="9" style="181"/>
    <col min="17" max="20" width="9" style="137"/>
    <col min="21" max="21" width="13.375" style="137" bestFit="1" customWidth="1"/>
    <col min="22" max="16384" width="9" style="137"/>
  </cols>
  <sheetData>
    <row r="1" spans="1:16" x14ac:dyDescent="0.3">
      <c r="B1" s="179"/>
      <c r="C1" s="179"/>
      <c r="D1" s="180"/>
      <c r="E1" s="181">
        <v>22</v>
      </c>
      <c r="F1" s="181">
        <f>E1+1</f>
        <v>23</v>
      </c>
      <c r="G1" s="181">
        <f t="shared" ref="G1:P1" si="0">F1+1</f>
        <v>24</v>
      </c>
      <c r="H1" s="181">
        <f t="shared" si="0"/>
        <v>25</v>
      </c>
      <c r="I1" s="181">
        <f t="shared" si="0"/>
        <v>26</v>
      </c>
      <c r="J1" s="181">
        <f t="shared" si="0"/>
        <v>27</v>
      </c>
      <c r="K1" s="181">
        <f t="shared" si="0"/>
        <v>28</v>
      </c>
      <c r="L1" s="181">
        <f t="shared" si="0"/>
        <v>29</v>
      </c>
      <c r="M1" s="181">
        <f t="shared" si="0"/>
        <v>30</v>
      </c>
      <c r="N1" s="181">
        <f t="shared" si="0"/>
        <v>31</v>
      </c>
      <c r="O1" s="181">
        <f t="shared" si="0"/>
        <v>32</v>
      </c>
      <c r="P1" s="181">
        <f t="shared" si="0"/>
        <v>33</v>
      </c>
    </row>
    <row r="2" spans="1:16" ht="17.25" thickBot="1" x14ac:dyDescent="0.35">
      <c r="A2" s="182" t="s">
        <v>432</v>
      </c>
      <c r="B2" s="182" t="s">
        <v>324</v>
      </c>
      <c r="C2" s="182" t="s">
        <v>433</v>
      </c>
      <c r="D2" s="183" t="s">
        <v>462</v>
      </c>
      <c r="E2" s="184">
        <v>1</v>
      </c>
      <c r="F2" s="184">
        <f>E2+1</f>
        <v>2</v>
      </c>
      <c r="G2" s="184">
        <f t="shared" ref="G2:P2" si="1">F2+1</f>
        <v>3</v>
      </c>
      <c r="H2" s="184">
        <f t="shared" si="1"/>
        <v>4</v>
      </c>
      <c r="I2" s="184">
        <f t="shared" si="1"/>
        <v>5</v>
      </c>
      <c r="J2" s="184">
        <f t="shared" si="1"/>
        <v>6</v>
      </c>
      <c r="K2" s="184">
        <f t="shared" si="1"/>
        <v>7</v>
      </c>
      <c r="L2" s="184">
        <f t="shared" si="1"/>
        <v>8</v>
      </c>
      <c r="M2" s="184">
        <f t="shared" si="1"/>
        <v>9</v>
      </c>
      <c r="N2" s="184">
        <f t="shared" si="1"/>
        <v>10</v>
      </c>
      <c r="O2" s="184">
        <f t="shared" si="1"/>
        <v>11</v>
      </c>
      <c r="P2" s="184">
        <f t="shared" si="1"/>
        <v>12</v>
      </c>
    </row>
    <row r="3" spans="1:16" ht="17.25" thickBot="1" x14ac:dyDescent="0.35">
      <c r="A3" s="185">
        <v>259276</v>
      </c>
      <c r="B3" s="186"/>
      <c r="C3" s="187" t="s">
        <v>434</v>
      </c>
      <c r="D3" s="188">
        <f>SUM(D4:D25)</f>
        <v>1.0000000000000002</v>
      </c>
      <c r="E3" s="189">
        <f>IFERROR(VLOOKUP($A3,완제품!$B:$CP,E$1,FALSE),0)</f>
        <v>0</v>
      </c>
      <c r="F3" s="189">
        <f>IFERROR(VLOOKUP($A3,완제품!$B:$CP,F$1,FALSE),0)</f>
        <v>2000</v>
      </c>
      <c r="G3" s="189">
        <f>IFERROR(VLOOKUP($A3,완제품!$B:$CP,G$1,FALSE),0)</f>
        <v>2000</v>
      </c>
      <c r="H3" s="189">
        <f>IFERROR(VLOOKUP($A3,완제품!$B:$CP,H$1,FALSE),0)</f>
        <v>2000</v>
      </c>
      <c r="I3" s="189">
        <f>IFERROR(VLOOKUP($A3,완제품!$B:$CP,I$1,FALSE),0)</f>
        <v>0</v>
      </c>
      <c r="J3" s="189">
        <f>IFERROR(VLOOKUP($A3,완제품!$B:$CP,J$1,FALSE),0)</f>
        <v>0</v>
      </c>
      <c r="K3" s="189">
        <f>IFERROR(VLOOKUP($A3,완제품!$B:$CP,K$1,FALSE),0)</f>
        <v>0</v>
      </c>
      <c r="L3" s="189">
        <f>IFERROR(VLOOKUP($A3,완제품!$B:$CP,L$1,FALSE),0)</f>
        <v>0</v>
      </c>
      <c r="M3" s="189">
        <f>IFERROR(VLOOKUP($A3,완제품!$B:$CP,M$1,FALSE),0)</f>
        <v>0</v>
      </c>
      <c r="N3" s="189">
        <f>IFERROR(VLOOKUP($A3,완제품!$B:$CP,N$1,FALSE),0)</f>
        <v>0</v>
      </c>
      <c r="O3" s="189">
        <f>IFERROR(VLOOKUP($A3,완제품!$B:$CP,O$1,FALSE),0)</f>
        <v>0</v>
      </c>
      <c r="P3" s="189">
        <f>IFERROR(VLOOKUP($A3,완제품!$B:$CP,P$1,FALSE),0)</f>
        <v>0</v>
      </c>
    </row>
    <row r="4" spans="1:16" x14ac:dyDescent="0.3">
      <c r="A4" s="190"/>
      <c r="B4" s="191" t="s">
        <v>325</v>
      </c>
      <c r="C4" s="191" t="s">
        <v>148</v>
      </c>
      <c r="D4" s="192">
        <v>0.61329999999999996</v>
      </c>
      <c r="E4" s="193">
        <f t="shared" ref="E4:E20" si="2">E$3*$D4</f>
        <v>0</v>
      </c>
      <c r="F4" s="193">
        <f t="shared" ref="F4:P19" si="3">F$3*$D4</f>
        <v>1226.5999999999999</v>
      </c>
      <c r="G4" s="193">
        <f t="shared" si="3"/>
        <v>1226.5999999999999</v>
      </c>
      <c r="H4" s="193">
        <f t="shared" si="3"/>
        <v>1226.5999999999999</v>
      </c>
      <c r="I4" s="193">
        <f t="shared" si="3"/>
        <v>0</v>
      </c>
      <c r="J4" s="193">
        <f t="shared" si="3"/>
        <v>0</v>
      </c>
      <c r="K4" s="193">
        <f t="shared" si="3"/>
        <v>0</v>
      </c>
      <c r="L4" s="193">
        <f t="shared" si="3"/>
        <v>0</v>
      </c>
      <c r="M4" s="193">
        <f t="shared" si="3"/>
        <v>0</v>
      </c>
      <c r="N4" s="193">
        <f t="shared" si="3"/>
        <v>0</v>
      </c>
      <c r="O4" s="193">
        <f t="shared" si="3"/>
        <v>0</v>
      </c>
      <c r="P4" s="194">
        <f t="shared" si="3"/>
        <v>0</v>
      </c>
    </row>
    <row r="5" spans="1:16" x14ac:dyDescent="0.3">
      <c r="A5" s="195"/>
      <c r="B5" s="196" t="s">
        <v>326</v>
      </c>
      <c r="C5" s="196" t="s">
        <v>149</v>
      </c>
      <c r="D5" s="197">
        <v>0.04</v>
      </c>
      <c r="E5" s="193">
        <f t="shared" si="2"/>
        <v>0</v>
      </c>
      <c r="F5" s="193">
        <f t="shared" si="3"/>
        <v>80</v>
      </c>
      <c r="G5" s="193">
        <f t="shared" si="3"/>
        <v>80</v>
      </c>
      <c r="H5" s="193">
        <f t="shared" si="3"/>
        <v>80</v>
      </c>
      <c r="I5" s="193">
        <f t="shared" si="3"/>
        <v>0</v>
      </c>
      <c r="J5" s="193">
        <f t="shared" si="3"/>
        <v>0</v>
      </c>
      <c r="K5" s="193">
        <f t="shared" si="3"/>
        <v>0</v>
      </c>
      <c r="L5" s="193">
        <f t="shared" si="3"/>
        <v>0</v>
      </c>
      <c r="M5" s="193">
        <f t="shared" si="3"/>
        <v>0</v>
      </c>
      <c r="N5" s="193">
        <f t="shared" si="3"/>
        <v>0</v>
      </c>
      <c r="O5" s="193">
        <f t="shared" si="3"/>
        <v>0</v>
      </c>
      <c r="P5" s="194">
        <f t="shared" si="3"/>
        <v>0</v>
      </c>
    </row>
    <row r="6" spans="1:16" x14ac:dyDescent="0.3">
      <c r="A6" s="195"/>
      <c r="B6" s="196">
        <v>241738</v>
      </c>
      <c r="C6" s="196" t="s">
        <v>150</v>
      </c>
      <c r="D6" s="197">
        <v>0.14699999999999999</v>
      </c>
      <c r="E6" s="193">
        <f t="shared" si="2"/>
        <v>0</v>
      </c>
      <c r="F6" s="193">
        <f t="shared" si="3"/>
        <v>294</v>
      </c>
      <c r="G6" s="193">
        <f t="shared" si="3"/>
        <v>294</v>
      </c>
      <c r="H6" s="193">
        <f t="shared" si="3"/>
        <v>294</v>
      </c>
      <c r="I6" s="193">
        <f t="shared" si="3"/>
        <v>0</v>
      </c>
      <c r="J6" s="193">
        <f t="shared" si="3"/>
        <v>0</v>
      </c>
      <c r="K6" s="193">
        <f t="shared" si="3"/>
        <v>0</v>
      </c>
      <c r="L6" s="193">
        <f t="shared" si="3"/>
        <v>0</v>
      </c>
      <c r="M6" s="193">
        <f t="shared" si="3"/>
        <v>0</v>
      </c>
      <c r="N6" s="193">
        <f t="shared" si="3"/>
        <v>0</v>
      </c>
      <c r="O6" s="193">
        <f t="shared" si="3"/>
        <v>0</v>
      </c>
      <c r="P6" s="194">
        <f t="shared" si="3"/>
        <v>0</v>
      </c>
    </row>
    <row r="7" spans="1:16" x14ac:dyDescent="0.3">
      <c r="A7" s="195"/>
      <c r="B7" s="196" t="s">
        <v>327</v>
      </c>
      <c r="C7" s="196" t="s">
        <v>151</v>
      </c>
      <c r="D7" s="197">
        <v>0.02</v>
      </c>
      <c r="E7" s="193">
        <f t="shared" si="2"/>
        <v>0</v>
      </c>
      <c r="F7" s="193">
        <f t="shared" si="3"/>
        <v>40</v>
      </c>
      <c r="G7" s="193">
        <f t="shared" si="3"/>
        <v>40</v>
      </c>
      <c r="H7" s="193">
        <f t="shared" si="3"/>
        <v>40</v>
      </c>
      <c r="I7" s="193">
        <f t="shared" si="3"/>
        <v>0</v>
      </c>
      <c r="J7" s="193">
        <f t="shared" si="3"/>
        <v>0</v>
      </c>
      <c r="K7" s="193">
        <f t="shared" si="3"/>
        <v>0</v>
      </c>
      <c r="L7" s="193">
        <f t="shared" si="3"/>
        <v>0</v>
      </c>
      <c r="M7" s="193">
        <f t="shared" si="3"/>
        <v>0</v>
      </c>
      <c r="N7" s="193">
        <f t="shared" si="3"/>
        <v>0</v>
      </c>
      <c r="O7" s="193">
        <f t="shared" si="3"/>
        <v>0</v>
      </c>
      <c r="P7" s="194">
        <f t="shared" si="3"/>
        <v>0</v>
      </c>
    </row>
    <row r="8" spans="1:16" x14ac:dyDescent="0.3">
      <c r="A8" s="195"/>
      <c r="B8" s="196" t="s">
        <v>328</v>
      </c>
      <c r="C8" s="196" t="s">
        <v>152</v>
      </c>
      <c r="D8" s="197">
        <v>0.01</v>
      </c>
      <c r="E8" s="193">
        <f t="shared" si="2"/>
        <v>0</v>
      </c>
      <c r="F8" s="193">
        <f t="shared" si="3"/>
        <v>20</v>
      </c>
      <c r="G8" s="193">
        <f t="shared" si="3"/>
        <v>20</v>
      </c>
      <c r="H8" s="193">
        <f t="shared" si="3"/>
        <v>20</v>
      </c>
      <c r="I8" s="193">
        <f t="shared" si="3"/>
        <v>0</v>
      </c>
      <c r="J8" s="193">
        <f t="shared" si="3"/>
        <v>0</v>
      </c>
      <c r="K8" s="193">
        <f t="shared" si="3"/>
        <v>0</v>
      </c>
      <c r="L8" s="193">
        <f t="shared" si="3"/>
        <v>0</v>
      </c>
      <c r="M8" s="193">
        <f t="shared" si="3"/>
        <v>0</v>
      </c>
      <c r="N8" s="193">
        <f t="shared" si="3"/>
        <v>0</v>
      </c>
      <c r="O8" s="193">
        <f t="shared" si="3"/>
        <v>0</v>
      </c>
      <c r="P8" s="194">
        <f t="shared" si="3"/>
        <v>0</v>
      </c>
    </row>
    <row r="9" spans="1:16" x14ac:dyDescent="0.3">
      <c r="A9" s="195"/>
      <c r="B9" s="196">
        <v>253473</v>
      </c>
      <c r="C9" s="196" t="s">
        <v>153</v>
      </c>
      <c r="D9" s="197">
        <v>5.1999999999999998E-3</v>
      </c>
      <c r="E9" s="193">
        <f>E$3*$D9</f>
        <v>0</v>
      </c>
      <c r="F9" s="193">
        <f t="shared" si="3"/>
        <v>10.4</v>
      </c>
      <c r="G9" s="193">
        <f t="shared" si="3"/>
        <v>10.4</v>
      </c>
      <c r="H9" s="193">
        <f t="shared" si="3"/>
        <v>10.4</v>
      </c>
      <c r="I9" s="193">
        <f t="shared" si="3"/>
        <v>0</v>
      </c>
      <c r="J9" s="193">
        <f t="shared" si="3"/>
        <v>0</v>
      </c>
      <c r="K9" s="193">
        <f t="shared" si="3"/>
        <v>0</v>
      </c>
      <c r="L9" s="193">
        <f t="shared" si="3"/>
        <v>0</v>
      </c>
      <c r="M9" s="193">
        <f t="shared" si="3"/>
        <v>0</v>
      </c>
      <c r="N9" s="193">
        <f t="shared" si="3"/>
        <v>0</v>
      </c>
      <c r="O9" s="193">
        <f t="shared" si="3"/>
        <v>0</v>
      </c>
      <c r="P9" s="194">
        <f t="shared" si="3"/>
        <v>0</v>
      </c>
    </row>
    <row r="10" spans="1:16" x14ac:dyDescent="0.3">
      <c r="A10" s="195"/>
      <c r="B10" s="196" t="s">
        <v>329</v>
      </c>
      <c r="C10" s="196" t="s">
        <v>154</v>
      </c>
      <c r="D10" s="197">
        <v>1.9199999999999998E-2</v>
      </c>
      <c r="E10" s="193">
        <f t="shared" si="2"/>
        <v>0</v>
      </c>
      <c r="F10" s="193">
        <f t="shared" si="3"/>
        <v>38.4</v>
      </c>
      <c r="G10" s="193">
        <f t="shared" si="3"/>
        <v>38.4</v>
      </c>
      <c r="H10" s="193">
        <f t="shared" si="3"/>
        <v>38.4</v>
      </c>
      <c r="I10" s="193">
        <f t="shared" si="3"/>
        <v>0</v>
      </c>
      <c r="J10" s="193">
        <f t="shared" si="3"/>
        <v>0</v>
      </c>
      <c r="K10" s="193">
        <f t="shared" si="3"/>
        <v>0</v>
      </c>
      <c r="L10" s="193">
        <f t="shared" si="3"/>
        <v>0</v>
      </c>
      <c r="M10" s="193">
        <f t="shared" si="3"/>
        <v>0</v>
      </c>
      <c r="N10" s="193">
        <f t="shared" si="3"/>
        <v>0</v>
      </c>
      <c r="O10" s="193">
        <f t="shared" si="3"/>
        <v>0</v>
      </c>
      <c r="P10" s="194">
        <f t="shared" si="3"/>
        <v>0</v>
      </c>
    </row>
    <row r="11" spans="1:16" x14ac:dyDescent="0.3">
      <c r="A11" s="195"/>
      <c r="B11" s="196" t="s">
        <v>330</v>
      </c>
      <c r="C11" s="196" t="s">
        <v>155</v>
      </c>
      <c r="D11" s="197">
        <v>0.02</v>
      </c>
      <c r="E11" s="193">
        <f t="shared" si="2"/>
        <v>0</v>
      </c>
      <c r="F11" s="193">
        <f t="shared" si="3"/>
        <v>40</v>
      </c>
      <c r="G11" s="193">
        <f t="shared" si="3"/>
        <v>40</v>
      </c>
      <c r="H11" s="193">
        <f t="shared" si="3"/>
        <v>40</v>
      </c>
      <c r="I11" s="193">
        <f t="shared" si="3"/>
        <v>0</v>
      </c>
      <c r="J11" s="193">
        <f t="shared" si="3"/>
        <v>0</v>
      </c>
      <c r="K11" s="193">
        <f t="shared" si="3"/>
        <v>0</v>
      </c>
      <c r="L11" s="193">
        <f t="shared" si="3"/>
        <v>0</v>
      </c>
      <c r="M11" s="193">
        <f t="shared" si="3"/>
        <v>0</v>
      </c>
      <c r="N11" s="193">
        <f t="shared" si="3"/>
        <v>0</v>
      </c>
      <c r="O11" s="193">
        <f t="shared" si="3"/>
        <v>0</v>
      </c>
      <c r="P11" s="194">
        <f t="shared" si="3"/>
        <v>0</v>
      </c>
    </row>
    <row r="12" spans="1:16" x14ac:dyDescent="0.3">
      <c r="A12" s="195"/>
      <c r="B12" s="196" t="s">
        <v>331</v>
      </c>
      <c r="C12" s="196" t="s">
        <v>156</v>
      </c>
      <c r="D12" s="197">
        <v>1.4E-2</v>
      </c>
      <c r="E12" s="193">
        <f t="shared" si="2"/>
        <v>0</v>
      </c>
      <c r="F12" s="193">
        <f t="shared" si="3"/>
        <v>28</v>
      </c>
      <c r="G12" s="193">
        <f t="shared" si="3"/>
        <v>28</v>
      </c>
      <c r="H12" s="193">
        <f t="shared" si="3"/>
        <v>28</v>
      </c>
      <c r="I12" s="193">
        <f t="shared" si="3"/>
        <v>0</v>
      </c>
      <c r="J12" s="193">
        <f t="shared" si="3"/>
        <v>0</v>
      </c>
      <c r="K12" s="193">
        <f t="shared" si="3"/>
        <v>0</v>
      </c>
      <c r="L12" s="193">
        <f t="shared" si="3"/>
        <v>0</v>
      </c>
      <c r="M12" s="193">
        <f t="shared" si="3"/>
        <v>0</v>
      </c>
      <c r="N12" s="193">
        <f t="shared" si="3"/>
        <v>0</v>
      </c>
      <c r="O12" s="193">
        <f t="shared" si="3"/>
        <v>0</v>
      </c>
      <c r="P12" s="194">
        <f t="shared" si="3"/>
        <v>0</v>
      </c>
    </row>
    <row r="13" spans="1:16" x14ac:dyDescent="0.3">
      <c r="A13" s="195"/>
      <c r="B13" s="196" t="s">
        <v>332</v>
      </c>
      <c r="C13" s="196" t="s">
        <v>157</v>
      </c>
      <c r="D13" s="197">
        <v>1.4E-2</v>
      </c>
      <c r="E13" s="193">
        <f t="shared" si="2"/>
        <v>0</v>
      </c>
      <c r="F13" s="193">
        <f t="shared" si="3"/>
        <v>28</v>
      </c>
      <c r="G13" s="193">
        <f t="shared" si="3"/>
        <v>28</v>
      </c>
      <c r="H13" s="193">
        <f t="shared" si="3"/>
        <v>28</v>
      </c>
      <c r="I13" s="193">
        <f t="shared" si="3"/>
        <v>0</v>
      </c>
      <c r="J13" s="193">
        <f t="shared" si="3"/>
        <v>0</v>
      </c>
      <c r="K13" s="193">
        <f t="shared" si="3"/>
        <v>0</v>
      </c>
      <c r="L13" s="193">
        <f t="shared" si="3"/>
        <v>0</v>
      </c>
      <c r="M13" s="193">
        <f t="shared" si="3"/>
        <v>0</v>
      </c>
      <c r="N13" s="193">
        <f t="shared" si="3"/>
        <v>0</v>
      </c>
      <c r="O13" s="193">
        <f t="shared" si="3"/>
        <v>0</v>
      </c>
      <c r="P13" s="194">
        <f t="shared" si="3"/>
        <v>0</v>
      </c>
    </row>
    <row r="14" spans="1:16" x14ac:dyDescent="0.3">
      <c r="A14" s="195"/>
      <c r="B14" s="196" t="s">
        <v>333</v>
      </c>
      <c r="C14" s="196" t="s">
        <v>158</v>
      </c>
      <c r="D14" s="197">
        <v>1.34E-2</v>
      </c>
      <c r="E14" s="193">
        <f t="shared" si="2"/>
        <v>0</v>
      </c>
      <c r="F14" s="193">
        <f t="shared" si="3"/>
        <v>26.8</v>
      </c>
      <c r="G14" s="193">
        <f t="shared" si="3"/>
        <v>26.8</v>
      </c>
      <c r="H14" s="193">
        <f t="shared" si="3"/>
        <v>26.8</v>
      </c>
      <c r="I14" s="193">
        <f t="shared" si="3"/>
        <v>0</v>
      </c>
      <c r="J14" s="193">
        <f t="shared" si="3"/>
        <v>0</v>
      </c>
      <c r="K14" s="193">
        <f t="shared" si="3"/>
        <v>0</v>
      </c>
      <c r="L14" s="193">
        <f t="shared" si="3"/>
        <v>0</v>
      </c>
      <c r="M14" s="193">
        <f t="shared" si="3"/>
        <v>0</v>
      </c>
      <c r="N14" s="193">
        <f t="shared" si="3"/>
        <v>0</v>
      </c>
      <c r="O14" s="193">
        <f t="shared" si="3"/>
        <v>0</v>
      </c>
      <c r="P14" s="194">
        <f t="shared" si="3"/>
        <v>0</v>
      </c>
    </row>
    <row r="15" spans="1:16" x14ac:dyDescent="0.3">
      <c r="A15" s="195"/>
      <c r="B15" s="196">
        <v>226699</v>
      </c>
      <c r="C15" s="196" t="s">
        <v>159</v>
      </c>
      <c r="D15" s="197">
        <v>1.4E-2</v>
      </c>
      <c r="E15" s="193">
        <f t="shared" si="2"/>
        <v>0</v>
      </c>
      <c r="F15" s="193">
        <f t="shared" si="3"/>
        <v>28</v>
      </c>
      <c r="G15" s="193">
        <f t="shared" si="3"/>
        <v>28</v>
      </c>
      <c r="H15" s="193">
        <f t="shared" si="3"/>
        <v>28</v>
      </c>
      <c r="I15" s="193">
        <f t="shared" si="3"/>
        <v>0</v>
      </c>
      <c r="J15" s="193">
        <f t="shared" si="3"/>
        <v>0</v>
      </c>
      <c r="K15" s="193">
        <f t="shared" si="3"/>
        <v>0</v>
      </c>
      <c r="L15" s="193">
        <f t="shared" si="3"/>
        <v>0</v>
      </c>
      <c r="M15" s="193">
        <f t="shared" si="3"/>
        <v>0</v>
      </c>
      <c r="N15" s="193">
        <f t="shared" si="3"/>
        <v>0</v>
      </c>
      <c r="O15" s="193">
        <f t="shared" si="3"/>
        <v>0</v>
      </c>
      <c r="P15" s="194">
        <f t="shared" si="3"/>
        <v>0</v>
      </c>
    </row>
    <row r="16" spans="1:16" x14ac:dyDescent="0.3">
      <c r="A16" s="195"/>
      <c r="B16" s="196" t="s">
        <v>334</v>
      </c>
      <c r="C16" s="196" t="s">
        <v>160</v>
      </c>
      <c r="D16" s="197">
        <v>1.0999999999999999E-2</v>
      </c>
      <c r="E16" s="193">
        <f t="shared" si="2"/>
        <v>0</v>
      </c>
      <c r="F16" s="193">
        <f t="shared" si="3"/>
        <v>22</v>
      </c>
      <c r="G16" s="193">
        <f t="shared" si="3"/>
        <v>22</v>
      </c>
      <c r="H16" s="193">
        <f t="shared" si="3"/>
        <v>22</v>
      </c>
      <c r="I16" s="193">
        <f t="shared" si="3"/>
        <v>0</v>
      </c>
      <c r="J16" s="193">
        <f t="shared" si="3"/>
        <v>0</v>
      </c>
      <c r="K16" s="193">
        <f t="shared" si="3"/>
        <v>0</v>
      </c>
      <c r="L16" s="193">
        <f t="shared" si="3"/>
        <v>0</v>
      </c>
      <c r="M16" s="193">
        <f t="shared" si="3"/>
        <v>0</v>
      </c>
      <c r="N16" s="193">
        <f t="shared" si="3"/>
        <v>0</v>
      </c>
      <c r="O16" s="193">
        <f t="shared" si="3"/>
        <v>0</v>
      </c>
      <c r="P16" s="194">
        <f t="shared" si="3"/>
        <v>0</v>
      </c>
    </row>
    <row r="17" spans="1:18" x14ac:dyDescent="0.3">
      <c r="A17" s="195"/>
      <c r="B17" s="196" t="s">
        <v>335</v>
      </c>
      <c r="C17" s="196" t="s">
        <v>161</v>
      </c>
      <c r="D17" s="197">
        <v>0.01</v>
      </c>
      <c r="E17" s="193">
        <f t="shared" si="2"/>
        <v>0</v>
      </c>
      <c r="F17" s="193">
        <f t="shared" si="3"/>
        <v>20</v>
      </c>
      <c r="G17" s="193">
        <f t="shared" si="3"/>
        <v>20</v>
      </c>
      <c r="H17" s="193">
        <f t="shared" si="3"/>
        <v>20</v>
      </c>
      <c r="I17" s="193">
        <f t="shared" si="3"/>
        <v>0</v>
      </c>
      <c r="J17" s="193">
        <f t="shared" si="3"/>
        <v>0</v>
      </c>
      <c r="K17" s="193">
        <f t="shared" si="3"/>
        <v>0</v>
      </c>
      <c r="L17" s="193">
        <f t="shared" si="3"/>
        <v>0</v>
      </c>
      <c r="M17" s="193">
        <f t="shared" si="3"/>
        <v>0</v>
      </c>
      <c r="N17" s="193">
        <f t="shared" si="3"/>
        <v>0</v>
      </c>
      <c r="O17" s="193">
        <f t="shared" si="3"/>
        <v>0</v>
      </c>
      <c r="P17" s="194">
        <f t="shared" si="3"/>
        <v>0</v>
      </c>
    </row>
    <row r="18" spans="1:18" x14ac:dyDescent="0.3">
      <c r="A18" s="195"/>
      <c r="B18" s="196" t="s">
        <v>336</v>
      </c>
      <c r="C18" s="196" t="s">
        <v>162</v>
      </c>
      <c r="D18" s="197">
        <v>0.01</v>
      </c>
      <c r="E18" s="193">
        <f t="shared" si="2"/>
        <v>0</v>
      </c>
      <c r="F18" s="193">
        <f t="shared" si="3"/>
        <v>20</v>
      </c>
      <c r="G18" s="193">
        <f t="shared" si="3"/>
        <v>20</v>
      </c>
      <c r="H18" s="193">
        <f t="shared" si="3"/>
        <v>20</v>
      </c>
      <c r="I18" s="193">
        <f t="shared" si="3"/>
        <v>0</v>
      </c>
      <c r="J18" s="193">
        <f t="shared" si="3"/>
        <v>0</v>
      </c>
      <c r="K18" s="193">
        <f t="shared" si="3"/>
        <v>0</v>
      </c>
      <c r="L18" s="193">
        <f t="shared" si="3"/>
        <v>0</v>
      </c>
      <c r="M18" s="193">
        <f t="shared" si="3"/>
        <v>0</v>
      </c>
      <c r="N18" s="193">
        <f t="shared" si="3"/>
        <v>0</v>
      </c>
      <c r="O18" s="193">
        <f t="shared" si="3"/>
        <v>0</v>
      </c>
      <c r="P18" s="194">
        <f t="shared" si="3"/>
        <v>0</v>
      </c>
    </row>
    <row r="19" spans="1:18" x14ac:dyDescent="0.3">
      <c r="A19" s="195"/>
      <c r="B19" s="196" t="s">
        <v>337</v>
      </c>
      <c r="C19" s="196" t="s">
        <v>163</v>
      </c>
      <c r="D19" s="197">
        <v>0.01</v>
      </c>
      <c r="E19" s="193">
        <f t="shared" si="2"/>
        <v>0</v>
      </c>
      <c r="F19" s="193">
        <f t="shared" si="3"/>
        <v>20</v>
      </c>
      <c r="G19" s="193">
        <f t="shared" si="3"/>
        <v>20</v>
      </c>
      <c r="H19" s="193">
        <f t="shared" si="3"/>
        <v>20</v>
      </c>
      <c r="I19" s="193">
        <f t="shared" si="3"/>
        <v>0</v>
      </c>
      <c r="J19" s="193">
        <f t="shared" si="3"/>
        <v>0</v>
      </c>
      <c r="K19" s="193">
        <f t="shared" si="3"/>
        <v>0</v>
      </c>
      <c r="L19" s="193">
        <f t="shared" si="3"/>
        <v>0</v>
      </c>
      <c r="M19" s="193">
        <f t="shared" si="3"/>
        <v>0</v>
      </c>
      <c r="N19" s="193">
        <f t="shared" si="3"/>
        <v>0</v>
      </c>
      <c r="O19" s="193">
        <f t="shared" si="3"/>
        <v>0</v>
      </c>
      <c r="P19" s="194">
        <f t="shared" si="3"/>
        <v>0</v>
      </c>
    </row>
    <row r="20" spans="1:18" x14ac:dyDescent="0.3">
      <c r="A20" s="195"/>
      <c r="B20" s="196" t="s">
        <v>338</v>
      </c>
      <c r="C20" s="196" t="s">
        <v>164</v>
      </c>
      <c r="D20" s="197">
        <v>7.0000000000000001E-3</v>
      </c>
      <c r="E20" s="193">
        <f t="shared" si="2"/>
        <v>0</v>
      </c>
      <c r="F20" s="193">
        <f t="shared" ref="F20:P20" si="4">F$3*$D20</f>
        <v>14</v>
      </c>
      <c r="G20" s="193">
        <f t="shared" si="4"/>
        <v>14</v>
      </c>
      <c r="H20" s="193">
        <f t="shared" si="4"/>
        <v>14</v>
      </c>
      <c r="I20" s="193">
        <f t="shared" si="4"/>
        <v>0</v>
      </c>
      <c r="J20" s="193">
        <f t="shared" si="4"/>
        <v>0</v>
      </c>
      <c r="K20" s="193">
        <f t="shared" si="4"/>
        <v>0</v>
      </c>
      <c r="L20" s="193">
        <f t="shared" si="4"/>
        <v>0</v>
      </c>
      <c r="M20" s="193">
        <f t="shared" si="4"/>
        <v>0</v>
      </c>
      <c r="N20" s="193">
        <f t="shared" si="4"/>
        <v>0</v>
      </c>
      <c r="O20" s="193">
        <f t="shared" si="4"/>
        <v>0</v>
      </c>
      <c r="P20" s="194">
        <f t="shared" si="4"/>
        <v>0</v>
      </c>
    </row>
    <row r="21" spans="1:18" x14ac:dyDescent="0.3">
      <c r="A21" s="195"/>
      <c r="B21" s="196" t="s">
        <v>339</v>
      </c>
      <c r="C21" s="196" t="s">
        <v>165</v>
      </c>
      <c r="D21" s="197">
        <v>8.9999999999999993E-3</v>
      </c>
      <c r="E21" s="193">
        <f t="shared" ref="E21:P26" si="5">E$3*$D21</f>
        <v>0</v>
      </c>
      <c r="F21" s="193">
        <f t="shared" si="5"/>
        <v>18</v>
      </c>
      <c r="G21" s="193">
        <f t="shared" si="5"/>
        <v>18</v>
      </c>
      <c r="H21" s="193">
        <f t="shared" si="5"/>
        <v>18</v>
      </c>
      <c r="I21" s="193">
        <f t="shared" si="5"/>
        <v>0</v>
      </c>
      <c r="J21" s="193">
        <f t="shared" si="5"/>
        <v>0</v>
      </c>
      <c r="K21" s="193">
        <f t="shared" si="5"/>
        <v>0</v>
      </c>
      <c r="L21" s="193">
        <f t="shared" si="5"/>
        <v>0</v>
      </c>
      <c r="M21" s="193">
        <f t="shared" si="5"/>
        <v>0</v>
      </c>
      <c r="N21" s="193">
        <f t="shared" si="5"/>
        <v>0</v>
      </c>
      <c r="O21" s="193">
        <f t="shared" si="5"/>
        <v>0</v>
      </c>
      <c r="P21" s="194">
        <f t="shared" si="5"/>
        <v>0</v>
      </c>
    </row>
    <row r="22" spans="1:18" x14ac:dyDescent="0.3">
      <c r="A22" s="195"/>
      <c r="B22" s="196">
        <v>229268</v>
      </c>
      <c r="C22" s="196" t="s">
        <v>166</v>
      </c>
      <c r="D22" s="197">
        <v>7.7999999999999996E-3</v>
      </c>
      <c r="E22" s="193">
        <f t="shared" si="5"/>
        <v>0</v>
      </c>
      <c r="F22" s="193">
        <f t="shared" si="5"/>
        <v>15.6</v>
      </c>
      <c r="G22" s="193">
        <f t="shared" si="5"/>
        <v>15.6</v>
      </c>
      <c r="H22" s="193">
        <f t="shared" si="5"/>
        <v>15.6</v>
      </c>
      <c r="I22" s="193">
        <f t="shared" si="5"/>
        <v>0</v>
      </c>
      <c r="J22" s="193">
        <f t="shared" si="5"/>
        <v>0</v>
      </c>
      <c r="K22" s="193">
        <f t="shared" si="5"/>
        <v>0</v>
      </c>
      <c r="L22" s="193">
        <f t="shared" si="5"/>
        <v>0</v>
      </c>
      <c r="M22" s="193">
        <f t="shared" si="5"/>
        <v>0</v>
      </c>
      <c r="N22" s="193">
        <f t="shared" si="5"/>
        <v>0</v>
      </c>
      <c r="O22" s="193">
        <f t="shared" si="5"/>
        <v>0</v>
      </c>
      <c r="P22" s="194">
        <f t="shared" si="5"/>
        <v>0</v>
      </c>
    </row>
    <row r="23" spans="1:18" x14ac:dyDescent="0.3">
      <c r="A23" s="195"/>
      <c r="B23" s="196" t="s">
        <v>340</v>
      </c>
      <c r="C23" s="196" t="s">
        <v>167</v>
      </c>
      <c r="D23" s="197">
        <v>3.0000000000000001E-3</v>
      </c>
      <c r="E23" s="193">
        <f t="shared" si="5"/>
        <v>0</v>
      </c>
      <c r="F23" s="193">
        <f t="shared" si="5"/>
        <v>6</v>
      </c>
      <c r="G23" s="193">
        <f t="shared" si="5"/>
        <v>6</v>
      </c>
      <c r="H23" s="193">
        <f t="shared" si="5"/>
        <v>6</v>
      </c>
      <c r="I23" s="193">
        <f t="shared" si="5"/>
        <v>0</v>
      </c>
      <c r="J23" s="193">
        <f t="shared" si="5"/>
        <v>0</v>
      </c>
      <c r="K23" s="193">
        <f t="shared" si="5"/>
        <v>0</v>
      </c>
      <c r="L23" s="193">
        <f t="shared" si="5"/>
        <v>0</v>
      </c>
      <c r="M23" s="193">
        <f t="shared" si="5"/>
        <v>0</v>
      </c>
      <c r="N23" s="193">
        <f t="shared" si="5"/>
        <v>0</v>
      </c>
      <c r="O23" s="193">
        <f t="shared" si="5"/>
        <v>0</v>
      </c>
      <c r="P23" s="194">
        <f t="shared" si="5"/>
        <v>0</v>
      </c>
      <c r="R23" s="193">
        <f>25/6</f>
        <v>4.166666666666667</v>
      </c>
    </row>
    <row r="24" spans="1:18" x14ac:dyDescent="0.3">
      <c r="A24" s="195"/>
      <c r="B24" s="196" t="s">
        <v>341</v>
      </c>
      <c r="C24" s="196" t="s">
        <v>168</v>
      </c>
      <c r="D24" s="197">
        <v>1.6999999999999999E-3</v>
      </c>
      <c r="E24" s="193">
        <f t="shared" si="5"/>
        <v>0</v>
      </c>
      <c r="F24" s="193">
        <f t="shared" si="5"/>
        <v>3.4</v>
      </c>
      <c r="G24" s="193">
        <f t="shared" si="5"/>
        <v>3.4</v>
      </c>
      <c r="H24" s="193">
        <f t="shared" si="5"/>
        <v>3.4</v>
      </c>
      <c r="I24" s="193">
        <f t="shared" si="5"/>
        <v>0</v>
      </c>
      <c r="J24" s="193">
        <f t="shared" si="5"/>
        <v>0</v>
      </c>
      <c r="K24" s="193">
        <f t="shared" si="5"/>
        <v>0</v>
      </c>
      <c r="L24" s="193">
        <f t="shared" si="5"/>
        <v>0</v>
      </c>
      <c r="M24" s="193">
        <f t="shared" si="5"/>
        <v>0</v>
      </c>
      <c r="N24" s="193">
        <f t="shared" si="5"/>
        <v>0</v>
      </c>
      <c r="O24" s="193">
        <f t="shared" si="5"/>
        <v>0</v>
      </c>
      <c r="P24" s="194">
        <f t="shared" si="5"/>
        <v>0</v>
      </c>
      <c r="R24" s="193"/>
    </row>
    <row r="25" spans="1:18" x14ac:dyDescent="0.3">
      <c r="A25" s="195"/>
      <c r="B25" s="213">
        <v>257311</v>
      </c>
      <c r="C25" s="213" t="s">
        <v>169</v>
      </c>
      <c r="D25" s="214">
        <v>4.0000000000000002E-4</v>
      </c>
      <c r="E25" s="193">
        <f t="shared" si="5"/>
        <v>0</v>
      </c>
      <c r="F25" s="193">
        <f t="shared" si="5"/>
        <v>0.8</v>
      </c>
      <c r="G25" s="193">
        <f t="shared" si="5"/>
        <v>0.8</v>
      </c>
      <c r="H25" s="193">
        <f t="shared" si="5"/>
        <v>0.8</v>
      </c>
      <c r="I25" s="193">
        <f t="shared" si="5"/>
        <v>0</v>
      </c>
      <c r="J25" s="193">
        <f t="shared" si="5"/>
        <v>0</v>
      </c>
      <c r="K25" s="193">
        <f t="shared" si="5"/>
        <v>0</v>
      </c>
      <c r="L25" s="193">
        <f t="shared" si="5"/>
        <v>0</v>
      </c>
      <c r="M25" s="193">
        <f t="shared" si="5"/>
        <v>0</v>
      </c>
      <c r="N25" s="193">
        <f t="shared" si="5"/>
        <v>0</v>
      </c>
      <c r="O25" s="193">
        <f t="shared" si="5"/>
        <v>0</v>
      </c>
      <c r="P25" s="194">
        <f t="shared" si="5"/>
        <v>0</v>
      </c>
    </row>
    <row r="26" spans="1:18" ht="17.25" thickBot="1" x14ac:dyDescent="0.35">
      <c r="A26" s="198"/>
      <c r="B26" s="199">
        <v>310902</v>
      </c>
      <c r="C26" s="199" t="s">
        <v>817</v>
      </c>
      <c r="D26" s="200">
        <v>1</v>
      </c>
      <c r="E26" s="201">
        <f t="shared" si="5"/>
        <v>0</v>
      </c>
      <c r="F26" s="201">
        <f t="shared" si="5"/>
        <v>2000</v>
      </c>
      <c r="G26" s="201">
        <f t="shared" si="5"/>
        <v>2000</v>
      </c>
      <c r="H26" s="201">
        <f t="shared" si="5"/>
        <v>2000</v>
      </c>
      <c r="I26" s="201">
        <f t="shared" si="5"/>
        <v>0</v>
      </c>
      <c r="J26" s="201">
        <f t="shared" si="5"/>
        <v>0</v>
      </c>
      <c r="K26" s="201">
        <f t="shared" si="5"/>
        <v>0</v>
      </c>
      <c r="L26" s="201">
        <f t="shared" si="5"/>
        <v>0</v>
      </c>
      <c r="M26" s="201">
        <f t="shared" si="5"/>
        <v>0</v>
      </c>
      <c r="N26" s="201">
        <f t="shared" si="5"/>
        <v>0</v>
      </c>
      <c r="O26" s="201">
        <f t="shared" si="5"/>
        <v>0</v>
      </c>
      <c r="P26" s="202">
        <f t="shared" si="5"/>
        <v>0</v>
      </c>
    </row>
    <row r="27" spans="1:18" ht="17.25" thickBot="1" x14ac:dyDescent="0.35">
      <c r="A27" s="185">
        <v>314433</v>
      </c>
      <c r="B27" s="186"/>
      <c r="C27" s="187" t="s">
        <v>170</v>
      </c>
      <c r="D27" s="188">
        <f>SUM(D28:D46)</f>
        <v>1</v>
      </c>
      <c r="E27" s="189">
        <f>IFERROR(VLOOKUP($A27,완제품!$B:$CP,E$1,FALSE),0)</f>
        <v>0</v>
      </c>
      <c r="F27" s="189">
        <f>IFERROR(VLOOKUP($A27,완제품!$B:$CP,F$1,FALSE),0)</f>
        <v>0</v>
      </c>
      <c r="G27" s="189">
        <f>IFERROR(VLOOKUP($A27,완제품!$B:$CP,G$1,FALSE),0)</f>
        <v>0</v>
      </c>
      <c r="H27" s="189">
        <f>IFERROR(VLOOKUP($A27,완제품!$B:$CP,H$1,FALSE),0)</f>
        <v>1500</v>
      </c>
      <c r="I27" s="189">
        <f>IFERROR(VLOOKUP($A27,완제품!$B:$CP,I$1,FALSE),0)</f>
        <v>0</v>
      </c>
      <c r="J27" s="189">
        <f>IFERROR(VLOOKUP($A27,완제품!$B:$CP,J$1,FALSE),0)</f>
        <v>0</v>
      </c>
      <c r="K27" s="189">
        <f>IFERROR(VLOOKUP($A27,완제품!$B:$CP,K$1,FALSE),0)</f>
        <v>0</v>
      </c>
      <c r="L27" s="189">
        <f>IFERROR(VLOOKUP($A27,완제품!$B:$CP,L$1,FALSE),0)</f>
        <v>0</v>
      </c>
      <c r="M27" s="189">
        <f>IFERROR(VLOOKUP($A27,완제품!$B:$CP,M$1,FALSE),0)</f>
        <v>0</v>
      </c>
      <c r="N27" s="189">
        <f>IFERROR(VLOOKUP($A27,완제품!$B:$CP,N$1,FALSE),0)</f>
        <v>0</v>
      </c>
      <c r="O27" s="189">
        <f>IFERROR(VLOOKUP($A27,완제품!$B:$CP,O$1,FALSE),0)</f>
        <v>0</v>
      </c>
      <c r="P27" s="189">
        <f>IFERROR(VLOOKUP($A27,완제품!$B:$CP,P$1,FALSE),0)</f>
        <v>0</v>
      </c>
    </row>
    <row r="28" spans="1:18" x14ac:dyDescent="0.3">
      <c r="A28" s="190"/>
      <c r="B28" s="191" t="s">
        <v>325</v>
      </c>
      <c r="C28" s="191" t="s">
        <v>171</v>
      </c>
      <c r="D28" s="192">
        <v>0.124</v>
      </c>
      <c r="E28" s="193">
        <f t="shared" ref="E28:E44" si="6">E$27*$D28</f>
        <v>0</v>
      </c>
      <c r="F28" s="193">
        <f t="shared" ref="F28:P43" si="7">F$27*$D28</f>
        <v>0</v>
      </c>
      <c r="G28" s="193">
        <f t="shared" si="7"/>
        <v>0</v>
      </c>
      <c r="H28" s="193">
        <f t="shared" si="7"/>
        <v>186</v>
      </c>
      <c r="I28" s="193">
        <f t="shared" si="7"/>
        <v>0</v>
      </c>
      <c r="J28" s="193">
        <f t="shared" si="7"/>
        <v>0</v>
      </c>
      <c r="K28" s="193">
        <f t="shared" si="7"/>
        <v>0</v>
      </c>
      <c r="L28" s="193">
        <f t="shared" si="7"/>
        <v>0</v>
      </c>
      <c r="M28" s="193">
        <f t="shared" si="7"/>
        <v>0</v>
      </c>
      <c r="N28" s="193">
        <f t="shared" si="7"/>
        <v>0</v>
      </c>
      <c r="O28" s="193">
        <f t="shared" si="7"/>
        <v>0</v>
      </c>
      <c r="P28" s="194">
        <f t="shared" si="7"/>
        <v>0</v>
      </c>
    </row>
    <row r="29" spans="1:18" x14ac:dyDescent="0.3">
      <c r="A29" s="195"/>
      <c r="B29" s="196" t="s">
        <v>342</v>
      </c>
      <c r="C29" s="196" t="s">
        <v>172</v>
      </c>
      <c r="D29" s="197">
        <v>0.124</v>
      </c>
      <c r="E29" s="193">
        <f t="shared" si="6"/>
        <v>0</v>
      </c>
      <c r="F29" s="193">
        <f t="shared" si="7"/>
        <v>0</v>
      </c>
      <c r="G29" s="193">
        <f t="shared" si="7"/>
        <v>0</v>
      </c>
      <c r="H29" s="193">
        <f t="shared" si="7"/>
        <v>186</v>
      </c>
      <c r="I29" s="193">
        <f t="shared" si="7"/>
        <v>0</v>
      </c>
      <c r="J29" s="193">
        <f t="shared" si="7"/>
        <v>0</v>
      </c>
      <c r="K29" s="193">
        <f t="shared" si="7"/>
        <v>0</v>
      </c>
      <c r="L29" s="193">
        <f t="shared" si="7"/>
        <v>0</v>
      </c>
      <c r="M29" s="193">
        <f t="shared" si="7"/>
        <v>0</v>
      </c>
      <c r="N29" s="193">
        <f t="shared" si="7"/>
        <v>0</v>
      </c>
      <c r="O29" s="193">
        <f t="shared" si="7"/>
        <v>0</v>
      </c>
      <c r="P29" s="194">
        <f t="shared" si="7"/>
        <v>0</v>
      </c>
    </row>
    <row r="30" spans="1:18" x14ac:dyDescent="0.3">
      <c r="A30" s="195"/>
      <c r="B30" s="196" t="s">
        <v>326</v>
      </c>
      <c r="C30" s="196" t="s">
        <v>173</v>
      </c>
      <c r="D30" s="197">
        <v>0.24</v>
      </c>
      <c r="E30" s="193">
        <f t="shared" si="6"/>
        <v>0</v>
      </c>
      <c r="F30" s="193">
        <f t="shared" si="7"/>
        <v>0</v>
      </c>
      <c r="G30" s="193">
        <f t="shared" si="7"/>
        <v>0</v>
      </c>
      <c r="H30" s="193">
        <f t="shared" si="7"/>
        <v>360</v>
      </c>
      <c r="I30" s="193">
        <f t="shared" si="7"/>
        <v>0</v>
      </c>
      <c r="J30" s="193">
        <f t="shared" si="7"/>
        <v>0</v>
      </c>
      <c r="K30" s="193">
        <f t="shared" si="7"/>
        <v>0</v>
      </c>
      <c r="L30" s="193">
        <f t="shared" si="7"/>
        <v>0</v>
      </c>
      <c r="M30" s="193">
        <f t="shared" si="7"/>
        <v>0</v>
      </c>
      <c r="N30" s="193">
        <f t="shared" si="7"/>
        <v>0</v>
      </c>
      <c r="O30" s="193">
        <f t="shared" si="7"/>
        <v>0</v>
      </c>
      <c r="P30" s="194">
        <f t="shared" si="7"/>
        <v>0</v>
      </c>
    </row>
    <row r="31" spans="1:18" x14ac:dyDescent="0.3">
      <c r="A31" s="195"/>
      <c r="B31" s="196" t="s">
        <v>325</v>
      </c>
      <c r="C31" s="196" t="s">
        <v>171</v>
      </c>
      <c r="D31" s="197">
        <v>0.1711</v>
      </c>
      <c r="E31" s="193">
        <f t="shared" si="6"/>
        <v>0</v>
      </c>
      <c r="F31" s="193">
        <f t="shared" si="7"/>
        <v>0</v>
      </c>
      <c r="G31" s="193">
        <f t="shared" si="7"/>
        <v>0</v>
      </c>
      <c r="H31" s="193">
        <f t="shared" si="7"/>
        <v>256.64999999999998</v>
      </c>
      <c r="I31" s="193">
        <f t="shared" si="7"/>
        <v>0</v>
      </c>
      <c r="J31" s="193">
        <f t="shared" si="7"/>
        <v>0</v>
      </c>
      <c r="K31" s="193">
        <f t="shared" si="7"/>
        <v>0</v>
      </c>
      <c r="L31" s="193">
        <f t="shared" si="7"/>
        <v>0</v>
      </c>
      <c r="M31" s="193">
        <f t="shared" si="7"/>
        <v>0</v>
      </c>
      <c r="N31" s="193">
        <f t="shared" si="7"/>
        <v>0</v>
      </c>
      <c r="O31" s="193">
        <f t="shared" si="7"/>
        <v>0</v>
      </c>
      <c r="P31" s="194">
        <f t="shared" si="7"/>
        <v>0</v>
      </c>
    </row>
    <row r="32" spans="1:18" x14ac:dyDescent="0.3">
      <c r="A32" s="195"/>
      <c r="B32" s="196" t="s">
        <v>330</v>
      </c>
      <c r="C32" s="196" t="s">
        <v>174</v>
      </c>
      <c r="D32" s="197">
        <v>2.8000000000000001E-2</v>
      </c>
      <c r="E32" s="193">
        <f t="shared" si="6"/>
        <v>0</v>
      </c>
      <c r="F32" s="193">
        <f t="shared" si="7"/>
        <v>0</v>
      </c>
      <c r="G32" s="193">
        <f t="shared" si="7"/>
        <v>0</v>
      </c>
      <c r="H32" s="193">
        <f t="shared" si="7"/>
        <v>42</v>
      </c>
      <c r="I32" s="193">
        <f t="shared" si="7"/>
        <v>0</v>
      </c>
      <c r="J32" s="193">
        <f t="shared" si="7"/>
        <v>0</v>
      </c>
      <c r="K32" s="193">
        <f t="shared" si="7"/>
        <v>0</v>
      </c>
      <c r="L32" s="193">
        <f t="shared" si="7"/>
        <v>0</v>
      </c>
      <c r="M32" s="193">
        <f t="shared" si="7"/>
        <v>0</v>
      </c>
      <c r="N32" s="193">
        <f t="shared" si="7"/>
        <v>0</v>
      </c>
      <c r="O32" s="193">
        <f t="shared" si="7"/>
        <v>0</v>
      </c>
      <c r="P32" s="194">
        <f t="shared" si="7"/>
        <v>0</v>
      </c>
    </row>
    <row r="33" spans="1:16" x14ac:dyDescent="0.3">
      <c r="A33" s="195"/>
      <c r="B33" s="196" t="s">
        <v>343</v>
      </c>
      <c r="C33" s="196" t="s">
        <v>175</v>
      </c>
      <c r="D33" s="197">
        <v>1.9E-2</v>
      </c>
      <c r="E33" s="193">
        <f t="shared" si="6"/>
        <v>0</v>
      </c>
      <c r="F33" s="193">
        <f t="shared" si="7"/>
        <v>0</v>
      </c>
      <c r="G33" s="193">
        <f t="shared" si="7"/>
        <v>0</v>
      </c>
      <c r="H33" s="193">
        <f t="shared" si="7"/>
        <v>28.5</v>
      </c>
      <c r="I33" s="193">
        <f t="shared" si="7"/>
        <v>0</v>
      </c>
      <c r="J33" s="193">
        <f t="shared" si="7"/>
        <v>0</v>
      </c>
      <c r="K33" s="193">
        <f t="shared" si="7"/>
        <v>0</v>
      </c>
      <c r="L33" s="193">
        <f t="shared" si="7"/>
        <v>0</v>
      </c>
      <c r="M33" s="193">
        <f t="shared" si="7"/>
        <v>0</v>
      </c>
      <c r="N33" s="193">
        <f t="shared" si="7"/>
        <v>0</v>
      </c>
      <c r="O33" s="193">
        <f t="shared" si="7"/>
        <v>0</v>
      </c>
      <c r="P33" s="194">
        <f t="shared" si="7"/>
        <v>0</v>
      </c>
    </row>
    <row r="34" spans="1:16" x14ac:dyDescent="0.3">
      <c r="A34" s="195"/>
      <c r="B34" s="196" t="s">
        <v>331</v>
      </c>
      <c r="C34" s="196" t="s">
        <v>176</v>
      </c>
      <c r="D34" s="197">
        <v>1.4999999999999999E-2</v>
      </c>
      <c r="E34" s="193">
        <f t="shared" si="6"/>
        <v>0</v>
      </c>
      <c r="F34" s="193">
        <f t="shared" si="7"/>
        <v>0</v>
      </c>
      <c r="G34" s="193">
        <f t="shared" si="7"/>
        <v>0</v>
      </c>
      <c r="H34" s="193">
        <f t="shared" si="7"/>
        <v>22.5</v>
      </c>
      <c r="I34" s="193">
        <f t="shared" si="7"/>
        <v>0</v>
      </c>
      <c r="J34" s="193">
        <f t="shared" si="7"/>
        <v>0</v>
      </c>
      <c r="K34" s="193">
        <f t="shared" si="7"/>
        <v>0</v>
      </c>
      <c r="L34" s="193">
        <f t="shared" si="7"/>
        <v>0</v>
      </c>
      <c r="M34" s="193">
        <f t="shared" si="7"/>
        <v>0</v>
      </c>
      <c r="N34" s="193">
        <f t="shared" si="7"/>
        <v>0</v>
      </c>
      <c r="O34" s="193">
        <f t="shared" si="7"/>
        <v>0</v>
      </c>
      <c r="P34" s="194">
        <f t="shared" si="7"/>
        <v>0</v>
      </c>
    </row>
    <row r="35" spans="1:16" x14ac:dyDescent="0.3">
      <c r="A35" s="195"/>
      <c r="B35" s="196" t="s">
        <v>337</v>
      </c>
      <c r="C35" s="196" t="s">
        <v>177</v>
      </c>
      <c r="D35" s="197">
        <v>1.2999999999999999E-2</v>
      </c>
      <c r="E35" s="193">
        <f t="shared" si="6"/>
        <v>0</v>
      </c>
      <c r="F35" s="193">
        <f t="shared" si="7"/>
        <v>0</v>
      </c>
      <c r="G35" s="193">
        <f t="shared" si="7"/>
        <v>0</v>
      </c>
      <c r="H35" s="193">
        <f t="shared" si="7"/>
        <v>19.5</v>
      </c>
      <c r="I35" s="193">
        <f t="shared" si="7"/>
        <v>0</v>
      </c>
      <c r="J35" s="193">
        <f t="shared" si="7"/>
        <v>0</v>
      </c>
      <c r="K35" s="193">
        <f t="shared" si="7"/>
        <v>0</v>
      </c>
      <c r="L35" s="193">
        <f t="shared" si="7"/>
        <v>0</v>
      </c>
      <c r="M35" s="193">
        <f t="shared" si="7"/>
        <v>0</v>
      </c>
      <c r="N35" s="193">
        <f t="shared" si="7"/>
        <v>0</v>
      </c>
      <c r="O35" s="193">
        <f t="shared" si="7"/>
        <v>0</v>
      </c>
      <c r="P35" s="194">
        <f t="shared" si="7"/>
        <v>0</v>
      </c>
    </row>
    <row r="36" spans="1:16" x14ac:dyDescent="0.3">
      <c r="A36" s="195"/>
      <c r="B36" s="196" t="s">
        <v>344</v>
      </c>
      <c r="C36" s="196" t="s">
        <v>178</v>
      </c>
      <c r="D36" s="197">
        <v>1.0999999999999999E-2</v>
      </c>
      <c r="E36" s="193">
        <f t="shared" si="6"/>
        <v>0</v>
      </c>
      <c r="F36" s="193">
        <f t="shared" si="7"/>
        <v>0</v>
      </c>
      <c r="G36" s="193">
        <f t="shared" si="7"/>
        <v>0</v>
      </c>
      <c r="H36" s="193">
        <f t="shared" si="7"/>
        <v>16.5</v>
      </c>
      <c r="I36" s="193">
        <f t="shared" si="7"/>
        <v>0</v>
      </c>
      <c r="J36" s="193">
        <f t="shared" si="7"/>
        <v>0</v>
      </c>
      <c r="K36" s="193">
        <f t="shared" si="7"/>
        <v>0</v>
      </c>
      <c r="L36" s="193">
        <f t="shared" si="7"/>
        <v>0</v>
      </c>
      <c r="M36" s="193">
        <f t="shared" si="7"/>
        <v>0</v>
      </c>
      <c r="N36" s="193">
        <f t="shared" si="7"/>
        <v>0</v>
      </c>
      <c r="O36" s="193">
        <f t="shared" si="7"/>
        <v>0</v>
      </c>
      <c r="P36" s="194">
        <f t="shared" si="7"/>
        <v>0</v>
      </c>
    </row>
    <row r="37" spans="1:16" x14ac:dyDescent="0.3">
      <c r="A37" s="195"/>
      <c r="B37" s="196" t="s">
        <v>345</v>
      </c>
      <c r="C37" s="196" t="s">
        <v>179</v>
      </c>
      <c r="D37" s="197">
        <v>5.0000000000000001E-3</v>
      </c>
      <c r="E37" s="193">
        <f t="shared" si="6"/>
        <v>0</v>
      </c>
      <c r="F37" s="193">
        <f t="shared" si="7"/>
        <v>0</v>
      </c>
      <c r="G37" s="193">
        <f t="shared" si="7"/>
        <v>0</v>
      </c>
      <c r="H37" s="193">
        <f t="shared" si="7"/>
        <v>7.5</v>
      </c>
      <c r="I37" s="193">
        <f t="shared" si="7"/>
        <v>0</v>
      </c>
      <c r="J37" s="193">
        <f t="shared" si="7"/>
        <v>0</v>
      </c>
      <c r="K37" s="193">
        <f t="shared" si="7"/>
        <v>0</v>
      </c>
      <c r="L37" s="193">
        <f t="shared" si="7"/>
        <v>0</v>
      </c>
      <c r="M37" s="193">
        <f t="shared" si="7"/>
        <v>0</v>
      </c>
      <c r="N37" s="193">
        <f t="shared" si="7"/>
        <v>0</v>
      </c>
      <c r="O37" s="193">
        <f t="shared" si="7"/>
        <v>0</v>
      </c>
      <c r="P37" s="194">
        <f t="shared" si="7"/>
        <v>0</v>
      </c>
    </row>
    <row r="38" spans="1:16" x14ac:dyDescent="0.3">
      <c r="A38" s="195"/>
      <c r="B38" s="196" t="s">
        <v>346</v>
      </c>
      <c r="C38" s="196" t="s">
        <v>180</v>
      </c>
      <c r="D38" s="197">
        <v>4.0000000000000001E-3</v>
      </c>
      <c r="E38" s="193">
        <f t="shared" si="6"/>
        <v>0</v>
      </c>
      <c r="F38" s="193">
        <f t="shared" si="7"/>
        <v>0</v>
      </c>
      <c r="G38" s="193">
        <f t="shared" si="7"/>
        <v>0</v>
      </c>
      <c r="H38" s="193">
        <f t="shared" si="7"/>
        <v>6</v>
      </c>
      <c r="I38" s="193">
        <f t="shared" si="7"/>
        <v>0</v>
      </c>
      <c r="J38" s="193">
        <f t="shared" si="7"/>
        <v>0</v>
      </c>
      <c r="K38" s="193">
        <f t="shared" si="7"/>
        <v>0</v>
      </c>
      <c r="L38" s="193">
        <f t="shared" si="7"/>
        <v>0</v>
      </c>
      <c r="M38" s="193">
        <f t="shared" si="7"/>
        <v>0</v>
      </c>
      <c r="N38" s="193">
        <f t="shared" si="7"/>
        <v>0</v>
      </c>
      <c r="O38" s="193">
        <f t="shared" si="7"/>
        <v>0</v>
      </c>
      <c r="P38" s="194">
        <f t="shared" si="7"/>
        <v>0</v>
      </c>
    </row>
    <row r="39" spans="1:16" x14ac:dyDescent="0.3">
      <c r="A39" s="195"/>
      <c r="B39" s="196" t="s">
        <v>347</v>
      </c>
      <c r="C39" s="196" t="s">
        <v>181</v>
      </c>
      <c r="D39" s="197">
        <v>3.5000000000000001E-3</v>
      </c>
      <c r="E39" s="193">
        <f t="shared" si="6"/>
        <v>0</v>
      </c>
      <c r="F39" s="193">
        <f t="shared" si="7"/>
        <v>0</v>
      </c>
      <c r="G39" s="193">
        <f t="shared" si="7"/>
        <v>0</v>
      </c>
      <c r="H39" s="193">
        <f t="shared" si="7"/>
        <v>5.25</v>
      </c>
      <c r="I39" s="193">
        <f t="shared" si="7"/>
        <v>0</v>
      </c>
      <c r="J39" s="193">
        <f t="shared" si="7"/>
        <v>0</v>
      </c>
      <c r="K39" s="193">
        <f t="shared" si="7"/>
        <v>0</v>
      </c>
      <c r="L39" s="193">
        <f t="shared" si="7"/>
        <v>0</v>
      </c>
      <c r="M39" s="193">
        <f t="shared" si="7"/>
        <v>0</v>
      </c>
      <c r="N39" s="193">
        <f t="shared" si="7"/>
        <v>0</v>
      </c>
      <c r="O39" s="193">
        <f t="shared" si="7"/>
        <v>0</v>
      </c>
      <c r="P39" s="194">
        <f t="shared" si="7"/>
        <v>0</v>
      </c>
    </row>
    <row r="40" spans="1:16" x14ac:dyDescent="0.3">
      <c r="A40" s="195"/>
      <c r="B40" s="196" t="s">
        <v>348</v>
      </c>
      <c r="C40" s="196" t="s">
        <v>182</v>
      </c>
      <c r="D40" s="197">
        <v>3.5000000000000001E-3</v>
      </c>
      <c r="E40" s="193">
        <f t="shared" si="6"/>
        <v>0</v>
      </c>
      <c r="F40" s="193">
        <f t="shared" si="7"/>
        <v>0</v>
      </c>
      <c r="G40" s="193">
        <f t="shared" si="7"/>
        <v>0</v>
      </c>
      <c r="H40" s="193">
        <f t="shared" si="7"/>
        <v>5.25</v>
      </c>
      <c r="I40" s="193">
        <f t="shared" si="7"/>
        <v>0</v>
      </c>
      <c r="J40" s="193">
        <f t="shared" si="7"/>
        <v>0</v>
      </c>
      <c r="K40" s="193">
        <f t="shared" si="7"/>
        <v>0</v>
      </c>
      <c r="L40" s="193">
        <f t="shared" si="7"/>
        <v>0</v>
      </c>
      <c r="M40" s="193">
        <f t="shared" si="7"/>
        <v>0</v>
      </c>
      <c r="N40" s="193">
        <f t="shared" si="7"/>
        <v>0</v>
      </c>
      <c r="O40" s="193">
        <f t="shared" si="7"/>
        <v>0</v>
      </c>
      <c r="P40" s="194">
        <f t="shared" si="7"/>
        <v>0</v>
      </c>
    </row>
    <row r="41" spans="1:16" x14ac:dyDescent="0.3">
      <c r="A41" s="195"/>
      <c r="B41" s="196" t="s">
        <v>349</v>
      </c>
      <c r="C41" s="196" t="s">
        <v>183</v>
      </c>
      <c r="D41" s="197">
        <v>3.0000000000000001E-3</v>
      </c>
      <c r="E41" s="193">
        <f t="shared" si="6"/>
        <v>0</v>
      </c>
      <c r="F41" s="193">
        <f t="shared" si="7"/>
        <v>0</v>
      </c>
      <c r="G41" s="193">
        <f t="shared" si="7"/>
        <v>0</v>
      </c>
      <c r="H41" s="193">
        <f t="shared" si="7"/>
        <v>4.5</v>
      </c>
      <c r="I41" s="193">
        <f t="shared" si="7"/>
        <v>0</v>
      </c>
      <c r="J41" s="193">
        <f t="shared" si="7"/>
        <v>0</v>
      </c>
      <c r="K41" s="193">
        <f t="shared" si="7"/>
        <v>0</v>
      </c>
      <c r="L41" s="193">
        <f t="shared" si="7"/>
        <v>0</v>
      </c>
      <c r="M41" s="193">
        <f t="shared" si="7"/>
        <v>0</v>
      </c>
      <c r="N41" s="193">
        <f t="shared" si="7"/>
        <v>0</v>
      </c>
      <c r="O41" s="193">
        <f t="shared" si="7"/>
        <v>0</v>
      </c>
      <c r="P41" s="194">
        <f t="shared" si="7"/>
        <v>0</v>
      </c>
    </row>
    <row r="42" spans="1:16" x14ac:dyDescent="0.3">
      <c r="A42" s="195"/>
      <c r="B42" s="196" t="s">
        <v>350</v>
      </c>
      <c r="C42" s="196" t="s">
        <v>184</v>
      </c>
      <c r="D42" s="197">
        <v>3.0000000000000001E-3</v>
      </c>
      <c r="E42" s="193">
        <f t="shared" si="6"/>
        <v>0</v>
      </c>
      <c r="F42" s="193">
        <f t="shared" si="7"/>
        <v>0</v>
      </c>
      <c r="G42" s="193">
        <f t="shared" si="7"/>
        <v>0</v>
      </c>
      <c r="H42" s="193">
        <f t="shared" si="7"/>
        <v>4.5</v>
      </c>
      <c r="I42" s="193">
        <f t="shared" si="7"/>
        <v>0</v>
      </c>
      <c r="J42" s="193">
        <f t="shared" si="7"/>
        <v>0</v>
      </c>
      <c r="K42" s="193">
        <f t="shared" si="7"/>
        <v>0</v>
      </c>
      <c r="L42" s="193">
        <f t="shared" si="7"/>
        <v>0</v>
      </c>
      <c r="M42" s="193">
        <f t="shared" si="7"/>
        <v>0</v>
      </c>
      <c r="N42" s="193">
        <f t="shared" si="7"/>
        <v>0</v>
      </c>
      <c r="O42" s="193">
        <f t="shared" si="7"/>
        <v>0</v>
      </c>
      <c r="P42" s="194">
        <f t="shared" si="7"/>
        <v>0</v>
      </c>
    </row>
    <row r="43" spans="1:16" x14ac:dyDescent="0.3">
      <c r="A43" s="195"/>
      <c r="B43" s="196" t="s">
        <v>351</v>
      </c>
      <c r="C43" s="196" t="s">
        <v>185</v>
      </c>
      <c r="D43" s="197">
        <v>1.1000000000000001E-3</v>
      </c>
      <c r="E43" s="193">
        <f t="shared" si="6"/>
        <v>0</v>
      </c>
      <c r="F43" s="193">
        <f t="shared" si="7"/>
        <v>0</v>
      </c>
      <c r="G43" s="193">
        <f t="shared" si="7"/>
        <v>0</v>
      </c>
      <c r="H43" s="193">
        <f t="shared" si="7"/>
        <v>1.6500000000000001</v>
      </c>
      <c r="I43" s="193">
        <f t="shared" si="7"/>
        <v>0</v>
      </c>
      <c r="J43" s="193">
        <f t="shared" si="7"/>
        <v>0</v>
      </c>
      <c r="K43" s="193">
        <f t="shared" si="7"/>
        <v>0</v>
      </c>
      <c r="L43" s="193">
        <f t="shared" si="7"/>
        <v>0</v>
      </c>
      <c r="M43" s="193">
        <f t="shared" si="7"/>
        <v>0</v>
      </c>
      <c r="N43" s="193">
        <f t="shared" si="7"/>
        <v>0</v>
      </c>
      <c r="O43" s="193">
        <f t="shared" si="7"/>
        <v>0</v>
      </c>
      <c r="P43" s="194">
        <f t="shared" si="7"/>
        <v>0</v>
      </c>
    </row>
    <row r="44" spans="1:16" x14ac:dyDescent="0.3">
      <c r="A44" s="195"/>
      <c r="B44" s="196" t="s">
        <v>352</v>
      </c>
      <c r="C44" s="196" t="s">
        <v>186</v>
      </c>
      <c r="D44" s="197">
        <v>8.9999999999999998E-4</v>
      </c>
      <c r="E44" s="193">
        <f t="shared" si="6"/>
        <v>0</v>
      </c>
      <c r="F44" s="193">
        <f t="shared" ref="F44:P44" si="8">F$27*$D44</f>
        <v>0</v>
      </c>
      <c r="G44" s="193">
        <f t="shared" si="8"/>
        <v>0</v>
      </c>
      <c r="H44" s="193">
        <f t="shared" si="8"/>
        <v>1.3499999999999999</v>
      </c>
      <c r="I44" s="193">
        <f t="shared" si="8"/>
        <v>0</v>
      </c>
      <c r="J44" s="193">
        <f t="shared" si="8"/>
        <v>0</v>
      </c>
      <c r="K44" s="193">
        <f t="shared" si="8"/>
        <v>0</v>
      </c>
      <c r="L44" s="193">
        <f t="shared" si="8"/>
        <v>0</v>
      </c>
      <c r="M44" s="193">
        <f t="shared" si="8"/>
        <v>0</v>
      </c>
      <c r="N44" s="193">
        <f t="shared" si="8"/>
        <v>0</v>
      </c>
      <c r="O44" s="193">
        <f t="shared" si="8"/>
        <v>0</v>
      </c>
      <c r="P44" s="194">
        <f t="shared" si="8"/>
        <v>0</v>
      </c>
    </row>
    <row r="45" spans="1:16" x14ac:dyDescent="0.3">
      <c r="A45" s="195"/>
      <c r="B45" s="196" t="s">
        <v>353</v>
      </c>
      <c r="C45" s="196" t="s">
        <v>187</v>
      </c>
      <c r="D45" s="197">
        <v>8.9999999999999998E-4</v>
      </c>
      <c r="E45" s="193">
        <f t="shared" ref="E45:P46" si="9">E$27*$D45</f>
        <v>0</v>
      </c>
      <c r="F45" s="193">
        <f t="shared" si="9"/>
        <v>0</v>
      </c>
      <c r="G45" s="193">
        <f t="shared" si="9"/>
        <v>0</v>
      </c>
      <c r="H45" s="193">
        <f t="shared" si="9"/>
        <v>1.3499999999999999</v>
      </c>
      <c r="I45" s="193">
        <f t="shared" si="9"/>
        <v>0</v>
      </c>
      <c r="J45" s="193">
        <f t="shared" si="9"/>
        <v>0</v>
      </c>
      <c r="K45" s="193">
        <f t="shared" si="9"/>
        <v>0</v>
      </c>
      <c r="L45" s="193">
        <f t="shared" si="9"/>
        <v>0</v>
      </c>
      <c r="M45" s="193">
        <f t="shared" si="9"/>
        <v>0</v>
      </c>
      <c r="N45" s="193">
        <f t="shared" si="9"/>
        <v>0</v>
      </c>
      <c r="O45" s="193">
        <f t="shared" si="9"/>
        <v>0</v>
      </c>
      <c r="P45" s="194">
        <f t="shared" si="9"/>
        <v>0</v>
      </c>
    </row>
    <row r="46" spans="1:16" ht="17.25" thickBot="1" x14ac:dyDescent="0.35">
      <c r="A46" s="198"/>
      <c r="B46" s="199">
        <v>241738</v>
      </c>
      <c r="C46" s="199" t="s">
        <v>188</v>
      </c>
      <c r="D46" s="200">
        <v>0.23</v>
      </c>
      <c r="E46" s="201">
        <f t="shared" si="9"/>
        <v>0</v>
      </c>
      <c r="F46" s="201">
        <f t="shared" si="9"/>
        <v>0</v>
      </c>
      <c r="G46" s="201">
        <f t="shared" si="9"/>
        <v>0</v>
      </c>
      <c r="H46" s="201">
        <f t="shared" si="9"/>
        <v>345</v>
      </c>
      <c r="I46" s="201">
        <f t="shared" si="9"/>
        <v>0</v>
      </c>
      <c r="J46" s="201">
        <f t="shared" si="9"/>
        <v>0</v>
      </c>
      <c r="K46" s="201">
        <f t="shared" si="9"/>
        <v>0</v>
      </c>
      <c r="L46" s="201">
        <f t="shared" si="9"/>
        <v>0</v>
      </c>
      <c r="M46" s="201">
        <f t="shared" si="9"/>
        <v>0</v>
      </c>
      <c r="N46" s="201">
        <f t="shared" si="9"/>
        <v>0</v>
      </c>
      <c r="O46" s="201">
        <f t="shared" si="9"/>
        <v>0</v>
      </c>
      <c r="P46" s="202">
        <f t="shared" si="9"/>
        <v>0</v>
      </c>
    </row>
    <row r="47" spans="1:16" ht="17.25" thickBot="1" x14ac:dyDescent="0.35">
      <c r="A47" s="185">
        <v>314432</v>
      </c>
      <c r="B47" s="186"/>
      <c r="C47" s="187" t="s">
        <v>435</v>
      </c>
      <c r="D47" s="188">
        <f>SUM(D48:D66)</f>
        <v>1</v>
      </c>
      <c r="E47" s="189">
        <f>IFERROR(VLOOKUP($A47,완제품!$B:$CP,E$1,FALSE),0)</f>
        <v>0</v>
      </c>
      <c r="F47" s="189">
        <f>IFERROR(VLOOKUP($A47,완제품!$B:$CP,F$1,FALSE),0)</f>
        <v>0</v>
      </c>
      <c r="G47" s="189">
        <f>IFERROR(VLOOKUP($A47,완제품!$B:$CP,G$1,FALSE),0)</f>
        <v>0</v>
      </c>
      <c r="H47" s="189">
        <f>IFERROR(VLOOKUP($A47,완제품!$B:$CP,H$1,FALSE),0)</f>
        <v>0</v>
      </c>
      <c r="I47" s="189">
        <f>IFERROR(VLOOKUP($A47,완제품!$B:$CP,I$1,FALSE),0)</f>
        <v>0</v>
      </c>
      <c r="J47" s="189">
        <f>IFERROR(VLOOKUP($A47,완제품!$B:$CP,J$1,FALSE),0)</f>
        <v>0</v>
      </c>
      <c r="K47" s="189">
        <f>IFERROR(VLOOKUP($A47,완제품!$B:$CP,K$1,FALSE),0)</f>
        <v>0</v>
      </c>
      <c r="L47" s="189">
        <f>IFERROR(VLOOKUP($A47,완제품!$B:$CP,L$1,FALSE),0)</f>
        <v>0</v>
      </c>
      <c r="M47" s="189">
        <f>IFERROR(VLOOKUP($A47,완제품!$B:$CP,M$1,FALSE),0)</f>
        <v>0</v>
      </c>
      <c r="N47" s="189">
        <f>IFERROR(VLOOKUP($A47,완제품!$B:$CP,N$1,FALSE),0)</f>
        <v>0</v>
      </c>
      <c r="O47" s="189">
        <f>IFERROR(VLOOKUP($A47,완제품!$B:$CP,O$1,FALSE),0)</f>
        <v>0</v>
      </c>
      <c r="P47" s="189">
        <f>IFERROR(VLOOKUP($A47,완제품!$B:$CP,P$1,FALSE),0)</f>
        <v>0</v>
      </c>
    </row>
    <row r="48" spans="1:16" x14ac:dyDescent="0.3">
      <c r="A48" s="190"/>
      <c r="B48" s="191" t="s">
        <v>325</v>
      </c>
      <c r="C48" s="191" t="s">
        <v>171</v>
      </c>
      <c r="D48" s="192">
        <v>0.124</v>
      </c>
      <c r="E48" s="193">
        <f t="shared" ref="E48:E64" si="10">E$47*$D48</f>
        <v>0</v>
      </c>
      <c r="F48" s="193">
        <f t="shared" ref="F48:P63" si="11">F$47*$D48</f>
        <v>0</v>
      </c>
      <c r="G48" s="193">
        <f t="shared" si="11"/>
        <v>0</v>
      </c>
      <c r="H48" s="193">
        <f t="shared" si="11"/>
        <v>0</v>
      </c>
      <c r="I48" s="193">
        <f t="shared" si="11"/>
        <v>0</v>
      </c>
      <c r="J48" s="193">
        <f t="shared" si="11"/>
        <v>0</v>
      </c>
      <c r="K48" s="193">
        <f t="shared" si="11"/>
        <v>0</v>
      </c>
      <c r="L48" s="193">
        <f t="shared" si="11"/>
        <v>0</v>
      </c>
      <c r="M48" s="193">
        <f t="shared" si="11"/>
        <v>0</v>
      </c>
      <c r="N48" s="193">
        <f t="shared" si="11"/>
        <v>0</v>
      </c>
      <c r="O48" s="193">
        <f t="shared" si="11"/>
        <v>0</v>
      </c>
      <c r="P48" s="194">
        <f t="shared" si="11"/>
        <v>0</v>
      </c>
    </row>
    <row r="49" spans="1:16" x14ac:dyDescent="0.3">
      <c r="A49" s="195"/>
      <c r="B49" s="196" t="s">
        <v>342</v>
      </c>
      <c r="C49" s="196" t="s">
        <v>172</v>
      </c>
      <c r="D49" s="197">
        <v>0.124</v>
      </c>
      <c r="E49" s="193">
        <f t="shared" si="10"/>
        <v>0</v>
      </c>
      <c r="F49" s="193">
        <f t="shared" si="11"/>
        <v>0</v>
      </c>
      <c r="G49" s="193">
        <f t="shared" si="11"/>
        <v>0</v>
      </c>
      <c r="H49" s="193">
        <f t="shared" si="11"/>
        <v>0</v>
      </c>
      <c r="I49" s="193">
        <f t="shared" si="11"/>
        <v>0</v>
      </c>
      <c r="J49" s="193">
        <f t="shared" si="11"/>
        <v>0</v>
      </c>
      <c r="K49" s="193">
        <f t="shared" si="11"/>
        <v>0</v>
      </c>
      <c r="L49" s="193">
        <f t="shared" si="11"/>
        <v>0</v>
      </c>
      <c r="M49" s="193">
        <f t="shared" si="11"/>
        <v>0</v>
      </c>
      <c r="N49" s="193">
        <f t="shared" si="11"/>
        <v>0</v>
      </c>
      <c r="O49" s="193">
        <f t="shared" si="11"/>
        <v>0</v>
      </c>
      <c r="P49" s="194">
        <f t="shared" si="11"/>
        <v>0</v>
      </c>
    </row>
    <row r="50" spans="1:16" x14ac:dyDescent="0.3">
      <c r="A50" s="195"/>
      <c r="B50" s="196" t="s">
        <v>326</v>
      </c>
      <c r="C50" s="196" t="s">
        <v>173</v>
      </c>
      <c r="D50" s="197">
        <v>0.24</v>
      </c>
      <c r="E50" s="193">
        <f t="shared" si="10"/>
        <v>0</v>
      </c>
      <c r="F50" s="193">
        <f t="shared" si="11"/>
        <v>0</v>
      </c>
      <c r="G50" s="193">
        <f t="shared" si="11"/>
        <v>0</v>
      </c>
      <c r="H50" s="193">
        <f t="shared" si="11"/>
        <v>0</v>
      </c>
      <c r="I50" s="193">
        <f t="shared" si="11"/>
        <v>0</v>
      </c>
      <c r="J50" s="193">
        <f t="shared" si="11"/>
        <v>0</v>
      </c>
      <c r="K50" s="193">
        <f t="shared" si="11"/>
        <v>0</v>
      </c>
      <c r="L50" s="193">
        <f t="shared" si="11"/>
        <v>0</v>
      </c>
      <c r="M50" s="193">
        <f t="shared" si="11"/>
        <v>0</v>
      </c>
      <c r="N50" s="193">
        <f t="shared" si="11"/>
        <v>0</v>
      </c>
      <c r="O50" s="193">
        <f t="shared" si="11"/>
        <v>0</v>
      </c>
      <c r="P50" s="194">
        <f t="shared" si="11"/>
        <v>0</v>
      </c>
    </row>
    <row r="51" spans="1:16" x14ac:dyDescent="0.3">
      <c r="A51" s="195"/>
      <c r="B51" s="196" t="s">
        <v>325</v>
      </c>
      <c r="C51" s="196" t="s">
        <v>171</v>
      </c>
      <c r="D51" s="197">
        <v>0.1711</v>
      </c>
      <c r="E51" s="193">
        <f t="shared" si="10"/>
        <v>0</v>
      </c>
      <c r="F51" s="193">
        <f t="shared" si="11"/>
        <v>0</v>
      </c>
      <c r="G51" s="193">
        <f t="shared" si="11"/>
        <v>0</v>
      </c>
      <c r="H51" s="193">
        <f t="shared" si="11"/>
        <v>0</v>
      </c>
      <c r="I51" s="193">
        <f t="shared" si="11"/>
        <v>0</v>
      </c>
      <c r="J51" s="193">
        <f t="shared" si="11"/>
        <v>0</v>
      </c>
      <c r="K51" s="193">
        <f t="shared" si="11"/>
        <v>0</v>
      </c>
      <c r="L51" s="193">
        <f t="shared" si="11"/>
        <v>0</v>
      </c>
      <c r="M51" s="193">
        <f t="shared" si="11"/>
        <v>0</v>
      </c>
      <c r="N51" s="193">
        <f t="shared" si="11"/>
        <v>0</v>
      </c>
      <c r="O51" s="193">
        <f t="shared" si="11"/>
        <v>0</v>
      </c>
      <c r="P51" s="194">
        <f t="shared" si="11"/>
        <v>0</v>
      </c>
    </row>
    <row r="52" spans="1:16" x14ac:dyDescent="0.3">
      <c r="A52" s="195"/>
      <c r="B52" s="196" t="s">
        <v>330</v>
      </c>
      <c r="C52" s="196" t="s">
        <v>174</v>
      </c>
      <c r="D52" s="197">
        <v>2.8000000000000001E-2</v>
      </c>
      <c r="E52" s="193">
        <f t="shared" si="10"/>
        <v>0</v>
      </c>
      <c r="F52" s="193">
        <f t="shared" si="11"/>
        <v>0</v>
      </c>
      <c r="G52" s="193">
        <f t="shared" si="11"/>
        <v>0</v>
      </c>
      <c r="H52" s="193">
        <f t="shared" si="11"/>
        <v>0</v>
      </c>
      <c r="I52" s="193">
        <f t="shared" si="11"/>
        <v>0</v>
      </c>
      <c r="J52" s="193">
        <f t="shared" si="11"/>
        <v>0</v>
      </c>
      <c r="K52" s="193">
        <f t="shared" si="11"/>
        <v>0</v>
      </c>
      <c r="L52" s="193">
        <f t="shared" si="11"/>
        <v>0</v>
      </c>
      <c r="M52" s="193">
        <f t="shared" si="11"/>
        <v>0</v>
      </c>
      <c r="N52" s="193">
        <f t="shared" si="11"/>
        <v>0</v>
      </c>
      <c r="O52" s="193">
        <f t="shared" si="11"/>
        <v>0</v>
      </c>
      <c r="P52" s="194">
        <f t="shared" si="11"/>
        <v>0</v>
      </c>
    </row>
    <row r="53" spans="1:16" x14ac:dyDescent="0.3">
      <c r="A53" s="195"/>
      <c r="B53" s="196" t="s">
        <v>343</v>
      </c>
      <c r="C53" s="196" t="s">
        <v>175</v>
      </c>
      <c r="D53" s="197">
        <v>1.9E-2</v>
      </c>
      <c r="E53" s="193">
        <f t="shared" si="10"/>
        <v>0</v>
      </c>
      <c r="F53" s="193">
        <f t="shared" si="11"/>
        <v>0</v>
      </c>
      <c r="G53" s="193">
        <f t="shared" si="11"/>
        <v>0</v>
      </c>
      <c r="H53" s="193">
        <f t="shared" si="11"/>
        <v>0</v>
      </c>
      <c r="I53" s="193">
        <f t="shared" si="11"/>
        <v>0</v>
      </c>
      <c r="J53" s="193">
        <f t="shared" si="11"/>
        <v>0</v>
      </c>
      <c r="K53" s="193">
        <f t="shared" si="11"/>
        <v>0</v>
      </c>
      <c r="L53" s="193">
        <f t="shared" si="11"/>
        <v>0</v>
      </c>
      <c r="M53" s="193">
        <f t="shared" si="11"/>
        <v>0</v>
      </c>
      <c r="N53" s="193">
        <f t="shared" si="11"/>
        <v>0</v>
      </c>
      <c r="O53" s="193">
        <f t="shared" si="11"/>
        <v>0</v>
      </c>
      <c r="P53" s="194">
        <f t="shared" si="11"/>
        <v>0</v>
      </c>
    </row>
    <row r="54" spans="1:16" x14ac:dyDescent="0.3">
      <c r="A54" s="195"/>
      <c r="B54" s="196" t="s">
        <v>331</v>
      </c>
      <c r="C54" s="196" t="s">
        <v>176</v>
      </c>
      <c r="D54" s="197">
        <v>1.4999999999999999E-2</v>
      </c>
      <c r="E54" s="193">
        <f t="shared" si="10"/>
        <v>0</v>
      </c>
      <c r="F54" s="193">
        <f t="shared" si="11"/>
        <v>0</v>
      </c>
      <c r="G54" s="193">
        <f t="shared" si="11"/>
        <v>0</v>
      </c>
      <c r="H54" s="193">
        <f t="shared" si="11"/>
        <v>0</v>
      </c>
      <c r="I54" s="193">
        <f t="shared" si="11"/>
        <v>0</v>
      </c>
      <c r="J54" s="193">
        <f t="shared" si="11"/>
        <v>0</v>
      </c>
      <c r="K54" s="193">
        <f t="shared" si="11"/>
        <v>0</v>
      </c>
      <c r="L54" s="193">
        <f t="shared" si="11"/>
        <v>0</v>
      </c>
      <c r="M54" s="193">
        <f t="shared" si="11"/>
        <v>0</v>
      </c>
      <c r="N54" s="193">
        <f t="shared" si="11"/>
        <v>0</v>
      </c>
      <c r="O54" s="193">
        <f t="shared" si="11"/>
        <v>0</v>
      </c>
      <c r="P54" s="194">
        <f t="shared" si="11"/>
        <v>0</v>
      </c>
    </row>
    <row r="55" spans="1:16" x14ac:dyDescent="0.3">
      <c r="A55" s="195"/>
      <c r="B55" s="196" t="s">
        <v>337</v>
      </c>
      <c r="C55" s="196" t="s">
        <v>177</v>
      </c>
      <c r="D55" s="197">
        <v>1.2999999999999999E-2</v>
      </c>
      <c r="E55" s="193">
        <f t="shared" si="10"/>
        <v>0</v>
      </c>
      <c r="F55" s="193">
        <f t="shared" si="11"/>
        <v>0</v>
      </c>
      <c r="G55" s="193">
        <f t="shared" si="11"/>
        <v>0</v>
      </c>
      <c r="H55" s="193">
        <f t="shared" si="11"/>
        <v>0</v>
      </c>
      <c r="I55" s="193">
        <f t="shared" si="11"/>
        <v>0</v>
      </c>
      <c r="J55" s="193">
        <f t="shared" si="11"/>
        <v>0</v>
      </c>
      <c r="K55" s="193">
        <f t="shared" si="11"/>
        <v>0</v>
      </c>
      <c r="L55" s="193">
        <f t="shared" si="11"/>
        <v>0</v>
      </c>
      <c r="M55" s="193">
        <f t="shared" si="11"/>
        <v>0</v>
      </c>
      <c r="N55" s="193">
        <f t="shared" si="11"/>
        <v>0</v>
      </c>
      <c r="O55" s="193">
        <f t="shared" si="11"/>
        <v>0</v>
      </c>
      <c r="P55" s="194">
        <f t="shared" si="11"/>
        <v>0</v>
      </c>
    </row>
    <row r="56" spans="1:16" x14ac:dyDescent="0.3">
      <c r="A56" s="195"/>
      <c r="B56" s="196" t="s">
        <v>344</v>
      </c>
      <c r="C56" s="196" t="s">
        <v>178</v>
      </c>
      <c r="D56" s="197">
        <v>1.0999999999999999E-2</v>
      </c>
      <c r="E56" s="193">
        <f t="shared" si="10"/>
        <v>0</v>
      </c>
      <c r="F56" s="193">
        <f t="shared" si="11"/>
        <v>0</v>
      </c>
      <c r="G56" s="193">
        <f t="shared" si="11"/>
        <v>0</v>
      </c>
      <c r="H56" s="193">
        <f t="shared" si="11"/>
        <v>0</v>
      </c>
      <c r="I56" s="193">
        <f t="shared" si="11"/>
        <v>0</v>
      </c>
      <c r="J56" s="193">
        <f t="shared" si="11"/>
        <v>0</v>
      </c>
      <c r="K56" s="193">
        <f t="shared" si="11"/>
        <v>0</v>
      </c>
      <c r="L56" s="193">
        <f t="shared" si="11"/>
        <v>0</v>
      </c>
      <c r="M56" s="193">
        <f t="shared" si="11"/>
        <v>0</v>
      </c>
      <c r="N56" s="193">
        <f t="shared" si="11"/>
        <v>0</v>
      </c>
      <c r="O56" s="193">
        <f t="shared" si="11"/>
        <v>0</v>
      </c>
      <c r="P56" s="194">
        <f t="shared" si="11"/>
        <v>0</v>
      </c>
    </row>
    <row r="57" spans="1:16" x14ac:dyDescent="0.3">
      <c r="A57" s="195"/>
      <c r="B57" s="196" t="s">
        <v>345</v>
      </c>
      <c r="C57" s="196" t="s">
        <v>179</v>
      </c>
      <c r="D57" s="197">
        <v>5.0000000000000001E-3</v>
      </c>
      <c r="E57" s="193">
        <f t="shared" si="10"/>
        <v>0</v>
      </c>
      <c r="F57" s="193">
        <f t="shared" si="11"/>
        <v>0</v>
      </c>
      <c r="G57" s="193">
        <f t="shared" si="11"/>
        <v>0</v>
      </c>
      <c r="H57" s="193">
        <f t="shared" si="11"/>
        <v>0</v>
      </c>
      <c r="I57" s="193">
        <f t="shared" si="11"/>
        <v>0</v>
      </c>
      <c r="J57" s="193">
        <f t="shared" si="11"/>
        <v>0</v>
      </c>
      <c r="K57" s="193">
        <f t="shared" si="11"/>
        <v>0</v>
      </c>
      <c r="L57" s="193">
        <f t="shared" si="11"/>
        <v>0</v>
      </c>
      <c r="M57" s="193">
        <f t="shared" si="11"/>
        <v>0</v>
      </c>
      <c r="N57" s="193">
        <f t="shared" si="11"/>
        <v>0</v>
      </c>
      <c r="O57" s="193">
        <f t="shared" si="11"/>
        <v>0</v>
      </c>
      <c r="P57" s="194">
        <f t="shared" si="11"/>
        <v>0</v>
      </c>
    </row>
    <row r="58" spans="1:16" x14ac:dyDescent="0.3">
      <c r="A58" s="195"/>
      <c r="B58" s="196" t="s">
        <v>346</v>
      </c>
      <c r="C58" s="196" t="s">
        <v>180</v>
      </c>
      <c r="D58" s="197">
        <v>4.0000000000000001E-3</v>
      </c>
      <c r="E58" s="193">
        <f t="shared" si="10"/>
        <v>0</v>
      </c>
      <c r="F58" s="193">
        <f t="shared" si="11"/>
        <v>0</v>
      </c>
      <c r="G58" s="193">
        <f t="shared" si="11"/>
        <v>0</v>
      </c>
      <c r="H58" s="193">
        <f t="shared" si="11"/>
        <v>0</v>
      </c>
      <c r="I58" s="193">
        <f t="shared" si="11"/>
        <v>0</v>
      </c>
      <c r="J58" s="193">
        <f t="shared" si="11"/>
        <v>0</v>
      </c>
      <c r="K58" s="193">
        <f t="shared" si="11"/>
        <v>0</v>
      </c>
      <c r="L58" s="193">
        <f t="shared" si="11"/>
        <v>0</v>
      </c>
      <c r="M58" s="193">
        <f t="shared" si="11"/>
        <v>0</v>
      </c>
      <c r="N58" s="193">
        <f t="shared" si="11"/>
        <v>0</v>
      </c>
      <c r="O58" s="193">
        <f t="shared" si="11"/>
        <v>0</v>
      </c>
      <c r="P58" s="194">
        <f t="shared" si="11"/>
        <v>0</v>
      </c>
    </row>
    <row r="59" spans="1:16" x14ac:dyDescent="0.3">
      <c r="A59" s="195"/>
      <c r="B59" s="196" t="s">
        <v>347</v>
      </c>
      <c r="C59" s="196" t="s">
        <v>181</v>
      </c>
      <c r="D59" s="197">
        <v>3.5000000000000001E-3</v>
      </c>
      <c r="E59" s="193">
        <f t="shared" si="10"/>
        <v>0</v>
      </c>
      <c r="F59" s="193">
        <f t="shared" si="11"/>
        <v>0</v>
      </c>
      <c r="G59" s="193">
        <f t="shared" si="11"/>
        <v>0</v>
      </c>
      <c r="H59" s="193">
        <f t="shared" si="11"/>
        <v>0</v>
      </c>
      <c r="I59" s="193">
        <f t="shared" si="11"/>
        <v>0</v>
      </c>
      <c r="J59" s="193">
        <f t="shared" si="11"/>
        <v>0</v>
      </c>
      <c r="K59" s="193">
        <f t="shared" si="11"/>
        <v>0</v>
      </c>
      <c r="L59" s="193">
        <f t="shared" si="11"/>
        <v>0</v>
      </c>
      <c r="M59" s="193">
        <f t="shared" si="11"/>
        <v>0</v>
      </c>
      <c r="N59" s="193">
        <f t="shared" si="11"/>
        <v>0</v>
      </c>
      <c r="O59" s="193">
        <f t="shared" si="11"/>
        <v>0</v>
      </c>
      <c r="P59" s="194">
        <f t="shared" si="11"/>
        <v>0</v>
      </c>
    </row>
    <row r="60" spans="1:16" x14ac:dyDescent="0.3">
      <c r="A60" s="195"/>
      <c r="B60" s="196" t="s">
        <v>348</v>
      </c>
      <c r="C60" s="196" t="s">
        <v>182</v>
      </c>
      <c r="D60" s="197">
        <v>3.5000000000000001E-3</v>
      </c>
      <c r="E60" s="193">
        <f t="shared" si="10"/>
        <v>0</v>
      </c>
      <c r="F60" s="193">
        <f t="shared" si="11"/>
        <v>0</v>
      </c>
      <c r="G60" s="193">
        <f t="shared" si="11"/>
        <v>0</v>
      </c>
      <c r="H60" s="193">
        <f t="shared" si="11"/>
        <v>0</v>
      </c>
      <c r="I60" s="193">
        <f t="shared" si="11"/>
        <v>0</v>
      </c>
      <c r="J60" s="193">
        <f t="shared" si="11"/>
        <v>0</v>
      </c>
      <c r="K60" s="193">
        <f t="shared" si="11"/>
        <v>0</v>
      </c>
      <c r="L60" s="193">
        <f t="shared" si="11"/>
        <v>0</v>
      </c>
      <c r="M60" s="193">
        <f t="shared" si="11"/>
        <v>0</v>
      </c>
      <c r="N60" s="193">
        <f t="shared" si="11"/>
        <v>0</v>
      </c>
      <c r="O60" s="193">
        <f t="shared" si="11"/>
        <v>0</v>
      </c>
      <c r="P60" s="194">
        <f t="shared" si="11"/>
        <v>0</v>
      </c>
    </row>
    <row r="61" spans="1:16" x14ac:dyDescent="0.3">
      <c r="A61" s="195"/>
      <c r="B61" s="196" t="s">
        <v>349</v>
      </c>
      <c r="C61" s="196" t="s">
        <v>183</v>
      </c>
      <c r="D61" s="197">
        <v>3.0000000000000001E-3</v>
      </c>
      <c r="E61" s="193">
        <f t="shared" si="10"/>
        <v>0</v>
      </c>
      <c r="F61" s="193">
        <f t="shared" si="11"/>
        <v>0</v>
      </c>
      <c r="G61" s="193">
        <f t="shared" si="11"/>
        <v>0</v>
      </c>
      <c r="H61" s="193">
        <f t="shared" si="11"/>
        <v>0</v>
      </c>
      <c r="I61" s="193">
        <f t="shared" si="11"/>
        <v>0</v>
      </c>
      <c r="J61" s="193">
        <f t="shared" si="11"/>
        <v>0</v>
      </c>
      <c r="K61" s="193">
        <f t="shared" si="11"/>
        <v>0</v>
      </c>
      <c r="L61" s="193">
        <f t="shared" si="11"/>
        <v>0</v>
      </c>
      <c r="M61" s="193">
        <f t="shared" si="11"/>
        <v>0</v>
      </c>
      <c r="N61" s="193">
        <f t="shared" si="11"/>
        <v>0</v>
      </c>
      <c r="O61" s="193">
        <f t="shared" si="11"/>
        <v>0</v>
      </c>
      <c r="P61" s="194">
        <f t="shared" si="11"/>
        <v>0</v>
      </c>
    </row>
    <row r="62" spans="1:16" x14ac:dyDescent="0.3">
      <c r="A62" s="195"/>
      <c r="B62" s="196" t="s">
        <v>350</v>
      </c>
      <c r="C62" s="196" t="s">
        <v>184</v>
      </c>
      <c r="D62" s="197">
        <v>3.0000000000000001E-3</v>
      </c>
      <c r="E62" s="193">
        <f t="shared" si="10"/>
        <v>0</v>
      </c>
      <c r="F62" s="193">
        <f t="shared" si="11"/>
        <v>0</v>
      </c>
      <c r="G62" s="193">
        <f t="shared" si="11"/>
        <v>0</v>
      </c>
      <c r="H62" s="193">
        <f t="shared" si="11"/>
        <v>0</v>
      </c>
      <c r="I62" s="193">
        <f t="shared" si="11"/>
        <v>0</v>
      </c>
      <c r="J62" s="193">
        <f t="shared" si="11"/>
        <v>0</v>
      </c>
      <c r="K62" s="193">
        <f t="shared" si="11"/>
        <v>0</v>
      </c>
      <c r="L62" s="193">
        <f t="shared" si="11"/>
        <v>0</v>
      </c>
      <c r="M62" s="193">
        <f t="shared" si="11"/>
        <v>0</v>
      </c>
      <c r="N62" s="193">
        <f t="shared" si="11"/>
        <v>0</v>
      </c>
      <c r="O62" s="193">
        <f t="shared" si="11"/>
        <v>0</v>
      </c>
      <c r="P62" s="194">
        <f t="shared" si="11"/>
        <v>0</v>
      </c>
    </row>
    <row r="63" spans="1:16" x14ac:dyDescent="0.3">
      <c r="A63" s="195"/>
      <c r="B63" s="196" t="s">
        <v>351</v>
      </c>
      <c r="C63" s="196" t="s">
        <v>185</v>
      </c>
      <c r="D63" s="197">
        <v>1E-3</v>
      </c>
      <c r="E63" s="193">
        <f t="shared" si="10"/>
        <v>0</v>
      </c>
      <c r="F63" s="193">
        <f t="shared" si="11"/>
        <v>0</v>
      </c>
      <c r="G63" s="193">
        <f t="shared" si="11"/>
        <v>0</v>
      </c>
      <c r="H63" s="193">
        <f t="shared" si="11"/>
        <v>0</v>
      </c>
      <c r="I63" s="193">
        <f t="shared" si="11"/>
        <v>0</v>
      </c>
      <c r="J63" s="193">
        <f t="shared" si="11"/>
        <v>0</v>
      </c>
      <c r="K63" s="193">
        <f t="shared" si="11"/>
        <v>0</v>
      </c>
      <c r="L63" s="193">
        <f t="shared" si="11"/>
        <v>0</v>
      </c>
      <c r="M63" s="193">
        <f t="shared" si="11"/>
        <v>0</v>
      </c>
      <c r="N63" s="193">
        <f t="shared" si="11"/>
        <v>0</v>
      </c>
      <c r="O63" s="193">
        <f t="shared" si="11"/>
        <v>0</v>
      </c>
      <c r="P63" s="194">
        <f t="shared" si="11"/>
        <v>0</v>
      </c>
    </row>
    <row r="64" spans="1:16" x14ac:dyDescent="0.3">
      <c r="A64" s="195"/>
      <c r="B64" s="196" t="s">
        <v>352</v>
      </c>
      <c r="C64" s="196" t="s">
        <v>186</v>
      </c>
      <c r="D64" s="197">
        <v>8.9999999999999998E-4</v>
      </c>
      <c r="E64" s="193">
        <f t="shared" si="10"/>
        <v>0</v>
      </c>
      <c r="F64" s="193">
        <f t="shared" ref="F64:P64" si="12">F$47*$D64</f>
        <v>0</v>
      </c>
      <c r="G64" s="193">
        <f t="shared" si="12"/>
        <v>0</v>
      </c>
      <c r="H64" s="193">
        <f t="shared" si="12"/>
        <v>0</v>
      </c>
      <c r="I64" s="193">
        <f t="shared" si="12"/>
        <v>0</v>
      </c>
      <c r="J64" s="193">
        <f t="shared" si="12"/>
        <v>0</v>
      </c>
      <c r="K64" s="193">
        <f t="shared" si="12"/>
        <v>0</v>
      </c>
      <c r="L64" s="193">
        <f t="shared" si="12"/>
        <v>0</v>
      </c>
      <c r="M64" s="193">
        <f t="shared" si="12"/>
        <v>0</v>
      </c>
      <c r="N64" s="193">
        <f t="shared" si="12"/>
        <v>0</v>
      </c>
      <c r="O64" s="193">
        <f t="shared" si="12"/>
        <v>0</v>
      </c>
      <c r="P64" s="194">
        <f t="shared" si="12"/>
        <v>0</v>
      </c>
    </row>
    <row r="65" spans="1:16" x14ac:dyDescent="0.3">
      <c r="A65" s="195"/>
      <c r="B65" s="196" t="s">
        <v>353</v>
      </c>
      <c r="C65" s="196" t="s">
        <v>187</v>
      </c>
      <c r="D65" s="197">
        <v>1E-3</v>
      </c>
      <c r="E65" s="193">
        <f t="shared" ref="E65:P66" si="13">E$47*$D65</f>
        <v>0</v>
      </c>
      <c r="F65" s="193">
        <f t="shared" si="13"/>
        <v>0</v>
      </c>
      <c r="G65" s="193">
        <f t="shared" si="13"/>
        <v>0</v>
      </c>
      <c r="H65" s="193">
        <f t="shared" si="13"/>
        <v>0</v>
      </c>
      <c r="I65" s="193">
        <f t="shared" si="13"/>
        <v>0</v>
      </c>
      <c r="J65" s="193">
        <f t="shared" si="13"/>
        <v>0</v>
      </c>
      <c r="K65" s="193">
        <f t="shared" si="13"/>
        <v>0</v>
      </c>
      <c r="L65" s="193">
        <f t="shared" si="13"/>
        <v>0</v>
      </c>
      <c r="M65" s="193">
        <f t="shared" si="13"/>
        <v>0</v>
      </c>
      <c r="N65" s="193">
        <f t="shared" si="13"/>
        <v>0</v>
      </c>
      <c r="O65" s="193">
        <f t="shared" si="13"/>
        <v>0</v>
      </c>
      <c r="P65" s="194">
        <f t="shared" si="13"/>
        <v>0</v>
      </c>
    </row>
    <row r="66" spans="1:16" ht="17.25" thickBot="1" x14ac:dyDescent="0.35">
      <c r="A66" s="198"/>
      <c r="B66" s="199">
        <v>241738</v>
      </c>
      <c r="C66" s="199" t="s">
        <v>188</v>
      </c>
      <c r="D66" s="200">
        <v>0.23</v>
      </c>
      <c r="E66" s="201">
        <f t="shared" si="13"/>
        <v>0</v>
      </c>
      <c r="F66" s="201">
        <f t="shared" si="13"/>
        <v>0</v>
      </c>
      <c r="G66" s="201">
        <f t="shared" si="13"/>
        <v>0</v>
      </c>
      <c r="H66" s="201">
        <f t="shared" si="13"/>
        <v>0</v>
      </c>
      <c r="I66" s="201">
        <f t="shared" si="13"/>
        <v>0</v>
      </c>
      <c r="J66" s="201">
        <f t="shared" si="13"/>
        <v>0</v>
      </c>
      <c r="K66" s="201">
        <f t="shared" si="13"/>
        <v>0</v>
      </c>
      <c r="L66" s="201">
        <f t="shared" si="13"/>
        <v>0</v>
      </c>
      <c r="M66" s="201">
        <f t="shared" si="13"/>
        <v>0</v>
      </c>
      <c r="N66" s="201">
        <f t="shared" si="13"/>
        <v>0</v>
      </c>
      <c r="O66" s="201">
        <f t="shared" si="13"/>
        <v>0</v>
      </c>
      <c r="P66" s="202">
        <f t="shared" si="13"/>
        <v>0</v>
      </c>
    </row>
    <row r="67" spans="1:16" ht="17.25" thickBot="1" x14ac:dyDescent="0.35">
      <c r="A67" s="185">
        <v>321310</v>
      </c>
      <c r="B67" s="186"/>
      <c r="C67" s="187" t="s">
        <v>436</v>
      </c>
      <c r="D67" s="188">
        <f>SUM(D68:D87)</f>
        <v>1</v>
      </c>
      <c r="E67" s="189">
        <f>IFERROR(VLOOKUP($A67,완제품!$B:$CP,E$1,FALSE),0)</f>
        <v>0</v>
      </c>
      <c r="F67" s="189">
        <f>IFERROR(VLOOKUP($A67,완제품!$B:$CP,F$1,FALSE),0)</f>
        <v>0</v>
      </c>
      <c r="G67" s="189">
        <f>IFERROR(VLOOKUP($A67,완제품!$B:$CP,G$1,FALSE),0)</f>
        <v>0</v>
      </c>
      <c r="H67" s="189">
        <f>IFERROR(VLOOKUP($A67,완제품!$B:$CP,H$1,FALSE),0)</f>
        <v>0</v>
      </c>
      <c r="I67" s="189">
        <f>IFERROR(VLOOKUP($A67,완제품!$B:$CP,I$1,FALSE),0)</f>
        <v>0</v>
      </c>
      <c r="J67" s="189">
        <f>IFERROR(VLOOKUP($A67,완제품!$B:$CP,J$1,FALSE),0)</f>
        <v>0</v>
      </c>
      <c r="K67" s="189">
        <f>IFERROR(VLOOKUP($A67,완제품!$B:$CP,K$1,FALSE),0)</f>
        <v>0</v>
      </c>
      <c r="L67" s="189">
        <f>IFERROR(VLOOKUP($A67,완제품!$B:$CP,L$1,FALSE),0)</f>
        <v>0</v>
      </c>
      <c r="M67" s="189">
        <f>IFERROR(VLOOKUP($A67,완제품!$B:$CP,M$1,FALSE),0)</f>
        <v>0</v>
      </c>
      <c r="N67" s="189">
        <f>IFERROR(VLOOKUP($A67,완제품!$B:$CP,N$1,FALSE),0)</f>
        <v>0</v>
      </c>
      <c r="O67" s="189">
        <f>IFERROR(VLOOKUP($A67,완제품!$B:$CP,O$1,FALSE),0)</f>
        <v>0</v>
      </c>
      <c r="P67" s="189">
        <f>IFERROR(VLOOKUP($A67,완제품!$B:$CP,P$1,FALSE),0)</f>
        <v>0</v>
      </c>
    </row>
    <row r="68" spans="1:16" x14ac:dyDescent="0.3">
      <c r="A68" s="190"/>
      <c r="B68" s="191" t="s">
        <v>325</v>
      </c>
      <c r="C68" s="191" t="s">
        <v>171</v>
      </c>
      <c r="D68" s="192">
        <v>0.13</v>
      </c>
      <c r="E68" s="193">
        <f t="shared" ref="E68:E84" si="14">E$67*$D68</f>
        <v>0</v>
      </c>
      <c r="F68" s="193">
        <f t="shared" ref="F68:P83" si="15">F$67*$D68</f>
        <v>0</v>
      </c>
      <c r="G68" s="193">
        <f t="shared" si="15"/>
        <v>0</v>
      </c>
      <c r="H68" s="193">
        <f t="shared" si="15"/>
        <v>0</v>
      </c>
      <c r="I68" s="193">
        <f t="shared" si="15"/>
        <v>0</v>
      </c>
      <c r="J68" s="193">
        <f t="shared" si="15"/>
        <v>0</v>
      </c>
      <c r="K68" s="193">
        <f t="shared" si="15"/>
        <v>0</v>
      </c>
      <c r="L68" s="193">
        <f t="shared" si="15"/>
        <v>0</v>
      </c>
      <c r="M68" s="193">
        <f t="shared" si="15"/>
        <v>0</v>
      </c>
      <c r="N68" s="193">
        <f t="shared" si="15"/>
        <v>0</v>
      </c>
      <c r="O68" s="193">
        <f t="shared" si="15"/>
        <v>0</v>
      </c>
      <c r="P68" s="194">
        <f t="shared" si="15"/>
        <v>0</v>
      </c>
    </row>
    <row r="69" spans="1:16" x14ac:dyDescent="0.3">
      <c r="A69" s="195"/>
      <c r="B69" s="196" t="s">
        <v>354</v>
      </c>
      <c r="C69" s="196" t="s">
        <v>189</v>
      </c>
      <c r="D69" s="197">
        <v>0.06</v>
      </c>
      <c r="E69" s="193">
        <f t="shared" si="14"/>
        <v>0</v>
      </c>
      <c r="F69" s="193">
        <f t="shared" si="15"/>
        <v>0</v>
      </c>
      <c r="G69" s="193">
        <f t="shared" si="15"/>
        <v>0</v>
      </c>
      <c r="H69" s="193">
        <f t="shared" si="15"/>
        <v>0</v>
      </c>
      <c r="I69" s="193">
        <f t="shared" si="15"/>
        <v>0</v>
      </c>
      <c r="J69" s="193">
        <f t="shared" si="15"/>
        <v>0</v>
      </c>
      <c r="K69" s="193">
        <f t="shared" si="15"/>
        <v>0</v>
      </c>
      <c r="L69" s="193">
        <f t="shared" si="15"/>
        <v>0</v>
      </c>
      <c r="M69" s="193">
        <f t="shared" si="15"/>
        <v>0</v>
      </c>
      <c r="N69" s="193">
        <f t="shared" si="15"/>
        <v>0</v>
      </c>
      <c r="O69" s="193">
        <f t="shared" si="15"/>
        <v>0</v>
      </c>
      <c r="P69" s="194">
        <f t="shared" si="15"/>
        <v>0</v>
      </c>
    </row>
    <row r="70" spans="1:16" x14ac:dyDescent="0.3">
      <c r="A70" s="195"/>
      <c r="B70" s="196" t="s">
        <v>336</v>
      </c>
      <c r="C70" s="196" t="s">
        <v>190</v>
      </c>
      <c r="D70" s="197">
        <v>5.0000000000000001E-3</v>
      </c>
      <c r="E70" s="193">
        <f t="shared" si="14"/>
        <v>0</v>
      </c>
      <c r="F70" s="193">
        <f t="shared" si="15"/>
        <v>0</v>
      </c>
      <c r="G70" s="193">
        <f t="shared" si="15"/>
        <v>0</v>
      </c>
      <c r="H70" s="193">
        <f t="shared" si="15"/>
        <v>0</v>
      </c>
      <c r="I70" s="193">
        <f t="shared" si="15"/>
        <v>0</v>
      </c>
      <c r="J70" s="193">
        <f t="shared" si="15"/>
        <v>0</v>
      </c>
      <c r="K70" s="193">
        <f t="shared" si="15"/>
        <v>0</v>
      </c>
      <c r="L70" s="193">
        <f t="shared" si="15"/>
        <v>0</v>
      </c>
      <c r="M70" s="193">
        <f t="shared" si="15"/>
        <v>0</v>
      </c>
      <c r="N70" s="193">
        <f t="shared" si="15"/>
        <v>0</v>
      </c>
      <c r="O70" s="193">
        <f t="shared" si="15"/>
        <v>0</v>
      </c>
      <c r="P70" s="194">
        <f t="shared" si="15"/>
        <v>0</v>
      </c>
    </row>
    <row r="71" spans="1:16" x14ac:dyDescent="0.3">
      <c r="A71" s="195"/>
      <c r="B71" s="196" t="s">
        <v>355</v>
      </c>
      <c r="C71" s="196" t="s">
        <v>191</v>
      </c>
      <c r="D71" s="197">
        <v>1.6999999999999999E-3</v>
      </c>
      <c r="E71" s="193">
        <f t="shared" si="14"/>
        <v>0</v>
      </c>
      <c r="F71" s="193">
        <f t="shared" si="15"/>
        <v>0</v>
      </c>
      <c r="G71" s="193">
        <f t="shared" si="15"/>
        <v>0</v>
      </c>
      <c r="H71" s="193">
        <f t="shared" si="15"/>
        <v>0</v>
      </c>
      <c r="I71" s="193">
        <f t="shared" si="15"/>
        <v>0</v>
      </c>
      <c r="J71" s="193">
        <f t="shared" si="15"/>
        <v>0</v>
      </c>
      <c r="K71" s="193">
        <f t="shared" si="15"/>
        <v>0</v>
      </c>
      <c r="L71" s="193">
        <f t="shared" si="15"/>
        <v>0</v>
      </c>
      <c r="M71" s="193">
        <f t="shared" si="15"/>
        <v>0</v>
      </c>
      <c r="N71" s="193">
        <f t="shared" si="15"/>
        <v>0</v>
      </c>
      <c r="O71" s="193">
        <f t="shared" si="15"/>
        <v>0</v>
      </c>
      <c r="P71" s="194">
        <f t="shared" si="15"/>
        <v>0</v>
      </c>
    </row>
    <row r="72" spans="1:16" x14ac:dyDescent="0.3">
      <c r="A72" s="195"/>
      <c r="B72" s="196" t="s">
        <v>356</v>
      </c>
      <c r="C72" s="196" t="s">
        <v>192</v>
      </c>
      <c r="D72" s="197">
        <v>1.7500000000000002E-2</v>
      </c>
      <c r="E72" s="193">
        <f t="shared" si="14"/>
        <v>0</v>
      </c>
      <c r="F72" s="193">
        <f t="shared" si="15"/>
        <v>0</v>
      </c>
      <c r="G72" s="193">
        <f t="shared" si="15"/>
        <v>0</v>
      </c>
      <c r="H72" s="193">
        <f t="shared" si="15"/>
        <v>0</v>
      </c>
      <c r="I72" s="193">
        <f t="shared" si="15"/>
        <v>0</v>
      </c>
      <c r="J72" s="193">
        <f t="shared" si="15"/>
        <v>0</v>
      </c>
      <c r="K72" s="193">
        <f t="shared" si="15"/>
        <v>0</v>
      </c>
      <c r="L72" s="193">
        <f t="shared" si="15"/>
        <v>0</v>
      </c>
      <c r="M72" s="193">
        <f t="shared" si="15"/>
        <v>0</v>
      </c>
      <c r="N72" s="193">
        <f t="shared" si="15"/>
        <v>0</v>
      </c>
      <c r="O72" s="193">
        <f t="shared" si="15"/>
        <v>0</v>
      </c>
      <c r="P72" s="194">
        <f t="shared" si="15"/>
        <v>0</v>
      </c>
    </row>
    <row r="73" spans="1:16" x14ac:dyDescent="0.3">
      <c r="A73" s="195"/>
      <c r="B73" s="196" t="s">
        <v>331</v>
      </c>
      <c r="C73" s="196" t="s">
        <v>176</v>
      </c>
      <c r="D73" s="197">
        <v>8.9999999999999993E-3</v>
      </c>
      <c r="E73" s="193">
        <f t="shared" si="14"/>
        <v>0</v>
      </c>
      <c r="F73" s="193">
        <f t="shared" si="15"/>
        <v>0</v>
      </c>
      <c r="G73" s="193">
        <f t="shared" si="15"/>
        <v>0</v>
      </c>
      <c r="H73" s="193">
        <f t="shared" si="15"/>
        <v>0</v>
      </c>
      <c r="I73" s="193">
        <f t="shared" si="15"/>
        <v>0</v>
      </c>
      <c r="J73" s="193">
        <f t="shared" si="15"/>
        <v>0</v>
      </c>
      <c r="K73" s="193">
        <f t="shared" si="15"/>
        <v>0</v>
      </c>
      <c r="L73" s="193">
        <f t="shared" si="15"/>
        <v>0</v>
      </c>
      <c r="M73" s="193">
        <f t="shared" si="15"/>
        <v>0</v>
      </c>
      <c r="N73" s="193">
        <f t="shared" si="15"/>
        <v>0</v>
      </c>
      <c r="O73" s="193">
        <f t="shared" si="15"/>
        <v>0</v>
      </c>
      <c r="P73" s="194">
        <f t="shared" si="15"/>
        <v>0</v>
      </c>
    </row>
    <row r="74" spans="1:16" x14ac:dyDescent="0.3">
      <c r="A74" s="195"/>
      <c r="B74" s="196" t="s">
        <v>341</v>
      </c>
      <c r="C74" s="196" t="s">
        <v>168</v>
      </c>
      <c r="D74" s="197">
        <v>5.0000000000000001E-4</v>
      </c>
      <c r="E74" s="193">
        <f t="shared" si="14"/>
        <v>0</v>
      </c>
      <c r="F74" s="193">
        <f t="shared" si="15"/>
        <v>0</v>
      </c>
      <c r="G74" s="193">
        <f t="shared" si="15"/>
        <v>0</v>
      </c>
      <c r="H74" s="193">
        <f t="shared" si="15"/>
        <v>0</v>
      </c>
      <c r="I74" s="193">
        <f t="shared" si="15"/>
        <v>0</v>
      </c>
      <c r="J74" s="193">
        <f t="shared" si="15"/>
        <v>0</v>
      </c>
      <c r="K74" s="193">
        <f t="shared" si="15"/>
        <v>0</v>
      </c>
      <c r="L74" s="193">
        <f t="shared" si="15"/>
        <v>0</v>
      </c>
      <c r="M74" s="193">
        <f t="shared" si="15"/>
        <v>0</v>
      </c>
      <c r="N74" s="193">
        <f t="shared" si="15"/>
        <v>0</v>
      </c>
      <c r="O74" s="193">
        <f t="shared" si="15"/>
        <v>0</v>
      </c>
      <c r="P74" s="194">
        <f t="shared" si="15"/>
        <v>0</v>
      </c>
    </row>
    <row r="75" spans="1:16" x14ac:dyDescent="0.3">
      <c r="A75" s="195"/>
      <c r="B75" s="196" t="s">
        <v>326</v>
      </c>
      <c r="C75" s="196" t="s">
        <v>173</v>
      </c>
      <c r="D75" s="197">
        <v>0.06</v>
      </c>
      <c r="E75" s="193">
        <f t="shared" si="14"/>
        <v>0</v>
      </c>
      <c r="F75" s="193">
        <f t="shared" si="15"/>
        <v>0</v>
      </c>
      <c r="G75" s="193">
        <f t="shared" si="15"/>
        <v>0</v>
      </c>
      <c r="H75" s="193">
        <f t="shared" si="15"/>
        <v>0</v>
      </c>
      <c r="I75" s="193">
        <f t="shared" si="15"/>
        <v>0</v>
      </c>
      <c r="J75" s="193">
        <f t="shared" si="15"/>
        <v>0</v>
      </c>
      <c r="K75" s="193">
        <f t="shared" si="15"/>
        <v>0</v>
      </c>
      <c r="L75" s="193">
        <f t="shared" si="15"/>
        <v>0</v>
      </c>
      <c r="M75" s="193">
        <f t="shared" si="15"/>
        <v>0</v>
      </c>
      <c r="N75" s="193">
        <f t="shared" si="15"/>
        <v>0</v>
      </c>
      <c r="O75" s="193">
        <f t="shared" si="15"/>
        <v>0</v>
      </c>
      <c r="P75" s="194">
        <f t="shared" si="15"/>
        <v>0</v>
      </c>
    </row>
    <row r="76" spans="1:16" x14ac:dyDescent="0.3">
      <c r="A76" s="195"/>
      <c r="B76" s="196" t="s">
        <v>325</v>
      </c>
      <c r="C76" s="196" t="s">
        <v>171</v>
      </c>
      <c r="D76" s="197">
        <v>0.40500000000000003</v>
      </c>
      <c r="E76" s="193">
        <f t="shared" si="14"/>
        <v>0</v>
      </c>
      <c r="F76" s="193">
        <f t="shared" si="15"/>
        <v>0</v>
      </c>
      <c r="G76" s="193">
        <f t="shared" si="15"/>
        <v>0</v>
      </c>
      <c r="H76" s="193">
        <f t="shared" si="15"/>
        <v>0</v>
      </c>
      <c r="I76" s="193">
        <f t="shared" si="15"/>
        <v>0</v>
      </c>
      <c r="J76" s="193">
        <f t="shared" si="15"/>
        <v>0</v>
      </c>
      <c r="K76" s="193">
        <f t="shared" si="15"/>
        <v>0</v>
      </c>
      <c r="L76" s="193">
        <f t="shared" si="15"/>
        <v>0</v>
      </c>
      <c r="M76" s="193">
        <f t="shared" si="15"/>
        <v>0</v>
      </c>
      <c r="N76" s="193">
        <f t="shared" si="15"/>
        <v>0</v>
      </c>
      <c r="O76" s="193">
        <f t="shared" si="15"/>
        <v>0</v>
      </c>
      <c r="P76" s="194">
        <f t="shared" si="15"/>
        <v>0</v>
      </c>
    </row>
    <row r="77" spans="1:16" x14ac:dyDescent="0.3">
      <c r="A77" s="195"/>
      <c r="B77" s="196" t="s">
        <v>357</v>
      </c>
      <c r="C77" s="196" t="s">
        <v>193</v>
      </c>
      <c r="D77" s="197">
        <v>1.6E-2</v>
      </c>
      <c r="E77" s="193">
        <f t="shared" si="14"/>
        <v>0</v>
      </c>
      <c r="F77" s="193">
        <f t="shared" si="15"/>
        <v>0</v>
      </c>
      <c r="G77" s="193">
        <f t="shared" si="15"/>
        <v>0</v>
      </c>
      <c r="H77" s="193">
        <f t="shared" si="15"/>
        <v>0</v>
      </c>
      <c r="I77" s="193">
        <f t="shared" si="15"/>
        <v>0</v>
      </c>
      <c r="J77" s="193">
        <f t="shared" si="15"/>
        <v>0</v>
      </c>
      <c r="K77" s="193">
        <f t="shared" si="15"/>
        <v>0</v>
      </c>
      <c r="L77" s="193">
        <f t="shared" si="15"/>
        <v>0</v>
      </c>
      <c r="M77" s="193">
        <f t="shared" si="15"/>
        <v>0</v>
      </c>
      <c r="N77" s="193">
        <f t="shared" si="15"/>
        <v>0</v>
      </c>
      <c r="O77" s="193">
        <f t="shared" si="15"/>
        <v>0</v>
      </c>
      <c r="P77" s="194">
        <f t="shared" si="15"/>
        <v>0</v>
      </c>
    </row>
    <row r="78" spans="1:16" x14ac:dyDescent="0.3">
      <c r="A78" s="195"/>
      <c r="B78" s="196" t="s">
        <v>341</v>
      </c>
      <c r="C78" s="196" t="s">
        <v>168</v>
      </c>
      <c r="D78" s="197">
        <v>8.0000000000000004E-4</v>
      </c>
      <c r="E78" s="193">
        <f t="shared" si="14"/>
        <v>0</v>
      </c>
      <c r="F78" s="193">
        <f t="shared" si="15"/>
        <v>0</v>
      </c>
      <c r="G78" s="193">
        <f t="shared" si="15"/>
        <v>0</v>
      </c>
      <c r="H78" s="193">
        <f t="shared" si="15"/>
        <v>0</v>
      </c>
      <c r="I78" s="193">
        <f t="shared" si="15"/>
        <v>0</v>
      </c>
      <c r="J78" s="193">
        <f t="shared" si="15"/>
        <v>0</v>
      </c>
      <c r="K78" s="193">
        <f t="shared" si="15"/>
        <v>0</v>
      </c>
      <c r="L78" s="193">
        <f t="shared" si="15"/>
        <v>0</v>
      </c>
      <c r="M78" s="193">
        <f t="shared" si="15"/>
        <v>0</v>
      </c>
      <c r="N78" s="193">
        <f t="shared" si="15"/>
        <v>0</v>
      </c>
      <c r="O78" s="193">
        <f t="shared" si="15"/>
        <v>0</v>
      </c>
      <c r="P78" s="194">
        <f t="shared" si="15"/>
        <v>0</v>
      </c>
    </row>
    <row r="79" spans="1:16" x14ac:dyDescent="0.3">
      <c r="A79" s="195"/>
      <c r="B79" s="196" t="s">
        <v>194</v>
      </c>
      <c r="C79" s="196" t="s">
        <v>195</v>
      </c>
      <c r="D79" s="197">
        <v>2E-3</v>
      </c>
      <c r="E79" s="193">
        <f t="shared" si="14"/>
        <v>0</v>
      </c>
      <c r="F79" s="193">
        <f t="shared" si="15"/>
        <v>0</v>
      </c>
      <c r="G79" s="193">
        <f t="shared" si="15"/>
        <v>0</v>
      </c>
      <c r="H79" s="193">
        <f t="shared" si="15"/>
        <v>0</v>
      </c>
      <c r="I79" s="193">
        <f t="shared" si="15"/>
        <v>0</v>
      </c>
      <c r="J79" s="193">
        <f t="shared" si="15"/>
        <v>0</v>
      </c>
      <c r="K79" s="193">
        <f t="shared" si="15"/>
        <v>0</v>
      </c>
      <c r="L79" s="193">
        <f t="shared" si="15"/>
        <v>0</v>
      </c>
      <c r="M79" s="193">
        <f t="shared" si="15"/>
        <v>0</v>
      </c>
      <c r="N79" s="193">
        <f t="shared" si="15"/>
        <v>0</v>
      </c>
      <c r="O79" s="193">
        <f t="shared" si="15"/>
        <v>0</v>
      </c>
      <c r="P79" s="194">
        <f t="shared" si="15"/>
        <v>0</v>
      </c>
    </row>
    <row r="80" spans="1:16" x14ac:dyDescent="0.3">
      <c r="A80" s="195"/>
      <c r="B80" s="196" t="s">
        <v>335</v>
      </c>
      <c r="C80" s="196" t="s">
        <v>161</v>
      </c>
      <c r="D80" s="197">
        <v>2.1999999999999999E-2</v>
      </c>
      <c r="E80" s="193">
        <f t="shared" si="14"/>
        <v>0</v>
      </c>
      <c r="F80" s="193">
        <f t="shared" si="15"/>
        <v>0</v>
      </c>
      <c r="G80" s="193">
        <f t="shared" si="15"/>
        <v>0</v>
      </c>
      <c r="H80" s="193">
        <f t="shared" si="15"/>
        <v>0</v>
      </c>
      <c r="I80" s="193">
        <f t="shared" si="15"/>
        <v>0</v>
      </c>
      <c r="J80" s="193">
        <f t="shared" si="15"/>
        <v>0</v>
      </c>
      <c r="K80" s="193">
        <f t="shared" si="15"/>
        <v>0</v>
      </c>
      <c r="L80" s="193">
        <f t="shared" si="15"/>
        <v>0</v>
      </c>
      <c r="M80" s="193">
        <f t="shared" si="15"/>
        <v>0</v>
      </c>
      <c r="N80" s="193">
        <f t="shared" si="15"/>
        <v>0</v>
      </c>
      <c r="O80" s="193">
        <f t="shared" si="15"/>
        <v>0</v>
      </c>
      <c r="P80" s="194">
        <f t="shared" si="15"/>
        <v>0</v>
      </c>
    </row>
    <row r="81" spans="1:16" x14ac:dyDescent="0.3">
      <c r="A81" s="195"/>
      <c r="B81" s="196" t="s">
        <v>358</v>
      </c>
      <c r="C81" s="196" t="s">
        <v>196</v>
      </c>
      <c r="D81" s="197">
        <v>8.9999999999999993E-3</v>
      </c>
      <c r="E81" s="193">
        <f t="shared" si="14"/>
        <v>0</v>
      </c>
      <c r="F81" s="193">
        <f t="shared" si="15"/>
        <v>0</v>
      </c>
      <c r="G81" s="193">
        <f t="shared" si="15"/>
        <v>0</v>
      </c>
      <c r="H81" s="193">
        <f t="shared" si="15"/>
        <v>0</v>
      </c>
      <c r="I81" s="193">
        <f t="shared" si="15"/>
        <v>0</v>
      </c>
      <c r="J81" s="193">
        <f t="shared" si="15"/>
        <v>0</v>
      </c>
      <c r="K81" s="193">
        <f t="shared" si="15"/>
        <v>0</v>
      </c>
      <c r="L81" s="193">
        <f t="shared" si="15"/>
        <v>0</v>
      </c>
      <c r="M81" s="193">
        <f t="shared" si="15"/>
        <v>0</v>
      </c>
      <c r="N81" s="193">
        <f t="shared" si="15"/>
        <v>0</v>
      </c>
      <c r="O81" s="193">
        <f t="shared" si="15"/>
        <v>0</v>
      </c>
      <c r="P81" s="194">
        <f t="shared" si="15"/>
        <v>0</v>
      </c>
    </row>
    <row r="82" spans="1:16" x14ac:dyDescent="0.3">
      <c r="A82" s="195"/>
      <c r="B82" s="196" t="s">
        <v>332</v>
      </c>
      <c r="C82" s="196" t="s">
        <v>157</v>
      </c>
      <c r="D82" s="197">
        <v>7.4999999999999997E-3</v>
      </c>
      <c r="E82" s="193">
        <f t="shared" si="14"/>
        <v>0</v>
      </c>
      <c r="F82" s="193">
        <f t="shared" si="15"/>
        <v>0</v>
      </c>
      <c r="G82" s="193">
        <f t="shared" si="15"/>
        <v>0</v>
      </c>
      <c r="H82" s="193">
        <f t="shared" si="15"/>
        <v>0</v>
      </c>
      <c r="I82" s="193">
        <f t="shared" si="15"/>
        <v>0</v>
      </c>
      <c r="J82" s="193">
        <f t="shared" si="15"/>
        <v>0</v>
      </c>
      <c r="K82" s="193">
        <f t="shared" si="15"/>
        <v>0</v>
      </c>
      <c r="L82" s="193">
        <f t="shared" si="15"/>
        <v>0</v>
      </c>
      <c r="M82" s="193">
        <f t="shared" si="15"/>
        <v>0</v>
      </c>
      <c r="N82" s="193">
        <f t="shared" si="15"/>
        <v>0</v>
      </c>
      <c r="O82" s="193">
        <f t="shared" si="15"/>
        <v>0</v>
      </c>
      <c r="P82" s="194">
        <f t="shared" si="15"/>
        <v>0</v>
      </c>
    </row>
    <row r="83" spans="1:16" x14ac:dyDescent="0.3">
      <c r="A83" s="195"/>
      <c r="B83" s="196" t="s">
        <v>359</v>
      </c>
      <c r="C83" s="196" t="s">
        <v>197</v>
      </c>
      <c r="D83" s="197">
        <v>1E-3</v>
      </c>
      <c r="E83" s="193">
        <f t="shared" si="14"/>
        <v>0</v>
      </c>
      <c r="F83" s="193">
        <f t="shared" si="15"/>
        <v>0</v>
      </c>
      <c r="G83" s="193">
        <f t="shared" si="15"/>
        <v>0</v>
      </c>
      <c r="H83" s="193">
        <f t="shared" si="15"/>
        <v>0</v>
      </c>
      <c r="I83" s="193">
        <f t="shared" si="15"/>
        <v>0</v>
      </c>
      <c r="J83" s="193">
        <f t="shared" si="15"/>
        <v>0</v>
      </c>
      <c r="K83" s="193">
        <f t="shared" si="15"/>
        <v>0</v>
      </c>
      <c r="L83" s="193">
        <f t="shared" si="15"/>
        <v>0</v>
      </c>
      <c r="M83" s="193">
        <f t="shared" si="15"/>
        <v>0</v>
      </c>
      <c r="N83" s="193">
        <f t="shared" si="15"/>
        <v>0</v>
      </c>
      <c r="O83" s="193">
        <f t="shared" si="15"/>
        <v>0</v>
      </c>
      <c r="P83" s="194">
        <f t="shared" si="15"/>
        <v>0</v>
      </c>
    </row>
    <row r="84" spans="1:16" x14ac:dyDescent="0.3">
      <c r="A84" s="195"/>
      <c r="B84" s="196">
        <v>251371</v>
      </c>
      <c r="C84" s="196" t="s">
        <v>158</v>
      </c>
      <c r="D84" s="197">
        <v>1.2E-2</v>
      </c>
      <c r="E84" s="193">
        <f t="shared" si="14"/>
        <v>0</v>
      </c>
      <c r="F84" s="193">
        <f t="shared" ref="F84:P84" si="16">F$67*$D84</f>
        <v>0</v>
      </c>
      <c r="G84" s="193">
        <f t="shared" si="16"/>
        <v>0</v>
      </c>
      <c r="H84" s="193">
        <f t="shared" si="16"/>
        <v>0</v>
      </c>
      <c r="I84" s="193">
        <f t="shared" si="16"/>
        <v>0</v>
      </c>
      <c r="J84" s="193">
        <f t="shared" si="16"/>
        <v>0</v>
      </c>
      <c r="K84" s="193">
        <f t="shared" si="16"/>
        <v>0</v>
      </c>
      <c r="L84" s="193">
        <f t="shared" si="16"/>
        <v>0</v>
      </c>
      <c r="M84" s="193">
        <f t="shared" si="16"/>
        <v>0</v>
      </c>
      <c r="N84" s="193">
        <f t="shared" si="16"/>
        <v>0</v>
      </c>
      <c r="O84" s="193">
        <f t="shared" si="16"/>
        <v>0</v>
      </c>
      <c r="P84" s="194">
        <f t="shared" si="16"/>
        <v>0</v>
      </c>
    </row>
    <row r="85" spans="1:16" x14ac:dyDescent="0.3">
      <c r="A85" s="195"/>
      <c r="B85" s="196" t="s">
        <v>329</v>
      </c>
      <c r="C85" s="196" t="s">
        <v>154</v>
      </c>
      <c r="D85" s="197">
        <v>1.4999999999999999E-2</v>
      </c>
      <c r="E85" s="193">
        <f t="shared" ref="E85:P87" si="17">E$67*$D85</f>
        <v>0</v>
      </c>
      <c r="F85" s="193">
        <f t="shared" si="17"/>
        <v>0</v>
      </c>
      <c r="G85" s="193">
        <f t="shared" si="17"/>
        <v>0</v>
      </c>
      <c r="H85" s="193">
        <f t="shared" si="17"/>
        <v>0</v>
      </c>
      <c r="I85" s="193">
        <f t="shared" si="17"/>
        <v>0</v>
      </c>
      <c r="J85" s="193">
        <f t="shared" si="17"/>
        <v>0</v>
      </c>
      <c r="K85" s="193">
        <f t="shared" si="17"/>
        <v>0</v>
      </c>
      <c r="L85" s="193">
        <f t="shared" si="17"/>
        <v>0</v>
      </c>
      <c r="M85" s="193">
        <f t="shared" si="17"/>
        <v>0</v>
      </c>
      <c r="N85" s="193">
        <f t="shared" si="17"/>
        <v>0</v>
      </c>
      <c r="O85" s="193">
        <f t="shared" si="17"/>
        <v>0</v>
      </c>
      <c r="P85" s="194">
        <f t="shared" si="17"/>
        <v>0</v>
      </c>
    </row>
    <row r="86" spans="1:16" x14ac:dyDescent="0.3">
      <c r="A86" s="195"/>
      <c r="B86" s="196">
        <v>241738</v>
      </c>
      <c r="C86" s="196" t="s">
        <v>198</v>
      </c>
      <c r="D86" s="197">
        <v>0.22</v>
      </c>
      <c r="E86" s="193">
        <f t="shared" si="17"/>
        <v>0</v>
      </c>
      <c r="F86" s="193">
        <f t="shared" si="17"/>
        <v>0</v>
      </c>
      <c r="G86" s="193">
        <f t="shared" si="17"/>
        <v>0</v>
      </c>
      <c r="H86" s="193">
        <f t="shared" si="17"/>
        <v>0</v>
      </c>
      <c r="I86" s="193">
        <f t="shared" si="17"/>
        <v>0</v>
      </c>
      <c r="J86" s="193">
        <f t="shared" si="17"/>
        <v>0</v>
      </c>
      <c r="K86" s="193">
        <f t="shared" si="17"/>
        <v>0</v>
      </c>
      <c r="L86" s="193">
        <f t="shared" si="17"/>
        <v>0</v>
      </c>
      <c r="M86" s="193">
        <f t="shared" si="17"/>
        <v>0</v>
      </c>
      <c r="N86" s="193">
        <f t="shared" si="17"/>
        <v>0</v>
      </c>
      <c r="O86" s="193">
        <f t="shared" si="17"/>
        <v>0</v>
      </c>
      <c r="P86" s="194">
        <f t="shared" si="17"/>
        <v>0</v>
      </c>
    </row>
    <row r="87" spans="1:16" ht="17.25" thickBot="1" x14ac:dyDescent="0.35">
      <c r="A87" s="198"/>
      <c r="B87" s="203" t="s">
        <v>360</v>
      </c>
      <c r="C87" s="203" t="s">
        <v>199</v>
      </c>
      <c r="D87" s="204">
        <v>6.0000000000000001E-3</v>
      </c>
      <c r="E87" s="201">
        <f t="shared" si="17"/>
        <v>0</v>
      </c>
      <c r="F87" s="201">
        <f t="shared" si="17"/>
        <v>0</v>
      </c>
      <c r="G87" s="201">
        <f t="shared" si="17"/>
        <v>0</v>
      </c>
      <c r="H87" s="201">
        <f t="shared" si="17"/>
        <v>0</v>
      </c>
      <c r="I87" s="201">
        <f t="shared" si="17"/>
        <v>0</v>
      </c>
      <c r="J87" s="201">
        <f t="shared" si="17"/>
        <v>0</v>
      </c>
      <c r="K87" s="201">
        <f t="shared" si="17"/>
        <v>0</v>
      </c>
      <c r="L87" s="201">
        <f t="shared" si="17"/>
        <v>0</v>
      </c>
      <c r="M87" s="201">
        <f t="shared" si="17"/>
        <v>0</v>
      </c>
      <c r="N87" s="201">
        <f t="shared" si="17"/>
        <v>0</v>
      </c>
      <c r="O87" s="201">
        <f t="shared" si="17"/>
        <v>0</v>
      </c>
      <c r="P87" s="202">
        <f t="shared" si="17"/>
        <v>0</v>
      </c>
    </row>
    <row r="88" spans="1:16" ht="17.25" thickBot="1" x14ac:dyDescent="0.35">
      <c r="A88" s="185">
        <v>317361</v>
      </c>
      <c r="B88" s="186"/>
      <c r="C88" s="187" t="s">
        <v>437</v>
      </c>
      <c r="D88" s="188">
        <f>SUM(D89:D106)</f>
        <v>1</v>
      </c>
      <c r="E88" s="189">
        <f>IFERROR(VLOOKUP($A88,완제품!$B:$CP,E$1,FALSE),0)</f>
        <v>0</v>
      </c>
      <c r="F88" s="189">
        <f>IFERROR(VLOOKUP($A88,완제품!$B:$CP,F$1,FALSE),0)</f>
        <v>0</v>
      </c>
      <c r="G88" s="189">
        <f>IFERROR(VLOOKUP($A88,완제품!$B:$CP,G$1,FALSE),0)</f>
        <v>0</v>
      </c>
      <c r="H88" s="189">
        <f>IFERROR(VLOOKUP($A88,완제품!$B:$CP,H$1,FALSE),0)</f>
        <v>0</v>
      </c>
      <c r="I88" s="189">
        <f>IFERROR(VLOOKUP($A88,완제품!$B:$CP,I$1,FALSE),0)</f>
        <v>0</v>
      </c>
      <c r="J88" s="189">
        <f>IFERROR(VLOOKUP($A88,완제품!$B:$CP,J$1,FALSE),0)</f>
        <v>0</v>
      </c>
      <c r="K88" s="189">
        <f>IFERROR(VLOOKUP($A88,완제품!$B:$CP,K$1,FALSE),0)</f>
        <v>0</v>
      </c>
      <c r="L88" s="189">
        <f>IFERROR(VLOOKUP($A88,완제품!$B:$CP,L$1,FALSE),0)</f>
        <v>0</v>
      </c>
      <c r="M88" s="189">
        <f>IFERROR(VLOOKUP($A88,완제품!$B:$CP,M$1,FALSE),0)</f>
        <v>0</v>
      </c>
      <c r="N88" s="189">
        <f>IFERROR(VLOOKUP($A88,완제품!$B:$CP,N$1,FALSE),0)</f>
        <v>0</v>
      </c>
      <c r="O88" s="189">
        <f>IFERROR(VLOOKUP($A88,완제품!$B:$CP,O$1,FALSE),0)</f>
        <v>0</v>
      </c>
      <c r="P88" s="189">
        <f>IFERROR(VLOOKUP($A88,완제품!$B:$CP,P$1,FALSE),0)</f>
        <v>0</v>
      </c>
    </row>
    <row r="89" spans="1:16" x14ac:dyDescent="0.3">
      <c r="A89" s="190"/>
      <c r="B89" s="191" t="s">
        <v>325</v>
      </c>
      <c r="C89" s="191" t="s">
        <v>171</v>
      </c>
      <c r="D89" s="192">
        <v>0.23</v>
      </c>
      <c r="E89" s="193">
        <f t="shared" ref="E89:E105" si="18">E$88*$D89</f>
        <v>0</v>
      </c>
      <c r="F89" s="193">
        <f t="shared" ref="F89:P104" si="19">F$88*$D89</f>
        <v>0</v>
      </c>
      <c r="G89" s="193">
        <f t="shared" si="19"/>
        <v>0</v>
      </c>
      <c r="H89" s="193">
        <f t="shared" si="19"/>
        <v>0</v>
      </c>
      <c r="I89" s="193">
        <f t="shared" si="19"/>
        <v>0</v>
      </c>
      <c r="J89" s="193">
        <f t="shared" si="19"/>
        <v>0</v>
      </c>
      <c r="K89" s="193">
        <f t="shared" si="19"/>
        <v>0</v>
      </c>
      <c r="L89" s="193">
        <f t="shared" si="19"/>
        <v>0</v>
      </c>
      <c r="M89" s="193">
        <f t="shared" si="19"/>
        <v>0</v>
      </c>
      <c r="N89" s="193">
        <f t="shared" si="19"/>
        <v>0</v>
      </c>
      <c r="O89" s="193">
        <f t="shared" si="19"/>
        <v>0</v>
      </c>
      <c r="P89" s="194">
        <f t="shared" si="19"/>
        <v>0</v>
      </c>
    </row>
    <row r="90" spans="1:16" x14ac:dyDescent="0.3">
      <c r="A90" s="195"/>
      <c r="B90" s="196" t="s">
        <v>361</v>
      </c>
      <c r="C90" s="196" t="s">
        <v>200</v>
      </c>
      <c r="D90" s="197">
        <v>0.16600000000000001</v>
      </c>
      <c r="E90" s="193">
        <f t="shared" si="18"/>
        <v>0</v>
      </c>
      <c r="F90" s="193">
        <f t="shared" si="19"/>
        <v>0</v>
      </c>
      <c r="G90" s="193">
        <f t="shared" si="19"/>
        <v>0</v>
      </c>
      <c r="H90" s="193">
        <f t="shared" si="19"/>
        <v>0</v>
      </c>
      <c r="I90" s="193">
        <f t="shared" si="19"/>
        <v>0</v>
      </c>
      <c r="J90" s="193">
        <f t="shared" si="19"/>
        <v>0</v>
      </c>
      <c r="K90" s="193">
        <f t="shared" si="19"/>
        <v>0</v>
      </c>
      <c r="L90" s="193">
        <f t="shared" si="19"/>
        <v>0</v>
      </c>
      <c r="M90" s="193">
        <f t="shared" si="19"/>
        <v>0</v>
      </c>
      <c r="N90" s="193">
        <f t="shared" si="19"/>
        <v>0</v>
      </c>
      <c r="O90" s="193">
        <f t="shared" si="19"/>
        <v>0</v>
      </c>
      <c r="P90" s="194">
        <f t="shared" si="19"/>
        <v>0</v>
      </c>
    </row>
    <row r="91" spans="1:16" x14ac:dyDescent="0.3">
      <c r="A91" s="195"/>
      <c r="B91" s="196" t="s">
        <v>331</v>
      </c>
      <c r="C91" s="196" t="s">
        <v>176</v>
      </c>
      <c r="D91" s="197">
        <v>3.0000000000000001E-3</v>
      </c>
      <c r="E91" s="193">
        <f t="shared" si="18"/>
        <v>0</v>
      </c>
      <c r="F91" s="193">
        <f t="shared" si="19"/>
        <v>0</v>
      </c>
      <c r="G91" s="193">
        <f t="shared" si="19"/>
        <v>0</v>
      </c>
      <c r="H91" s="193">
        <f t="shared" si="19"/>
        <v>0</v>
      </c>
      <c r="I91" s="193">
        <f t="shared" si="19"/>
        <v>0</v>
      </c>
      <c r="J91" s="193">
        <f t="shared" si="19"/>
        <v>0</v>
      </c>
      <c r="K91" s="193">
        <f t="shared" si="19"/>
        <v>0</v>
      </c>
      <c r="L91" s="193">
        <f t="shared" si="19"/>
        <v>0</v>
      </c>
      <c r="M91" s="193">
        <f t="shared" si="19"/>
        <v>0</v>
      </c>
      <c r="N91" s="193">
        <f t="shared" si="19"/>
        <v>0</v>
      </c>
      <c r="O91" s="193">
        <f t="shared" si="19"/>
        <v>0</v>
      </c>
      <c r="P91" s="194">
        <f t="shared" si="19"/>
        <v>0</v>
      </c>
    </row>
    <row r="92" spans="1:16" x14ac:dyDescent="0.3">
      <c r="A92" s="195"/>
      <c r="B92" s="196" t="s">
        <v>326</v>
      </c>
      <c r="C92" s="196" t="s">
        <v>173</v>
      </c>
      <c r="D92" s="197">
        <v>0.18</v>
      </c>
      <c r="E92" s="193">
        <f t="shared" si="18"/>
        <v>0</v>
      </c>
      <c r="F92" s="193">
        <f t="shared" si="19"/>
        <v>0</v>
      </c>
      <c r="G92" s="193">
        <f t="shared" si="19"/>
        <v>0</v>
      </c>
      <c r="H92" s="193">
        <f t="shared" si="19"/>
        <v>0</v>
      </c>
      <c r="I92" s="193">
        <f t="shared" si="19"/>
        <v>0</v>
      </c>
      <c r="J92" s="193">
        <f t="shared" si="19"/>
        <v>0</v>
      </c>
      <c r="K92" s="193">
        <f t="shared" si="19"/>
        <v>0</v>
      </c>
      <c r="L92" s="193">
        <f t="shared" si="19"/>
        <v>0</v>
      </c>
      <c r="M92" s="193">
        <f t="shared" si="19"/>
        <v>0</v>
      </c>
      <c r="N92" s="193">
        <f t="shared" si="19"/>
        <v>0</v>
      </c>
      <c r="O92" s="193">
        <f t="shared" si="19"/>
        <v>0</v>
      </c>
      <c r="P92" s="194">
        <f t="shared" si="19"/>
        <v>0</v>
      </c>
    </row>
    <row r="93" spans="1:16" x14ac:dyDescent="0.3">
      <c r="A93" s="195"/>
      <c r="B93" s="196" t="s">
        <v>325</v>
      </c>
      <c r="C93" s="196" t="s">
        <v>171</v>
      </c>
      <c r="D93" s="197">
        <v>0.161</v>
      </c>
      <c r="E93" s="193">
        <f t="shared" si="18"/>
        <v>0</v>
      </c>
      <c r="F93" s="193">
        <f t="shared" si="19"/>
        <v>0</v>
      </c>
      <c r="G93" s="193">
        <f t="shared" si="19"/>
        <v>0</v>
      </c>
      <c r="H93" s="193">
        <f t="shared" si="19"/>
        <v>0</v>
      </c>
      <c r="I93" s="193">
        <f t="shared" si="19"/>
        <v>0</v>
      </c>
      <c r="J93" s="193">
        <f t="shared" si="19"/>
        <v>0</v>
      </c>
      <c r="K93" s="193">
        <f t="shared" si="19"/>
        <v>0</v>
      </c>
      <c r="L93" s="193">
        <f t="shared" si="19"/>
        <v>0</v>
      </c>
      <c r="M93" s="193">
        <f t="shared" si="19"/>
        <v>0</v>
      </c>
      <c r="N93" s="193">
        <f t="shared" si="19"/>
        <v>0</v>
      </c>
      <c r="O93" s="193">
        <f t="shared" si="19"/>
        <v>0</v>
      </c>
      <c r="P93" s="194">
        <f t="shared" si="19"/>
        <v>0</v>
      </c>
    </row>
    <row r="94" spans="1:16" x14ac:dyDescent="0.3">
      <c r="A94" s="195"/>
      <c r="B94" s="196">
        <v>241738</v>
      </c>
      <c r="C94" s="196" t="s">
        <v>198</v>
      </c>
      <c r="D94" s="197">
        <v>0.187</v>
      </c>
      <c r="E94" s="193">
        <f t="shared" si="18"/>
        <v>0</v>
      </c>
      <c r="F94" s="193">
        <f t="shared" si="19"/>
        <v>0</v>
      </c>
      <c r="G94" s="193">
        <f t="shared" si="19"/>
        <v>0</v>
      </c>
      <c r="H94" s="193">
        <f t="shared" si="19"/>
        <v>0</v>
      </c>
      <c r="I94" s="193">
        <f t="shared" si="19"/>
        <v>0</v>
      </c>
      <c r="J94" s="193">
        <f t="shared" si="19"/>
        <v>0</v>
      </c>
      <c r="K94" s="193">
        <f t="shared" si="19"/>
        <v>0</v>
      </c>
      <c r="L94" s="193">
        <f t="shared" si="19"/>
        <v>0</v>
      </c>
      <c r="M94" s="193">
        <f t="shared" si="19"/>
        <v>0</v>
      </c>
      <c r="N94" s="193">
        <f t="shared" si="19"/>
        <v>0</v>
      </c>
      <c r="O94" s="193">
        <f t="shared" si="19"/>
        <v>0</v>
      </c>
      <c r="P94" s="194">
        <f t="shared" si="19"/>
        <v>0</v>
      </c>
    </row>
    <row r="95" spans="1:16" x14ac:dyDescent="0.3">
      <c r="A95" s="195"/>
      <c r="B95" s="196" t="s">
        <v>343</v>
      </c>
      <c r="C95" s="196" t="s">
        <v>175</v>
      </c>
      <c r="D95" s="197">
        <v>1.9E-2</v>
      </c>
      <c r="E95" s="193">
        <f t="shared" si="18"/>
        <v>0</v>
      </c>
      <c r="F95" s="193">
        <f t="shared" si="19"/>
        <v>0</v>
      </c>
      <c r="G95" s="193">
        <f t="shared" si="19"/>
        <v>0</v>
      </c>
      <c r="H95" s="193">
        <f t="shared" si="19"/>
        <v>0</v>
      </c>
      <c r="I95" s="193">
        <f t="shared" si="19"/>
        <v>0</v>
      </c>
      <c r="J95" s="193">
        <f t="shared" si="19"/>
        <v>0</v>
      </c>
      <c r="K95" s="193">
        <f t="shared" si="19"/>
        <v>0</v>
      </c>
      <c r="L95" s="193">
        <f t="shared" si="19"/>
        <v>0</v>
      </c>
      <c r="M95" s="193">
        <f t="shared" si="19"/>
        <v>0</v>
      </c>
      <c r="N95" s="193">
        <f t="shared" si="19"/>
        <v>0</v>
      </c>
      <c r="O95" s="193">
        <f t="shared" si="19"/>
        <v>0</v>
      </c>
      <c r="P95" s="194">
        <f t="shared" si="19"/>
        <v>0</v>
      </c>
    </row>
    <row r="96" spans="1:16" x14ac:dyDescent="0.3">
      <c r="A96" s="195"/>
      <c r="B96" s="196" t="s">
        <v>330</v>
      </c>
      <c r="C96" s="196" t="s">
        <v>174</v>
      </c>
      <c r="D96" s="197">
        <v>2.1000000000000001E-2</v>
      </c>
      <c r="E96" s="193">
        <f t="shared" si="18"/>
        <v>0</v>
      </c>
      <c r="F96" s="193">
        <f t="shared" si="19"/>
        <v>0</v>
      </c>
      <c r="G96" s="193">
        <f t="shared" si="19"/>
        <v>0</v>
      </c>
      <c r="H96" s="193">
        <f t="shared" si="19"/>
        <v>0</v>
      </c>
      <c r="I96" s="193">
        <f t="shared" si="19"/>
        <v>0</v>
      </c>
      <c r="J96" s="193">
        <f t="shared" si="19"/>
        <v>0</v>
      </c>
      <c r="K96" s="193">
        <f t="shared" si="19"/>
        <v>0</v>
      </c>
      <c r="L96" s="193">
        <f t="shared" si="19"/>
        <v>0</v>
      </c>
      <c r="M96" s="193">
        <f t="shared" si="19"/>
        <v>0</v>
      </c>
      <c r="N96" s="193">
        <f t="shared" si="19"/>
        <v>0</v>
      </c>
      <c r="O96" s="193">
        <f t="shared" si="19"/>
        <v>0</v>
      </c>
      <c r="P96" s="194">
        <f t="shared" si="19"/>
        <v>0</v>
      </c>
    </row>
    <row r="97" spans="1:16" x14ac:dyDescent="0.3">
      <c r="A97" s="195"/>
      <c r="B97" s="196" t="s">
        <v>337</v>
      </c>
      <c r="C97" s="196" t="s">
        <v>177</v>
      </c>
      <c r="D97" s="197">
        <v>1.0999999999999999E-2</v>
      </c>
      <c r="E97" s="193">
        <f t="shared" si="18"/>
        <v>0</v>
      </c>
      <c r="F97" s="193">
        <f t="shared" si="19"/>
        <v>0</v>
      </c>
      <c r="G97" s="193">
        <f t="shared" si="19"/>
        <v>0</v>
      </c>
      <c r="H97" s="193">
        <f t="shared" si="19"/>
        <v>0</v>
      </c>
      <c r="I97" s="193">
        <f t="shared" si="19"/>
        <v>0</v>
      </c>
      <c r="J97" s="193">
        <f t="shared" si="19"/>
        <v>0</v>
      </c>
      <c r="K97" s="193">
        <f t="shared" si="19"/>
        <v>0</v>
      </c>
      <c r="L97" s="193">
        <f t="shared" si="19"/>
        <v>0</v>
      </c>
      <c r="M97" s="193">
        <f t="shared" si="19"/>
        <v>0</v>
      </c>
      <c r="N97" s="193">
        <f t="shared" si="19"/>
        <v>0</v>
      </c>
      <c r="O97" s="193">
        <f t="shared" si="19"/>
        <v>0</v>
      </c>
      <c r="P97" s="194">
        <f t="shared" si="19"/>
        <v>0</v>
      </c>
    </row>
    <row r="98" spans="1:16" x14ac:dyDescent="0.3">
      <c r="A98" s="195"/>
      <c r="B98" s="196" t="s">
        <v>331</v>
      </c>
      <c r="C98" s="196" t="s">
        <v>176</v>
      </c>
      <c r="D98" s="197">
        <v>8.9999999999999993E-3</v>
      </c>
      <c r="E98" s="193">
        <f t="shared" si="18"/>
        <v>0</v>
      </c>
      <c r="F98" s="193">
        <f t="shared" si="19"/>
        <v>0</v>
      </c>
      <c r="G98" s="193">
        <f t="shared" si="19"/>
        <v>0</v>
      </c>
      <c r="H98" s="193">
        <f t="shared" si="19"/>
        <v>0</v>
      </c>
      <c r="I98" s="193">
        <f t="shared" si="19"/>
        <v>0</v>
      </c>
      <c r="J98" s="193">
        <f t="shared" si="19"/>
        <v>0</v>
      </c>
      <c r="K98" s="193">
        <f t="shared" si="19"/>
        <v>0</v>
      </c>
      <c r="L98" s="193">
        <f t="shared" si="19"/>
        <v>0</v>
      </c>
      <c r="M98" s="193">
        <f t="shared" si="19"/>
        <v>0</v>
      </c>
      <c r="N98" s="193">
        <f t="shared" si="19"/>
        <v>0</v>
      </c>
      <c r="O98" s="193">
        <f t="shared" si="19"/>
        <v>0</v>
      </c>
      <c r="P98" s="194">
        <f t="shared" si="19"/>
        <v>0</v>
      </c>
    </row>
    <row r="99" spans="1:16" x14ac:dyDescent="0.3">
      <c r="A99" s="195"/>
      <c r="B99" s="196" t="s">
        <v>346</v>
      </c>
      <c r="C99" s="196" t="s">
        <v>201</v>
      </c>
      <c r="D99" s="197">
        <v>4.0000000000000001E-3</v>
      </c>
      <c r="E99" s="193">
        <f t="shared" si="18"/>
        <v>0</v>
      </c>
      <c r="F99" s="193">
        <f t="shared" si="19"/>
        <v>0</v>
      </c>
      <c r="G99" s="193">
        <f t="shared" si="19"/>
        <v>0</v>
      </c>
      <c r="H99" s="193">
        <f t="shared" si="19"/>
        <v>0</v>
      </c>
      <c r="I99" s="193">
        <f t="shared" si="19"/>
        <v>0</v>
      </c>
      <c r="J99" s="193">
        <f t="shared" si="19"/>
        <v>0</v>
      </c>
      <c r="K99" s="193">
        <f t="shared" si="19"/>
        <v>0</v>
      </c>
      <c r="L99" s="193">
        <f t="shared" si="19"/>
        <v>0</v>
      </c>
      <c r="M99" s="193">
        <f t="shared" si="19"/>
        <v>0</v>
      </c>
      <c r="N99" s="193">
        <f t="shared" si="19"/>
        <v>0</v>
      </c>
      <c r="O99" s="193">
        <f t="shared" si="19"/>
        <v>0</v>
      </c>
      <c r="P99" s="194">
        <f t="shared" si="19"/>
        <v>0</v>
      </c>
    </row>
    <row r="100" spans="1:16" x14ac:dyDescent="0.3">
      <c r="A100" s="195"/>
      <c r="B100" s="196" t="s">
        <v>348</v>
      </c>
      <c r="C100" s="196" t="s">
        <v>182</v>
      </c>
      <c r="D100" s="197">
        <v>3.0000000000000001E-3</v>
      </c>
      <c r="E100" s="193">
        <f t="shared" si="18"/>
        <v>0</v>
      </c>
      <c r="F100" s="193">
        <f t="shared" si="19"/>
        <v>0</v>
      </c>
      <c r="G100" s="193">
        <f t="shared" si="19"/>
        <v>0</v>
      </c>
      <c r="H100" s="193">
        <f t="shared" si="19"/>
        <v>0</v>
      </c>
      <c r="I100" s="193">
        <f t="shared" si="19"/>
        <v>0</v>
      </c>
      <c r="J100" s="193">
        <f t="shared" si="19"/>
        <v>0</v>
      </c>
      <c r="K100" s="193">
        <f t="shared" si="19"/>
        <v>0</v>
      </c>
      <c r="L100" s="193">
        <f t="shared" si="19"/>
        <v>0</v>
      </c>
      <c r="M100" s="193">
        <f t="shared" si="19"/>
        <v>0</v>
      </c>
      <c r="N100" s="193">
        <f t="shared" si="19"/>
        <v>0</v>
      </c>
      <c r="O100" s="193">
        <f t="shared" si="19"/>
        <v>0</v>
      </c>
      <c r="P100" s="194">
        <f t="shared" si="19"/>
        <v>0</v>
      </c>
    </row>
    <row r="101" spans="1:16" x14ac:dyDescent="0.3">
      <c r="A101" s="195"/>
      <c r="B101" s="196" t="s">
        <v>349</v>
      </c>
      <c r="C101" s="196" t="s">
        <v>202</v>
      </c>
      <c r="D101" s="197">
        <v>2E-3</v>
      </c>
      <c r="E101" s="193">
        <f t="shared" si="18"/>
        <v>0</v>
      </c>
      <c r="F101" s="193">
        <f t="shared" si="19"/>
        <v>0</v>
      </c>
      <c r="G101" s="193">
        <f t="shared" si="19"/>
        <v>0</v>
      </c>
      <c r="H101" s="193">
        <f t="shared" si="19"/>
        <v>0</v>
      </c>
      <c r="I101" s="193">
        <f t="shared" si="19"/>
        <v>0</v>
      </c>
      <c r="J101" s="193">
        <f t="shared" si="19"/>
        <v>0</v>
      </c>
      <c r="K101" s="193">
        <f t="shared" si="19"/>
        <v>0</v>
      </c>
      <c r="L101" s="193">
        <f t="shared" si="19"/>
        <v>0</v>
      </c>
      <c r="M101" s="193">
        <f t="shared" si="19"/>
        <v>0</v>
      </c>
      <c r="N101" s="193">
        <f t="shared" si="19"/>
        <v>0</v>
      </c>
      <c r="O101" s="193">
        <f t="shared" si="19"/>
        <v>0</v>
      </c>
      <c r="P101" s="194">
        <f t="shared" si="19"/>
        <v>0</v>
      </c>
    </row>
    <row r="102" spans="1:16" x14ac:dyDescent="0.3">
      <c r="A102" s="195"/>
      <c r="B102" s="196" t="s">
        <v>347</v>
      </c>
      <c r="C102" s="196" t="s">
        <v>181</v>
      </c>
      <c r="D102" s="197">
        <v>2E-3</v>
      </c>
      <c r="E102" s="193">
        <f t="shared" si="18"/>
        <v>0</v>
      </c>
      <c r="F102" s="193">
        <f t="shared" si="19"/>
        <v>0</v>
      </c>
      <c r="G102" s="193">
        <f t="shared" si="19"/>
        <v>0</v>
      </c>
      <c r="H102" s="193">
        <f t="shared" si="19"/>
        <v>0</v>
      </c>
      <c r="I102" s="193">
        <f t="shared" si="19"/>
        <v>0</v>
      </c>
      <c r="J102" s="193">
        <f t="shared" si="19"/>
        <v>0</v>
      </c>
      <c r="K102" s="193">
        <f t="shared" si="19"/>
        <v>0</v>
      </c>
      <c r="L102" s="193">
        <f t="shared" si="19"/>
        <v>0</v>
      </c>
      <c r="M102" s="193">
        <f t="shared" si="19"/>
        <v>0</v>
      </c>
      <c r="N102" s="193">
        <f t="shared" si="19"/>
        <v>0</v>
      </c>
      <c r="O102" s="193">
        <f t="shared" si="19"/>
        <v>0</v>
      </c>
      <c r="P102" s="194">
        <f t="shared" si="19"/>
        <v>0</v>
      </c>
    </row>
    <row r="103" spans="1:16" x14ac:dyDescent="0.3">
      <c r="A103" s="195"/>
      <c r="B103" s="196" t="s">
        <v>345</v>
      </c>
      <c r="C103" s="196" t="s">
        <v>203</v>
      </c>
      <c r="D103" s="197">
        <v>2E-3</v>
      </c>
      <c r="E103" s="193">
        <f t="shared" si="18"/>
        <v>0</v>
      </c>
      <c r="F103" s="193">
        <f t="shared" si="19"/>
        <v>0</v>
      </c>
      <c r="G103" s="193">
        <f t="shared" si="19"/>
        <v>0</v>
      </c>
      <c r="H103" s="193">
        <f t="shared" si="19"/>
        <v>0</v>
      </c>
      <c r="I103" s="193">
        <f t="shared" si="19"/>
        <v>0</v>
      </c>
      <c r="J103" s="193">
        <f t="shared" si="19"/>
        <v>0</v>
      </c>
      <c r="K103" s="193">
        <f t="shared" si="19"/>
        <v>0</v>
      </c>
      <c r="L103" s="193">
        <f t="shared" si="19"/>
        <v>0</v>
      </c>
      <c r="M103" s="193">
        <f t="shared" si="19"/>
        <v>0</v>
      </c>
      <c r="N103" s="193">
        <f t="shared" si="19"/>
        <v>0</v>
      </c>
      <c r="O103" s="193">
        <f t="shared" si="19"/>
        <v>0</v>
      </c>
      <c r="P103" s="194">
        <f t="shared" si="19"/>
        <v>0</v>
      </c>
    </row>
    <row r="104" spans="1:16" x14ac:dyDescent="0.3">
      <c r="A104" s="195"/>
      <c r="B104" s="196" t="s">
        <v>362</v>
      </c>
      <c r="C104" s="196" t="s">
        <v>204</v>
      </c>
      <c r="D104" s="197"/>
      <c r="E104" s="193">
        <f t="shared" si="18"/>
        <v>0</v>
      </c>
      <c r="F104" s="193">
        <f t="shared" si="19"/>
        <v>0</v>
      </c>
      <c r="G104" s="193">
        <f t="shared" si="19"/>
        <v>0</v>
      </c>
      <c r="H104" s="193">
        <f t="shared" si="19"/>
        <v>0</v>
      </c>
      <c r="I104" s="193">
        <f t="shared" si="19"/>
        <v>0</v>
      </c>
      <c r="J104" s="193">
        <f t="shared" si="19"/>
        <v>0</v>
      </c>
      <c r="K104" s="193">
        <f t="shared" si="19"/>
        <v>0</v>
      </c>
      <c r="L104" s="193">
        <f t="shared" si="19"/>
        <v>0</v>
      </c>
      <c r="M104" s="193">
        <f t="shared" si="19"/>
        <v>0</v>
      </c>
      <c r="N104" s="193">
        <f t="shared" si="19"/>
        <v>0</v>
      </c>
      <c r="O104" s="193">
        <f t="shared" si="19"/>
        <v>0</v>
      </c>
      <c r="P104" s="194">
        <f t="shared" si="19"/>
        <v>0</v>
      </c>
    </row>
    <row r="105" spans="1:16" x14ac:dyDescent="0.3">
      <c r="A105" s="195"/>
      <c r="B105" s="196" t="s">
        <v>363</v>
      </c>
      <c r="C105" s="196" t="s">
        <v>205</v>
      </c>
      <c r="D105" s="197"/>
      <c r="E105" s="193">
        <f t="shared" si="18"/>
        <v>0</v>
      </c>
      <c r="F105" s="193">
        <f t="shared" ref="F105:P105" si="20">F$88*$D105</f>
        <v>0</v>
      </c>
      <c r="G105" s="193">
        <f t="shared" si="20"/>
        <v>0</v>
      </c>
      <c r="H105" s="193">
        <f t="shared" si="20"/>
        <v>0</v>
      </c>
      <c r="I105" s="193">
        <f t="shared" si="20"/>
        <v>0</v>
      </c>
      <c r="J105" s="193">
        <f t="shared" si="20"/>
        <v>0</v>
      </c>
      <c r="K105" s="193">
        <f t="shared" si="20"/>
        <v>0</v>
      </c>
      <c r="L105" s="193">
        <f t="shared" si="20"/>
        <v>0</v>
      </c>
      <c r="M105" s="193">
        <f t="shared" si="20"/>
        <v>0</v>
      </c>
      <c r="N105" s="193">
        <f t="shared" si="20"/>
        <v>0</v>
      </c>
      <c r="O105" s="193">
        <f t="shared" si="20"/>
        <v>0</v>
      </c>
      <c r="P105" s="194">
        <f t="shared" si="20"/>
        <v>0</v>
      </c>
    </row>
    <row r="106" spans="1:16" ht="17.25" thickBot="1" x14ac:dyDescent="0.35">
      <c r="A106" s="198"/>
      <c r="B106" s="199" t="s">
        <v>364</v>
      </c>
      <c r="C106" s="199" t="s">
        <v>206</v>
      </c>
      <c r="D106" s="200"/>
      <c r="E106" s="201">
        <f t="shared" ref="E106:P106" si="21">E$88*$D106</f>
        <v>0</v>
      </c>
      <c r="F106" s="201">
        <f t="shared" si="21"/>
        <v>0</v>
      </c>
      <c r="G106" s="201">
        <f t="shared" si="21"/>
        <v>0</v>
      </c>
      <c r="H106" s="201">
        <f t="shared" si="21"/>
        <v>0</v>
      </c>
      <c r="I106" s="201">
        <f t="shared" si="21"/>
        <v>0</v>
      </c>
      <c r="J106" s="201">
        <f t="shared" si="21"/>
        <v>0</v>
      </c>
      <c r="K106" s="201">
        <f t="shared" si="21"/>
        <v>0</v>
      </c>
      <c r="L106" s="201">
        <f t="shared" si="21"/>
        <v>0</v>
      </c>
      <c r="M106" s="201">
        <f t="shared" si="21"/>
        <v>0</v>
      </c>
      <c r="N106" s="201">
        <f t="shared" si="21"/>
        <v>0</v>
      </c>
      <c r="O106" s="201">
        <f t="shared" si="21"/>
        <v>0</v>
      </c>
      <c r="P106" s="202">
        <f t="shared" si="21"/>
        <v>0</v>
      </c>
    </row>
    <row r="107" spans="1:16" ht="17.25" thickBot="1" x14ac:dyDescent="0.35">
      <c r="A107" s="185">
        <v>325230</v>
      </c>
      <c r="B107" s="186"/>
      <c r="C107" s="187" t="s">
        <v>438</v>
      </c>
      <c r="D107" s="188">
        <f>SUM(D108:D111)</f>
        <v>1</v>
      </c>
      <c r="E107" s="189">
        <f>IFERROR(VLOOKUP($A107,완제품!$B:$CP,E$1,FALSE),0)</f>
        <v>0</v>
      </c>
      <c r="F107" s="189">
        <f>IFERROR(VLOOKUP($A107,완제품!$B:$CP,F$1,FALSE),0)</f>
        <v>300</v>
      </c>
      <c r="G107" s="189">
        <f>IFERROR(VLOOKUP($A107,완제품!$B:$CP,G$1,FALSE),0)</f>
        <v>0</v>
      </c>
      <c r="H107" s="189">
        <f>IFERROR(VLOOKUP($A107,완제품!$B:$CP,H$1,FALSE),0)</f>
        <v>0</v>
      </c>
      <c r="I107" s="189">
        <f>IFERROR(VLOOKUP($A107,완제품!$B:$CP,I$1,FALSE),0)</f>
        <v>0</v>
      </c>
      <c r="J107" s="189">
        <f>IFERROR(VLOOKUP($A107,완제품!$B:$CP,J$1,FALSE),0)</f>
        <v>0</v>
      </c>
      <c r="K107" s="189">
        <f>IFERROR(VLOOKUP($A107,완제품!$B:$CP,K$1,FALSE),0)</f>
        <v>0</v>
      </c>
      <c r="L107" s="189">
        <f>IFERROR(VLOOKUP($A107,완제품!$B:$CP,L$1,FALSE),0)</f>
        <v>0</v>
      </c>
      <c r="M107" s="189">
        <f>IFERROR(VLOOKUP($A107,완제품!$B:$CP,M$1,FALSE),0)</f>
        <v>0</v>
      </c>
      <c r="N107" s="189">
        <f>IFERROR(VLOOKUP($A107,완제품!$B:$CP,N$1,FALSE),0)</f>
        <v>0</v>
      </c>
      <c r="O107" s="189">
        <f>IFERROR(VLOOKUP($A107,완제품!$B:$CP,O$1,FALSE),0)</f>
        <v>0</v>
      </c>
      <c r="P107" s="189">
        <f>IFERROR(VLOOKUP($A107,완제품!$B:$CP,P$1,FALSE),0)</f>
        <v>0</v>
      </c>
    </row>
    <row r="108" spans="1:16" x14ac:dyDescent="0.3">
      <c r="A108" s="190"/>
      <c r="B108" s="191">
        <v>323298</v>
      </c>
      <c r="C108" s="191" t="s">
        <v>207</v>
      </c>
      <c r="D108" s="192">
        <v>0.14849999999999999</v>
      </c>
      <c r="E108" s="193">
        <f>E$107*$D108</f>
        <v>0</v>
      </c>
      <c r="F108" s="193">
        <f t="shared" ref="F108:P111" si="22">F$107*$D108</f>
        <v>44.55</v>
      </c>
      <c r="G108" s="193">
        <f t="shared" si="22"/>
        <v>0</v>
      </c>
      <c r="H108" s="193">
        <f t="shared" si="22"/>
        <v>0</v>
      </c>
      <c r="I108" s="193">
        <f t="shared" si="22"/>
        <v>0</v>
      </c>
      <c r="J108" s="193">
        <f t="shared" si="22"/>
        <v>0</v>
      </c>
      <c r="K108" s="193">
        <f t="shared" si="22"/>
        <v>0</v>
      </c>
      <c r="L108" s="193">
        <f t="shared" si="22"/>
        <v>0</v>
      </c>
      <c r="M108" s="193">
        <f t="shared" si="22"/>
        <v>0</v>
      </c>
      <c r="N108" s="193">
        <f t="shared" si="22"/>
        <v>0</v>
      </c>
      <c r="O108" s="193">
        <f t="shared" si="22"/>
        <v>0</v>
      </c>
      <c r="P108" s="194">
        <f t="shared" si="22"/>
        <v>0</v>
      </c>
    </row>
    <row r="109" spans="1:16" x14ac:dyDescent="0.3">
      <c r="A109" s="195"/>
      <c r="B109" s="196">
        <v>323299</v>
      </c>
      <c r="C109" s="196" t="s">
        <v>208</v>
      </c>
      <c r="D109" s="197">
        <v>2.3E-2</v>
      </c>
      <c r="E109" s="193">
        <f>E$107*$D109</f>
        <v>0</v>
      </c>
      <c r="F109" s="193">
        <f t="shared" si="22"/>
        <v>6.8999999999999995</v>
      </c>
      <c r="G109" s="193">
        <f t="shared" si="22"/>
        <v>0</v>
      </c>
      <c r="H109" s="193">
        <f t="shared" si="22"/>
        <v>0</v>
      </c>
      <c r="I109" s="193">
        <f t="shared" si="22"/>
        <v>0</v>
      </c>
      <c r="J109" s="193">
        <f t="shared" si="22"/>
        <v>0</v>
      </c>
      <c r="K109" s="193">
        <f t="shared" si="22"/>
        <v>0</v>
      </c>
      <c r="L109" s="193">
        <f t="shared" si="22"/>
        <v>0</v>
      </c>
      <c r="M109" s="193">
        <f t="shared" si="22"/>
        <v>0</v>
      </c>
      <c r="N109" s="193">
        <f t="shared" si="22"/>
        <v>0</v>
      </c>
      <c r="O109" s="193">
        <f t="shared" si="22"/>
        <v>0</v>
      </c>
      <c r="P109" s="194">
        <f t="shared" si="22"/>
        <v>0</v>
      </c>
    </row>
    <row r="110" spans="1:16" x14ac:dyDescent="0.3">
      <c r="A110" s="195"/>
      <c r="B110" s="196"/>
      <c r="C110" s="196" t="s">
        <v>209</v>
      </c>
      <c r="D110" s="197">
        <v>4.2000000000000003E-2</v>
      </c>
      <c r="E110" s="193">
        <f>E$107*$D110</f>
        <v>0</v>
      </c>
      <c r="F110" s="193">
        <f t="shared" si="22"/>
        <v>12.600000000000001</v>
      </c>
      <c r="G110" s="193">
        <f t="shared" si="22"/>
        <v>0</v>
      </c>
      <c r="H110" s="193">
        <f t="shared" si="22"/>
        <v>0</v>
      </c>
      <c r="I110" s="193">
        <f t="shared" si="22"/>
        <v>0</v>
      </c>
      <c r="J110" s="193">
        <f t="shared" si="22"/>
        <v>0</v>
      </c>
      <c r="K110" s="193">
        <f t="shared" si="22"/>
        <v>0</v>
      </c>
      <c r="L110" s="193">
        <f t="shared" si="22"/>
        <v>0</v>
      </c>
      <c r="M110" s="193">
        <f t="shared" si="22"/>
        <v>0</v>
      </c>
      <c r="N110" s="193">
        <f t="shared" si="22"/>
        <v>0</v>
      </c>
      <c r="O110" s="193">
        <f t="shared" si="22"/>
        <v>0</v>
      </c>
      <c r="P110" s="194">
        <f t="shared" si="22"/>
        <v>0</v>
      </c>
    </row>
    <row r="111" spans="1:16" ht="17.25" thickBot="1" x14ac:dyDescent="0.35">
      <c r="A111" s="198"/>
      <c r="B111" s="199" t="s">
        <v>325</v>
      </c>
      <c r="C111" s="199" t="s">
        <v>210</v>
      </c>
      <c r="D111" s="200">
        <v>0.78649999999999998</v>
      </c>
      <c r="E111" s="201">
        <f>E$107*$D111</f>
        <v>0</v>
      </c>
      <c r="F111" s="201">
        <f t="shared" si="22"/>
        <v>235.95</v>
      </c>
      <c r="G111" s="201">
        <f t="shared" si="22"/>
        <v>0</v>
      </c>
      <c r="H111" s="201">
        <f t="shared" si="22"/>
        <v>0</v>
      </c>
      <c r="I111" s="201">
        <f t="shared" si="22"/>
        <v>0</v>
      </c>
      <c r="J111" s="201">
        <f t="shared" si="22"/>
        <v>0</v>
      </c>
      <c r="K111" s="201">
        <f t="shared" si="22"/>
        <v>0</v>
      </c>
      <c r="L111" s="201">
        <f t="shared" si="22"/>
        <v>0</v>
      </c>
      <c r="M111" s="201">
        <f t="shared" si="22"/>
        <v>0</v>
      </c>
      <c r="N111" s="201">
        <f t="shared" si="22"/>
        <v>0</v>
      </c>
      <c r="O111" s="201">
        <f t="shared" si="22"/>
        <v>0</v>
      </c>
      <c r="P111" s="202">
        <f t="shared" si="22"/>
        <v>0</v>
      </c>
    </row>
    <row r="112" spans="1:16" ht="17.25" thickBot="1" x14ac:dyDescent="0.35">
      <c r="A112" s="205">
        <v>323298</v>
      </c>
      <c r="B112" s="186"/>
      <c r="C112" s="187" t="s">
        <v>439</v>
      </c>
      <c r="D112" s="188">
        <f>SUM(D113:D122)</f>
        <v>0.99999999999999989</v>
      </c>
      <c r="E112" s="189">
        <f t="shared" ref="E112" si="23">+E108</f>
        <v>0</v>
      </c>
      <c r="F112" s="189">
        <f>+F108</f>
        <v>44.55</v>
      </c>
      <c r="G112" s="189">
        <f t="shared" ref="G112:P112" si="24">+G108</f>
        <v>0</v>
      </c>
      <c r="H112" s="189">
        <f t="shared" si="24"/>
        <v>0</v>
      </c>
      <c r="I112" s="189">
        <f t="shared" si="24"/>
        <v>0</v>
      </c>
      <c r="J112" s="189">
        <f t="shared" si="24"/>
        <v>0</v>
      </c>
      <c r="K112" s="189">
        <f t="shared" si="24"/>
        <v>0</v>
      </c>
      <c r="L112" s="189">
        <f t="shared" si="24"/>
        <v>0</v>
      </c>
      <c r="M112" s="189">
        <f t="shared" si="24"/>
        <v>0</v>
      </c>
      <c r="N112" s="189">
        <f t="shared" si="24"/>
        <v>0</v>
      </c>
      <c r="O112" s="189">
        <f t="shared" si="24"/>
        <v>0</v>
      </c>
      <c r="P112" s="189">
        <f t="shared" si="24"/>
        <v>0</v>
      </c>
    </row>
    <row r="113" spans="1:16" x14ac:dyDescent="0.3">
      <c r="A113" s="190"/>
      <c r="B113" s="191" t="s">
        <v>330</v>
      </c>
      <c r="C113" s="191" t="s">
        <v>211</v>
      </c>
      <c r="D113" s="192">
        <v>2.7303754266211604E-2</v>
      </c>
      <c r="E113" s="193">
        <f>E$112*$D113</f>
        <v>0</v>
      </c>
      <c r="F113" s="193">
        <f t="shared" ref="F113:P127" si="25">F$112*$D113</f>
        <v>1.216382252559727</v>
      </c>
      <c r="G113" s="193">
        <f t="shared" si="25"/>
        <v>0</v>
      </c>
      <c r="H113" s="193">
        <f t="shared" si="25"/>
        <v>0</v>
      </c>
      <c r="I113" s="193">
        <f t="shared" si="25"/>
        <v>0</v>
      </c>
      <c r="J113" s="193">
        <f t="shared" si="25"/>
        <v>0</v>
      </c>
      <c r="K113" s="193">
        <f t="shared" si="25"/>
        <v>0</v>
      </c>
      <c r="L113" s="193">
        <f t="shared" si="25"/>
        <v>0</v>
      </c>
      <c r="M113" s="193">
        <f t="shared" si="25"/>
        <v>0</v>
      </c>
      <c r="N113" s="193">
        <f t="shared" si="25"/>
        <v>0</v>
      </c>
      <c r="O113" s="193">
        <f t="shared" si="25"/>
        <v>0</v>
      </c>
      <c r="P113" s="194">
        <f t="shared" si="25"/>
        <v>0</v>
      </c>
    </row>
    <row r="114" spans="1:16" x14ac:dyDescent="0.3">
      <c r="A114" s="195"/>
      <c r="B114" s="196" t="s">
        <v>327</v>
      </c>
      <c r="C114" s="196" t="s">
        <v>151</v>
      </c>
      <c r="D114" s="197">
        <v>0.25255972696245732</v>
      </c>
      <c r="E114" s="193">
        <f t="shared" ref="E114:E127" si="26">E$112*$D114</f>
        <v>0</v>
      </c>
      <c r="F114" s="193">
        <f t="shared" si="25"/>
        <v>11.251535836177473</v>
      </c>
      <c r="G114" s="193">
        <f t="shared" si="25"/>
        <v>0</v>
      </c>
      <c r="H114" s="193">
        <f t="shared" si="25"/>
        <v>0</v>
      </c>
      <c r="I114" s="193">
        <f t="shared" si="25"/>
        <v>0</v>
      </c>
      <c r="J114" s="193">
        <f t="shared" si="25"/>
        <v>0</v>
      </c>
      <c r="K114" s="193">
        <f t="shared" si="25"/>
        <v>0</v>
      </c>
      <c r="L114" s="193">
        <f t="shared" si="25"/>
        <v>0</v>
      </c>
      <c r="M114" s="193">
        <f t="shared" si="25"/>
        <v>0</v>
      </c>
      <c r="N114" s="193">
        <f t="shared" si="25"/>
        <v>0</v>
      </c>
      <c r="O114" s="193">
        <f t="shared" si="25"/>
        <v>0</v>
      </c>
      <c r="P114" s="194">
        <f t="shared" si="25"/>
        <v>0</v>
      </c>
    </row>
    <row r="115" spans="1:16" x14ac:dyDescent="0.3">
      <c r="A115" s="195"/>
      <c r="B115" s="196" t="s">
        <v>358</v>
      </c>
      <c r="C115" s="196" t="s">
        <v>212</v>
      </c>
      <c r="D115" s="197">
        <v>0.11604095563139931</v>
      </c>
      <c r="E115" s="193">
        <f t="shared" si="26"/>
        <v>0</v>
      </c>
      <c r="F115" s="193">
        <f t="shared" si="25"/>
        <v>5.1696245733788393</v>
      </c>
      <c r="G115" s="193">
        <f t="shared" si="25"/>
        <v>0</v>
      </c>
      <c r="H115" s="193">
        <f t="shared" si="25"/>
        <v>0</v>
      </c>
      <c r="I115" s="193">
        <f t="shared" si="25"/>
        <v>0</v>
      </c>
      <c r="J115" s="193">
        <f t="shared" si="25"/>
        <v>0</v>
      </c>
      <c r="K115" s="193">
        <f t="shared" si="25"/>
        <v>0</v>
      </c>
      <c r="L115" s="193">
        <f t="shared" si="25"/>
        <v>0</v>
      </c>
      <c r="M115" s="193">
        <f t="shared" si="25"/>
        <v>0</v>
      </c>
      <c r="N115" s="193">
        <f t="shared" si="25"/>
        <v>0</v>
      </c>
      <c r="O115" s="193">
        <f t="shared" si="25"/>
        <v>0</v>
      </c>
      <c r="P115" s="194">
        <f t="shared" si="25"/>
        <v>0</v>
      </c>
    </row>
    <row r="116" spans="1:16" x14ac:dyDescent="0.3">
      <c r="A116" s="195"/>
      <c r="B116" s="196" t="s">
        <v>331</v>
      </c>
      <c r="C116" s="196" t="s">
        <v>213</v>
      </c>
      <c r="D116" s="197">
        <v>0.14675767918088733</v>
      </c>
      <c r="E116" s="193">
        <f t="shared" si="26"/>
        <v>0</v>
      </c>
      <c r="F116" s="193">
        <f t="shared" si="25"/>
        <v>6.5380546075085304</v>
      </c>
      <c r="G116" s="193">
        <f t="shared" si="25"/>
        <v>0</v>
      </c>
      <c r="H116" s="193">
        <f t="shared" si="25"/>
        <v>0</v>
      </c>
      <c r="I116" s="193">
        <f t="shared" si="25"/>
        <v>0</v>
      </c>
      <c r="J116" s="193">
        <f t="shared" si="25"/>
        <v>0</v>
      </c>
      <c r="K116" s="193">
        <f t="shared" si="25"/>
        <v>0</v>
      </c>
      <c r="L116" s="193">
        <f t="shared" si="25"/>
        <v>0</v>
      </c>
      <c r="M116" s="193">
        <f t="shared" si="25"/>
        <v>0</v>
      </c>
      <c r="N116" s="193">
        <f t="shared" si="25"/>
        <v>0</v>
      </c>
      <c r="O116" s="193">
        <f t="shared" si="25"/>
        <v>0</v>
      </c>
      <c r="P116" s="194">
        <f t="shared" si="25"/>
        <v>0</v>
      </c>
    </row>
    <row r="117" spans="1:16" x14ac:dyDescent="0.3">
      <c r="A117" s="195"/>
      <c r="B117" s="196" t="s">
        <v>344</v>
      </c>
      <c r="C117" s="196" t="s">
        <v>70</v>
      </c>
      <c r="D117" s="197">
        <v>0.136518771331058</v>
      </c>
      <c r="E117" s="193">
        <f t="shared" si="26"/>
        <v>0</v>
      </c>
      <c r="F117" s="193">
        <f t="shared" si="25"/>
        <v>6.0819112627986334</v>
      </c>
      <c r="G117" s="193">
        <f t="shared" si="25"/>
        <v>0</v>
      </c>
      <c r="H117" s="193">
        <f t="shared" si="25"/>
        <v>0</v>
      </c>
      <c r="I117" s="193">
        <f t="shared" si="25"/>
        <v>0</v>
      </c>
      <c r="J117" s="193">
        <f t="shared" si="25"/>
        <v>0</v>
      </c>
      <c r="K117" s="193">
        <f t="shared" si="25"/>
        <v>0</v>
      </c>
      <c r="L117" s="193">
        <f t="shared" si="25"/>
        <v>0</v>
      </c>
      <c r="M117" s="193">
        <f t="shared" si="25"/>
        <v>0</v>
      </c>
      <c r="N117" s="193">
        <f t="shared" si="25"/>
        <v>0</v>
      </c>
      <c r="O117" s="193">
        <f t="shared" si="25"/>
        <v>0</v>
      </c>
      <c r="P117" s="194">
        <f t="shared" si="25"/>
        <v>0</v>
      </c>
    </row>
    <row r="118" spans="1:16" x14ac:dyDescent="0.3">
      <c r="A118" s="195"/>
      <c r="B118" s="196" t="s">
        <v>365</v>
      </c>
      <c r="C118" s="196" t="s">
        <v>214</v>
      </c>
      <c r="D118" s="197">
        <v>0.10921501706484642</v>
      </c>
      <c r="E118" s="193">
        <f t="shared" si="26"/>
        <v>0</v>
      </c>
      <c r="F118" s="193">
        <f t="shared" si="25"/>
        <v>4.8655290102389079</v>
      </c>
      <c r="G118" s="193">
        <f t="shared" si="25"/>
        <v>0</v>
      </c>
      <c r="H118" s="193">
        <f t="shared" si="25"/>
        <v>0</v>
      </c>
      <c r="I118" s="193">
        <f t="shared" si="25"/>
        <v>0</v>
      </c>
      <c r="J118" s="193">
        <f t="shared" si="25"/>
        <v>0</v>
      </c>
      <c r="K118" s="193">
        <f t="shared" si="25"/>
        <v>0</v>
      </c>
      <c r="L118" s="193">
        <f t="shared" si="25"/>
        <v>0</v>
      </c>
      <c r="M118" s="193">
        <f t="shared" si="25"/>
        <v>0</v>
      </c>
      <c r="N118" s="193">
        <f t="shared" si="25"/>
        <v>0</v>
      </c>
      <c r="O118" s="193">
        <f t="shared" si="25"/>
        <v>0</v>
      </c>
      <c r="P118" s="194">
        <f t="shared" si="25"/>
        <v>0</v>
      </c>
    </row>
    <row r="119" spans="1:16" x14ac:dyDescent="0.3">
      <c r="A119" s="195"/>
      <c r="B119" s="196" t="s">
        <v>366</v>
      </c>
      <c r="C119" s="196" t="s">
        <v>75</v>
      </c>
      <c r="D119" s="197">
        <v>0.136518771331058</v>
      </c>
      <c r="E119" s="193">
        <f t="shared" si="26"/>
        <v>0</v>
      </c>
      <c r="F119" s="193">
        <f t="shared" si="25"/>
        <v>6.0819112627986334</v>
      </c>
      <c r="G119" s="193">
        <f t="shared" si="25"/>
        <v>0</v>
      </c>
      <c r="H119" s="193">
        <f t="shared" si="25"/>
        <v>0</v>
      </c>
      <c r="I119" s="193">
        <f t="shared" si="25"/>
        <v>0</v>
      </c>
      <c r="J119" s="193">
        <f t="shared" si="25"/>
        <v>0</v>
      </c>
      <c r="K119" s="193">
        <f t="shared" si="25"/>
        <v>0</v>
      </c>
      <c r="L119" s="193">
        <f t="shared" si="25"/>
        <v>0</v>
      </c>
      <c r="M119" s="193">
        <f t="shared" si="25"/>
        <v>0</v>
      </c>
      <c r="N119" s="193">
        <f t="shared" si="25"/>
        <v>0</v>
      </c>
      <c r="O119" s="193">
        <f t="shared" si="25"/>
        <v>0</v>
      </c>
      <c r="P119" s="194">
        <f t="shared" si="25"/>
        <v>0</v>
      </c>
    </row>
    <row r="120" spans="1:16" x14ac:dyDescent="0.3">
      <c r="A120" s="195"/>
      <c r="B120" s="196" t="s">
        <v>367</v>
      </c>
      <c r="C120" s="196" t="s">
        <v>215</v>
      </c>
      <c r="D120" s="197">
        <v>5.4607508532423209E-2</v>
      </c>
      <c r="E120" s="193">
        <f t="shared" si="26"/>
        <v>0</v>
      </c>
      <c r="F120" s="193">
        <f t="shared" si="25"/>
        <v>2.432764505119454</v>
      </c>
      <c r="G120" s="193">
        <f t="shared" si="25"/>
        <v>0</v>
      </c>
      <c r="H120" s="193">
        <f t="shared" si="25"/>
        <v>0</v>
      </c>
      <c r="I120" s="193">
        <f t="shared" si="25"/>
        <v>0</v>
      </c>
      <c r="J120" s="193">
        <f t="shared" si="25"/>
        <v>0</v>
      </c>
      <c r="K120" s="193">
        <f t="shared" si="25"/>
        <v>0</v>
      </c>
      <c r="L120" s="193">
        <f t="shared" si="25"/>
        <v>0</v>
      </c>
      <c r="M120" s="193">
        <f t="shared" si="25"/>
        <v>0</v>
      </c>
      <c r="N120" s="193">
        <f t="shared" si="25"/>
        <v>0</v>
      </c>
      <c r="O120" s="193">
        <f t="shared" si="25"/>
        <v>0</v>
      </c>
      <c r="P120" s="194">
        <f t="shared" si="25"/>
        <v>0</v>
      </c>
    </row>
    <row r="121" spans="1:16" x14ac:dyDescent="0.3">
      <c r="A121" s="195"/>
      <c r="B121" s="196" t="s">
        <v>368</v>
      </c>
      <c r="C121" s="196" t="s">
        <v>216</v>
      </c>
      <c r="D121" s="197">
        <v>1.0238907849829353E-2</v>
      </c>
      <c r="E121" s="193">
        <f t="shared" si="26"/>
        <v>0</v>
      </c>
      <c r="F121" s="193">
        <f t="shared" si="25"/>
        <v>0.45614334470989765</v>
      </c>
      <c r="G121" s="193">
        <f t="shared" si="25"/>
        <v>0</v>
      </c>
      <c r="H121" s="193">
        <f t="shared" si="25"/>
        <v>0</v>
      </c>
      <c r="I121" s="193">
        <f t="shared" si="25"/>
        <v>0</v>
      </c>
      <c r="J121" s="193">
        <f t="shared" si="25"/>
        <v>0</v>
      </c>
      <c r="K121" s="193">
        <f t="shared" si="25"/>
        <v>0</v>
      </c>
      <c r="L121" s="193">
        <f t="shared" si="25"/>
        <v>0</v>
      </c>
      <c r="M121" s="193">
        <f t="shared" si="25"/>
        <v>0</v>
      </c>
      <c r="N121" s="193">
        <f t="shared" si="25"/>
        <v>0</v>
      </c>
      <c r="O121" s="193">
        <f t="shared" si="25"/>
        <v>0</v>
      </c>
      <c r="P121" s="194">
        <f t="shared" si="25"/>
        <v>0</v>
      </c>
    </row>
    <row r="122" spans="1:16" x14ac:dyDescent="0.3">
      <c r="A122" s="195"/>
      <c r="B122" s="196" t="s">
        <v>369</v>
      </c>
      <c r="C122" s="196" t="s">
        <v>217</v>
      </c>
      <c r="D122" s="197">
        <v>1.0238907849829353E-2</v>
      </c>
      <c r="E122" s="193">
        <f t="shared" si="26"/>
        <v>0</v>
      </c>
      <c r="F122" s="193">
        <f t="shared" si="25"/>
        <v>0.45614334470989765</v>
      </c>
      <c r="G122" s="193">
        <f t="shared" si="25"/>
        <v>0</v>
      </c>
      <c r="H122" s="193">
        <f t="shared" si="25"/>
        <v>0</v>
      </c>
      <c r="I122" s="193">
        <f t="shared" si="25"/>
        <v>0</v>
      </c>
      <c r="J122" s="193">
        <f t="shared" si="25"/>
        <v>0</v>
      </c>
      <c r="K122" s="193">
        <f t="shared" si="25"/>
        <v>0</v>
      </c>
      <c r="L122" s="193">
        <f t="shared" si="25"/>
        <v>0</v>
      </c>
      <c r="M122" s="193">
        <f t="shared" si="25"/>
        <v>0</v>
      </c>
      <c r="N122" s="193">
        <f t="shared" si="25"/>
        <v>0</v>
      </c>
      <c r="O122" s="193">
        <f t="shared" si="25"/>
        <v>0</v>
      </c>
      <c r="P122" s="194">
        <f t="shared" si="25"/>
        <v>0</v>
      </c>
    </row>
    <row r="123" spans="1:16" x14ac:dyDescent="0.3">
      <c r="A123" s="195"/>
      <c r="B123" s="206" t="s">
        <v>370</v>
      </c>
      <c r="C123" s="206" t="s">
        <v>218</v>
      </c>
      <c r="D123" s="207"/>
      <c r="E123" s="193">
        <f t="shared" si="26"/>
        <v>0</v>
      </c>
      <c r="F123" s="193">
        <f t="shared" si="25"/>
        <v>0</v>
      </c>
      <c r="G123" s="193">
        <f t="shared" si="25"/>
        <v>0</v>
      </c>
      <c r="H123" s="193">
        <f t="shared" si="25"/>
        <v>0</v>
      </c>
      <c r="I123" s="193">
        <f t="shared" si="25"/>
        <v>0</v>
      </c>
      <c r="J123" s="193">
        <f t="shared" si="25"/>
        <v>0</v>
      </c>
      <c r="K123" s="193">
        <f t="shared" si="25"/>
        <v>0</v>
      </c>
      <c r="L123" s="193">
        <f t="shared" si="25"/>
        <v>0</v>
      </c>
      <c r="M123" s="193">
        <f t="shared" si="25"/>
        <v>0</v>
      </c>
      <c r="N123" s="193">
        <f t="shared" si="25"/>
        <v>0</v>
      </c>
      <c r="O123" s="193">
        <f t="shared" si="25"/>
        <v>0</v>
      </c>
      <c r="P123" s="194">
        <f t="shared" si="25"/>
        <v>0</v>
      </c>
    </row>
    <row r="124" spans="1:16" x14ac:dyDescent="0.3">
      <c r="A124" s="195"/>
      <c r="B124" s="206" t="s">
        <v>371</v>
      </c>
      <c r="C124" s="206" t="s">
        <v>219</v>
      </c>
      <c r="D124" s="207"/>
      <c r="E124" s="193">
        <f t="shared" si="26"/>
        <v>0</v>
      </c>
      <c r="F124" s="193">
        <f t="shared" si="25"/>
        <v>0</v>
      </c>
      <c r="G124" s="193">
        <f t="shared" si="25"/>
        <v>0</v>
      </c>
      <c r="H124" s="193">
        <f t="shared" si="25"/>
        <v>0</v>
      </c>
      <c r="I124" s="193">
        <f t="shared" si="25"/>
        <v>0</v>
      </c>
      <c r="J124" s="193">
        <f t="shared" si="25"/>
        <v>0</v>
      </c>
      <c r="K124" s="193">
        <f t="shared" si="25"/>
        <v>0</v>
      </c>
      <c r="L124" s="193">
        <f t="shared" si="25"/>
        <v>0</v>
      </c>
      <c r="M124" s="193">
        <f t="shared" si="25"/>
        <v>0</v>
      </c>
      <c r="N124" s="193">
        <f t="shared" si="25"/>
        <v>0</v>
      </c>
      <c r="O124" s="193">
        <f t="shared" si="25"/>
        <v>0</v>
      </c>
      <c r="P124" s="194">
        <f t="shared" si="25"/>
        <v>0</v>
      </c>
    </row>
    <row r="125" spans="1:16" x14ac:dyDescent="0.3">
      <c r="A125" s="195"/>
      <c r="B125" s="206" t="s">
        <v>372</v>
      </c>
      <c r="C125" s="206" t="s">
        <v>220</v>
      </c>
      <c r="D125" s="207"/>
      <c r="E125" s="193">
        <f t="shared" si="26"/>
        <v>0</v>
      </c>
      <c r="F125" s="193">
        <f t="shared" si="25"/>
        <v>0</v>
      </c>
      <c r="G125" s="193">
        <f t="shared" si="25"/>
        <v>0</v>
      </c>
      <c r="H125" s="193">
        <f t="shared" si="25"/>
        <v>0</v>
      </c>
      <c r="I125" s="193">
        <f t="shared" si="25"/>
        <v>0</v>
      </c>
      <c r="J125" s="193">
        <f t="shared" si="25"/>
        <v>0</v>
      </c>
      <c r="K125" s="193">
        <f t="shared" si="25"/>
        <v>0</v>
      </c>
      <c r="L125" s="193">
        <f t="shared" si="25"/>
        <v>0</v>
      </c>
      <c r="M125" s="193">
        <f t="shared" si="25"/>
        <v>0</v>
      </c>
      <c r="N125" s="193">
        <f t="shared" si="25"/>
        <v>0</v>
      </c>
      <c r="O125" s="193">
        <f t="shared" si="25"/>
        <v>0</v>
      </c>
      <c r="P125" s="194">
        <f t="shared" si="25"/>
        <v>0</v>
      </c>
    </row>
    <row r="126" spans="1:16" x14ac:dyDescent="0.3">
      <c r="A126" s="195"/>
      <c r="B126" s="206" t="s">
        <v>373</v>
      </c>
      <c r="C126" s="206" t="s">
        <v>221</v>
      </c>
      <c r="D126" s="207"/>
      <c r="E126" s="193">
        <f t="shared" si="26"/>
        <v>0</v>
      </c>
      <c r="F126" s="193">
        <f t="shared" si="25"/>
        <v>0</v>
      </c>
      <c r="G126" s="193">
        <f t="shared" si="25"/>
        <v>0</v>
      </c>
      <c r="H126" s="193">
        <f t="shared" si="25"/>
        <v>0</v>
      </c>
      <c r="I126" s="193">
        <f t="shared" si="25"/>
        <v>0</v>
      </c>
      <c r="J126" s="193">
        <f t="shared" si="25"/>
        <v>0</v>
      </c>
      <c r="K126" s="193">
        <f t="shared" si="25"/>
        <v>0</v>
      </c>
      <c r="L126" s="193">
        <f t="shared" si="25"/>
        <v>0</v>
      </c>
      <c r="M126" s="193">
        <f t="shared" si="25"/>
        <v>0</v>
      </c>
      <c r="N126" s="193">
        <f t="shared" si="25"/>
        <v>0</v>
      </c>
      <c r="O126" s="193">
        <f t="shared" si="25"/>
        <v>0</v>
      </c>
      <c r="P126" s="194">
        <f t="shared" si="25"/>
        <v>0</v>
      </c>
    </row>
    <row r="127" spans="1:16" ht="17.25" thickBot="1" x14ac:dyDescent="0.35">
      <c r="A127" s="198"/>
      <c r="B127" s="208" t="s">
        <v>374</v>
      </c>
      <c r="C127" s="208" t="s">
        <v>222</v>
      </c>
      <c r="D127" s="209"/>
      <c r="E127" s="201">
        <f t="shared" si="26"/>
        <v>0</v>
      </c>
      <c r="F127" s="201">
        <f t="shared" si="25"/>
        <v>0</v>
      </c>
      <c r="G127" s="201">
        <f t="shared" si="25"/>
        <v>0</v>
      </c>
      <c r="H127" s="201">
        <f t="shared" si="25"/>
        <v>0</v>
      </c>
      <c r="I127" s="201">
        <f t="shared" si="25"/>
        <v>0</v>
      </c>
      <c r="J127" s="201">
        <f t="shared" si="25"/>
        <v>0</v>
      </c>
      <c r="K127" s="201">
        <f t="shared" si="25"/>
        <v>0</v>
      </c>
      <c r="L127" s="201">
        <f t="shared" si="25"/>
        <v>0</v>
      </c>
      <c r="M127" s="201">
        <f t="shared" si="25"/>
        <v>0</v>
      </c>
      <c r="N127" s="201">
        <f t="shared" si="25"/>
        <v>0</v>
      </c>
      <c r="O127" s="201">
        <f t="shared" si="25"/>
        <v>0</v>
      </c>
      <c r="P127" s="202">
        <f t="shared" si="25"/>
        <v>0</v>
      </c>
    </row>
    <row r="128" spans="1:16" ht="17.25" thickBot="1" x14ac:dyDescent="0.35">
      <c r="A128" s="185">
        <v>323299</v>
      </c>
      <c r="B128" s="186"/>
      <c r="C128" s="187" t="s">
        <v>440</v>
      </c>
      <c r="D128" s="188">
        <f>SUM(D129:D130)</f>
        <v>1</v>
      </c>
      <c r="E128" s="189">
        <f t="shared" ref="E128" si="27">+E109</f>
        <v>0</v>
      </c>
      <c r="F128" s="189">
        <f>+F109</f>
        <v>6.8999999999999995</v>
      </c>
      <c r="G128" s="189">
        <f t="shared" ref="G128:P128" si="28">+G109</f>
        <v>0</v>
      </c>
      <c r="H128" s="189">
        <f t="shared" si="28"/>
        <v>0</v>
      </c>
      <c r="I128" s="189">
        <f t="shared" si="28"/>
        <v>0</v>
      </c>
      <c r="J128" s="189">
        <f t="shared" si="28"/>
        <v>0</v>
      </c>
      <c r="K128" s="189">
        <f t="shared" si="28"/>
        <v>0</v>
      </c>
      <c r="L128" s="189">
        <f t="shared" si="28"/>
        <v>0</v>
      </c>
      <c r="M128" s="189">
        <f t="shared" si="28"/>
        <v>0</v>
      </c>
      <c r="N128" s="189">
        <f t="shared" si="28"/>
        <v>0</v>
      </c>
      <c r="O128" s="189">
        <f t="shared" si="28"/>
        <v>0</v>
      </c>
      <c r="P128" s="189">
        <f t="shared" si="28"/>
        <v>0</v>
      </c>
    </row>
    <row r="129" spans="1:16" x14ac:dyDescent="0.3">
      <c r="A129" s="190"/>
      <c r="B129" s="191" t="s">
        <v>333</v>
      </c>
      <c r="C129" s="191" t="s">
        <v>158</v>
      </c>
      <c r="D129" s="192">
        <v>0.56524390243902445</v>
      </c>
      <c r="E129" s="193">
        <f>E$128*$D129</f>
        <v>0</v>
      </c>
      <c r="F129" s="193">
        <f t="shared" ref="F129:P135" si="29">F$128*$D129</f>
        <v>3.9001829268292685</v>
      </c>
      <c r="G129" s="193">
        <f t="shared" si="29"/>
        <v>0</v>
      </c>
      <c r="H129" s="193">
        <f t="shared" si="29"/>
        <v>0</v>
      </c>
      <c r="I129" s="193">
        <f t="shared" si="29"/>
        <v>0</v>
      </c>
      <c r="J129" s="193">
        <f t="shared" si="29"/>
        <v>0</v>
      </c>
      <c r="K129" s="193">
        <f t="shared" si="29"/>
        <v>0</v>
      </c>
      <c r="L129" s="193">
        <f t="shared" si="29"/>
        <v>0</v>
      </c>
      <c r="M129" s="193">
        <f t="shared" si="29"/>
        <v>0</v>
      </c>
      <c r="N129" s="193">
        <f t="shared" si="29"/>
        <v>0</v>
      </c>
      <c r="O129" s="193">
        <f t="shared" si="29"/>
        <v>0</v>
      </c>
      <c r="P129" s="194">
        <f t="shared" si="29"/>
        <v>0</v>
      </c>
    </row>
    <row r="130" spans="1:16" x14ac:dyDescent="0.3">
      <c r="A130" s="195"/>
      <c r="B130" s="196" t="s">
        <v>332</v>
      </c>
      <c r="C130" s="196" t="s">
        <v>157</v>
      </c>
      <c r="D130" s="197">
        <v>0.43475609756097561</v>
      </c>
      <c r="E130" s="193">
        <f t="shared" ref="E130:E135" si="30">E$128*$D130</f>
        <v>0</v>
      </c>
      <c r="F130" s="193">
        <f t="shared" si="29"/>
        <v>2.9998170731707314</v>
      </c>
      <c r="G130" s="193">
        <f t="shared" si="29"/>
        <v>0</v>
      </c>
      <c r="H130" s="193">
        <f t="shared" si="29"/>
        <v>0</v>
      </c>
      <c r="I130" s="193">
        <f t="shared" si="29"/>
        <v>0</v>
      </c>
      <c r="J130" s="193">
        <f t="shared" si="29"/>
        <v>0</v>
      </c>
      <c r="K130" s="193">
        <f t="shared" si="29"/>
        <v>0</v>
      </c>
      <c r="L130" s="193">
        <f t="shared" si="29"/>
        <v>0</v>
      </c>
      <c r="M130" s="193">
        <f t="shared" si="29"/>
        <v>0</v>
      </c>
      <c r="N130" s="193">
        <f t="shared" si="29"/>
        <v>0</v>
      </c>
      <c r="O130" s="193">
        <f t="shared" si="29"/>
        <v>0</v>
      </c>
      <c r="P130" s="194">
        <f t="shared" si="29"/>
        <v>0</v>
      </c>
    </row>
    <row r="131" spans="1:16" x14ac:dyDescent="0.3">
      <c r="A131" s="195"/>
      <c r="B131" s="83" t="s">
        <v>370</v>
      </c>
      <c r="C131" s="83" t="s">
        <v>218</v>
      </c>
      <c r="D131" s="210"/>
      <c r="E131" s="193">
        <f t="shared" si="30"/>
        <v>0</v>
      </c>
      <c r="F131" s="193">
        <f t="shared" si="29"/>
        <v>0</v>
      </c>
      <c r="G131" s="193">
        <f t="shared" si="29"/>
        <v>0</v>
      </c>
      <c r="H131" s="193">
        <f t="shared" si="29"/>
        <v>0</v>
      </c>
      <c r="I131" s="193">
        <f t="shared" si="29"/>
        <v>0</v>
      </c>
      <c r="J131" s="193">
        <f t="shared" si="29"/>
        <v>0</v>
      </c>
      <c r="K131" s="193">
        <f t="shared" si="29"/>
        <v>0</v>
      </c>
      <c r="L131" s="193">
        <f t="shared" si="29"/>
        <v>0</v>
      </c>
      <c r="M131" s="193">
        <f t="shared" si="29"/>
        <v>0</v>
      </c>
      <c r="N131" s="193">
        <f t="shared" si="29"/>
        <v>0</v>
      </c>
      <c r="O131" s="193">
        <f t="shared" si="29"/>
        <v>0</v>
      </c>
      <c r="P131" s="194">
        <f t="shared" si="29"/>
        <v>0</v>
      </c>
    </row>
    <row r="132" spans="1:16" x14ac:dyDescent="0.3">
      <c r="A132" s="195"/>
      <c r="B132" s="83" t="s">
        <v>371</v>
      </c>
      <c r="C132" s="83" t="s">
        <v>219</v>
      </c>
      <c r="D132" s="210"/>
      <c r="E132" s="193">
        <f t="shared" si="30"/>
        <v>0</v>
      </c>
      <c r="F132" s="193">
        <f t="shared" si="29"/>
        <v>0</v>
      </c>
      <c r="G132" s="193">
        <f t="shared" si="29"/>
        <v>0</v>
      </c>
      <c r="H132" s="193">
        <f t="shared" si="29"/>
        <v>0</v>
      </c>
      <c r="I132" s="193">
        <f t="shared" si="29"/>
        <v>0</v>
      </c>
      <c r="J132" s="193">
        <f t="shared" si="29"/>
        <v>0</v>
      </c>
      <c r="K132" s="193">
        <f t="shared" si="29"/>
        <v>0</v>
      </c>
      <c r="L132" s="193">
        <f t="shared" si="29"/>
        <v>0</v>
      </c>
      <c r="M132" s="193">
        <f t="shared" si="29"/>
        <v>0</v>
      </c>
      <c r="N132" s="193">
        <f t="shared" si="29"/>
        <v>0</v>
      </c>
      <c r="O132" s="193">
        <f t="shared" si="29"/>
        <v>0</v>
      </c>
      <c r="P132" s="194">
        <f t="shared" si="29"/>
        <v>0</v>
      </c>
    </row>
    <row r="133" spans="1:16" x14ac:dyDescent="0.3">
      <c r="A133" s="195"/>
      <c r="B133" s="83" t="s">
        <v>372</v>
      </c>
      <c r="C133" s="83" t="s">
        <v>220</v>
      </c>
      <c r="D133" s="210"/>
      <c r="E133" s="193">
        <f t="shared" si="30"/>
        <v>0</v>
      </c>
      <c r="F133" s="193">
        <f t="shared" si="29"/>
        <v>0</v>
      </c>
      <c r="G133" s="193">
        <f t="shared" si="29"/>
        <v>0</v>
      </c>
      <c r="H133" s="193">
        <f t="shared" si="29"/>
        <v>0</v>
      </c>
      <c r="I133" s="193">
        <f t="shared" si="29"/>
        <v>0</v>
      </c>
      <c r="J133" s="193">
        <f t="shared" si="29"/>
        <v>0</v>
      </c>
      <c r="K133" s="193">
        <f t="shared" si="29"/>
        <v>0</v>
      </c>
      <c r="L133" s="193">
        <f t="shared" si="29"/>
        <v>0</v>
      </c>
      <c r="M133" s="193">
        <f t="shared" si="29"/>
        <v>0</v>
      </c>
      <c r="N133" s="193">
        <f t="shared" si="29"/>
        <v>0</v>
      </c>
      <c r="O133" s="193">
        <f t="shared" si="29"/>
        <v>0</v>
      </c>
      <c r="P133" s="194">
        <f t="shared" si="29"/>
        <v>0</v>
      </c>
    </row>
    <row r="134" spans="1:16" x14ac:dyDescent="0.3">
      <c r="A134" s="195"/>
      <c r="B134" s="83" t="s">
        <v>373</v>
      </c>
      <c r="C134" s="83" t="s">
        <v>221</v>
      </c>
      <c r="D134" s="210"/>
      <c r="E134" s="193">
        <f t="shared" si="30"/>
        <v>0</v>
      </c>
      <c r="F134" s="193">
        <f t="shared" si="29"/>
        <v>0</v>
      </c>
      <c r="G134" s="193">
        <f t="shared" si="29"/>
        <v>0</v>
      </c>
      <c r="H134" s="193">
        <f t="shared" si="29"/>
        <v>0</v>
      </c>
      <c r="I134" s="193">
        <f t="shared" si="29"/>
        <v>0</v>
      </c>
      <c r="J134" s="193">
        <f t="shared" si="29"/>
        <v>0</v>
      </c>
      <c r="K134" s="193">
        <f t="shared" si="29"/>
        <v>0</v>
      </c>
      <c r="L134" s="193">
        <f t="shared" si="29"/>
        <v>0</v>
      </c>
      <c r="M134" s="193">
        <f t="shared" si="29"/>
        <v>0</v>
      </c>
      <c r="N134" s="193">
        <f t="shared" si="29"/>
        <v>0</v>
      </c>
      <c r="O134" s="193">
        <f t="shared" si="29"/>
        <v>0</v>
      </c>
      <c r="P134" s="194">
        <f t="shared" si="29"/>
        <v>0</v>
      </c>
    </row>
    <row r="135" spans="1:16" ht="17.25" thickBot="1" x14ac:dyDescent="0.35">
      <c r="A135" s="198"/>
      <c r="B135" s="203" t="s">
        <v>374</v>
      </c>
      <c r="C135" s="203" t="s">
        <v>222</v>
      </c>
      <c r="D135" s="204"/>
      <c r="E135" s="201">
        <f t="shared" si="30"/>
        <v>0</v>
      </c>
      <c r="F135" s="201">
        <f t="shared" si="29"/>
        <v>0</v>
      </c>
      <c r="G135" s="201">
        <f t="shared" si="29"/>
        <v>0</v>
      </c>
      <c r="H135" s="201">
        <f t="shared" si="29"/>
        <v>0</v>
      </c>
      <c r="I135" s="201">
        <f t="shared" si="29"/>
        <v>0</v>
      </c>
      <c r="J135" s="201">
        <f t="shared" si="29"/>
        <v>0</v>
      </c>
      <c r="K135" s="201">
        <f t="shared" si="29"/>
        <v>0</v>
      </c>
      <c r="L135" s="201">
        <f t="shared" si="29"/>
        <v>0</v>
      </c>
      <c r="M135" s="201">
        <f t="shared" si="29"/>
        <v>0</v>
      </c>
      <c r="N135" s="201">
        <f t="shared" si="29"/>
        <v>0</v>
      </c>
      <c r="O135" s="201">
        <f t="shared" si="29"/>
        <v>0</v>
      </c>
      <c r="P135" s="202">
        <f t="shared" si="29"/>
        <v>0</v>
      </c>
    </row>
    <row r="136" spans="1:16" ht="17.25" thickBot="1" x14ac:dyDescent="0.35">
      <c r="A136" s="211">
        <v>321731</v>
      </c>
      <c r="B136" s="186"/>
      <c r="C136" s="187" t="s">
        <v>223</v>
      </c>
      <c r="D136" s="188">
        <f>SUM(D137:D158)</f>
        <v>0.99999999999999989</v>
      </c>
      <c r="E136" s="189">
        <f>IFERROR(VLOOKUP($A136,완제품!$B:$CP,E$1,FALSE),0)</f>
        <v>0</v>
      </c>
      <c r="F136" s="189">
        <f>IFERROR(VLOOKUP($A136,완제품!$B:$CP,F$1,FALSE),0)</f>
        <v>0</v>
      </c>
      <c r="G136" s="189">
        <f>IFERROR(VLOOKUP($A136,완제품!$B:$CP,G$1,FALSE),0)</f>
        <v>0</v>
      </c>
      <c r="H136" s="189">
        <f>IFERROR(VLOOKUP($A136,완제품!$B:$CP,H$1,FALSE),0)</f>
        <v>0</v>
      </c>
      <c r="I136" s="189">
        <f>IFERROR(VLOOKUP($A136,완제품!$B:$CP,I$1,FALSE),0)</f>
        <v>0</v>
      </c>
      <c r="J136" s="189">
        <f>IFERROR(VLOOKUP($A136,완제품!$B:$CP,J$1,FALSE),0)</f>
        <v>0</v>
      </c>
      <c r="K136" s="189">
        <f>IFERROR(VLOOKUP($A136,완제품!$B:$CP,K$1,FALSE),0)</f>
        <v>0</v>
      </c>
      <c r="L136" s="189">
        <f>IFERROR(VLOOKUP($A136,완제품!$B:$CP,L$1,FALSE),0)</f>
        <v>0</v>
      </c>
      <c r="M136" s="189">
        <f>IFERROR(VLOOKUP($A136,완제품!$B:$CP,M$1,FALSE),0)</f>
        <v>0</v>
      </c>
      <c r="N136" s="189">
        <f>IFERROR(VLOOKUP($A136,완제품!$B:$CP,N$1,FALSE),0)</f>
        <v>0</v>
      </c>
      <c r="O136" s="189">
        <f>IFERROR(VLOOKUP($A136,완제품!$B:$CP,O$1,FALSE),0)</f>
        <v>0</v>
      </c>
      <c r="P136" s="189">
        <f>IFERROR(VLOOKUP($A136,완제품!$B:$CP,P$1,FALSE),0)</f>
        <v>0</v>
      </c>
    </row>
    <row r="137" spans="1:16" x14ac:dyDescent="0.3">
      <c r="A137" s="190"/>
      <c r="B137" s="191" t="s">
        <v>326</v>
      </c>
      <c r="C137" s="191" t="s">
        <v>224</v>
      </c>
      <c r="D137" s="192">
        <v>0.22</v>
      </c>
      <c r="E137" s="193">
        <f t="shared" ref="E137:E153" si="31">E$136*$D137</f>
        <v>0</v>
      </c>
      <c r="F137" s="193">
        <f t="shared" ref="F137:P152" si="32">F$136*$D137</f>
        <v>0</v>
      </c>
      <c r="G137" s="193">
        <f t="shared" si="32"/>
        <v>0</v>
      </c>
      <c r="H137" s="193">
        <f t="shared" si="32"/>
        <v>0</v>
      </c>
      <c r="I137" s="193">
        <f t="shared" si="32"/>
        <v>0</v>
      </c>
      <c r="J137" s="193">
        <f t="shared" si="32"/>
        <v>0</v>
      </c>
      <c r="K137" s="193">
        <f t="shared" si="32"/>
        <v>0</v>
      </c>
      <c r="L137" s="193">
        <f t="shared" si="32"/>
        <v>0</v>
      </c>
      <c r="M137" s="193">
        <f t="shared" si="32"/>
        <v>0</v>
      </c>
      <c r="N137" s="193">
        <f t="shared" si="32"/>
        <v>0</v>
      </c>
      <c r="O137" s="193">
        <f t="shared" si="32"/>
        <v>0</v>
      </c>
      <c r="P137" s="194">
        <f t="shared" si="32"/>
        <v>0</v>
      </c>
    </row>
    <row r="138" spans="1:16" x14ac:dyDescent="0.3">
      <c r="A138" s="195"/>
      <c r="B138" s="196" t="s">
        <v>225</v>
      </c>
      <c r="C138" s="196" t="s">
        <v>148</v>
      </c>
      <c r="D138" s="197">
        <v>0.47920000000000001</v>
      </c>
      <c r="E138" s="193">
        <f t="shared" si="31"/>
        <v>0</v>
      </c>
      <c r="F138" s="193">
        <f t="shared" si="32"/>
        <v>0</v>
      </c>
      <c r="G138" s="193">
        <f t="shared" si="32"/>
        <v>0</v>
      </c>
      <c r="H138" s="193">
        <f t="shared" si="32"/>
        <v>0</v>
      </c>
      <c r="I138" s="193">
        <f t="shared" si="32"/>
        <v>0</v>
      </c>
      <c r="J138" s="193">
        <f t="shared" si="32"/>
        <v>0</v>
      </c>
      <c r="K138" s="193">
        <f t="shared" si="32"/>
        <v>0</v>
      </c>
      <c r="L138" s="193">
        <f t="shared" si="32"/>
        <v>0</v>
      </c>
      <c r="M138" s="193">
        <f t="shared" si="32"/>
        <v>0</v>
      </c>
      <c r="N138" s="193">
        <f t="shared" si="32"/>
        <v>0</v>
      </c>
      <c r="O138" s="193">
        <f t="shared" si="32"/>
        <v>0</v>
      </c>
      <c r="P138" s="194">
        <f t="shared" si="32"/>
        <v>0</v>
      </c>
    </row>
    <row r="139" spans="1:16" x14ac:dyDescent="0.3">
      <c r="A139" s="195"/>
      <c r="B139" s="196">
        <v>241738</v>
      </c>
      <c r="C139" s="196" t="s">
        <v>226</v>
      </c>
      <c r="D139" s="197">
        <v>6.3E-2</v>
      </c>
      <c r="E139" s="193">
        <f t="shared" si="31"/>
        <v>0</v>
      </c>
      <c r="F139" s="193">
        <f t="shared" si="32"/>
        <v>0</v>
      </c>
      <c r="G139" s="193">
        <f t="shared" si="32"/>
        <v>0</v>
      </c>
      <c r="H139" s="193">
        <f t="shared" si="32"/>
        <v>0</v>
      </c>
      <c r="I139" s="193">
        <f t="shared" si="32"/>
        <v>0</v>
      </c>
      <c r="J139" s="193">
        <f t="shared" si="32"/>
        <v>0</v>
      </c>
      <c r="K139" s="193">
        <f t="shared" si="32"/>
        <v>0</v>
      </c>
      <c r="L139" s="193">
        <f t="shared" si="32"/>
        <v>0</v>
      </c>
      <c r="M139" s="193">
        <f t="shared" si="32"/>
        <v>0</v>
      </c>
      <c r="N139" s="193">
        <f t="shared" si="32"/>
        <v>0</v>
      </c>
      <c r="O139" s="193">
        <f t="shared" si="32"/>
        <v>0</v>
      </c>
      <c r="P139" s="194">
        <f t="shared" si="32"/>
        <v>0</v>
      </c>
    </row>
    <row r="140" spans="1:16" x14ac:dyDescent="0.3">
      <c r="A140" s="195"/>
      <c r="B140" s="196" t="s">
        <v>333</v>
      </c>
      <c r="C140" s="196" t="s">
        <v>227</v>
      </c>
      <c r="D140" s="197">
        <v>1.5308823529411765E-2</v>
      </c>
      <c r="E140" s="193">
        <f t="shared" si="31"/>
        <v>0</v>
      </c>
      <c r="F140" s="193">
        <f t="shared" si="32"/>
        <v>0</v>
      </c>
      <c r="G140" s="193">
        <f t="shared" si="32"/>
        <v>0</v>
      </c>
      <c r="H140" s="193">
        <f t="shared" si="32"/>
        <v>0</v>
      </c>
      <c r="I140" s="193">
        <f t="shared" si="32"/>
        <v>0</v>
      </c>
      <c r="J140" s="193">
        <f t="shared" si="32"/>
        <v>0</v>
      </c>
      <c r="K140" s="193">
        <f t="shared" si="32"/>
        <v>0</v>
      </c>
      <c r="L140" s="193">
        <f t="shared" si="32"/>
        <v>0</v>
      </c>
      <c r="M140" s="193">
        <f t="shared" si="32"/>
        <v>0</v>
      </c>
      <c r="N140" s="193">
        <f t="shared" si="32"/>
        <v>0</v>
      </c>
      <c r="O140" s="193">
        <f t="shared" si="32"/>
        <v>0</v>
      </c>
      <c r="P140" s="194">
        <f t="shared" si="32"/>
        <v>0</v>
      </c>
    </row>
    <row r="141" spans="1:16" x14ac:dyDescent="0.3">
      <c r="A141" s="195"/>
      <c r="B141" s="196" t="s">
        <v>332</v>
      </c>
      <c r="C141" s="196" t="s">
        <v>228</v>
      </c>
      <c r="D141" s="197">
        <v>1.9391176470588235E-2</v>
      </c>
      <c r="E141" s="193">
        <f t="shared" si="31"/>
        <v>0</v>
      </c>
      <c r="F141" s="193">
        <f t="shared" si="32"/>
        <v>0</v>
      </c>
      <c r="G141" s="193">
        <f t="shared" si="32"/>
        <v>0</v>
      </c>
      <c r="H141" s="193">
        <f t="shared" si="32"/>
        <v>0</v>
      </c>
      <c r="I141" s="193">
        <f t="shared" si="32"/>
        <v>0</v>
      </c>
      <c r="J141" s="193">
        <f t="shared" si="32"/>
        <v>0</v>
      </c>
      <c r="K141" s="193">
        <f t="shared" si="32"/>
        <v>0</v>
      </c>
      <c r="L141" s="193">
        <f t="shared" si="32"/>
        <v>0</v>
      </c>
      <c r="M141" s="193">
        <f t="shared" si="32"/>
        <v>0</v>
      </c>
      <c r="N141" s="193">
        <f t="shared" si="32"/>
        <v>0</v>
      </c>
      <c r="O141" s="193">
        <f t="shared" si="32"/>
        <v>0</v>
      </c>
      <c r="P141" s="194">
        <f t="shared" si="32"/>
        <v>0</v>
      </c>
    </row>
    <row r="142" spans="1:16" x14ac:dyDescent="0.3">
      <c r="A142" s="195"/>
      <c r="B142" s="196" t="s">
        <v>375</v>
      </c>
      <c r="C142" s="196" t="s">
        <v>229</v>
      </c>
      <c r="D142" s="197">
        <v>2E-3</v>
      </c>
      <c r="E142" s="193">
        <f t="shared" si="31"/>
        <v>0</v>
      </c>
      <c r="F142" s="193">
        <f t="shared" si="32"/>
        <v>0</v>
      </c>
      <c r="G142" s="193">
        <f t="shared" si="32"/>
        <v>0</v>
      </c>
      <c r="H142" s="193">
        <f t="shared" si="32"/>
        <v>0</v>
      </c>
      <c r="I142" s="193">
        <f t="shared" si="32"/>
        <v>0</v>
      </c>
      <c r="J142" s="193">
        <f t="shared" si="32"/>
        <v>0</v>
      </c>
      <c r="K142" s="193">
        <f t="shared" si="32"/>
        <v>0</v>
      </c>
      <c r="L142" s="193">
        <f t="shared" si="32"/>
        <v>0</v>
      </c>
      <c r="M142" s="193">
        <f t="shared" si="32"/>
        <v>0</v>
      </c>
      <c r="N142" s="193">
        <f t="shared" si="32"/>
        <v>0</v>
      </c>
      <c r="O142" s="193">
        <f t="shared" si="32"/>
        <v>0</v>
      </c>
      <c r="P142" s="194">
        <f t="shared" si="32"/>
        <v>0</v>
      </c>
    </row>
    <row r="143" spans="1:16" x14ac:dyDescent="0.3">
      <c r="A143" s="195"/>
      <c r="B143" s="196" t="s">
        <v>331</v>
      </c>
      <c r="C143" s="196" t="s">
        <v>213</v>
      </c>
      <c r="D143" s="197">
        <v>0.02</v>
      </c>
      <c r="E143" s="193">
        <f t="shared" si="31"/>
        <v>0</v>
      </c>
      <c r="F143" s="193">
        <f t="shared" si="32"/>
        <v>0</v>
      </c>
      <c r="G143" s="193">
        <f t="shared" si="32"/>
        <v>0</v>
      </c>
      <c r="H143" s="193">
        <f t="shared" si="32"/>
        <v>0</v>
      </c>
      <c r="I143" s="193">
        <f t="shared" si="32"/>
        <v>0</v>
      </c>
      <c r="J143" s="193">
        <f t="shared" si="32"/>
        <v>0</v>
      </c>
      <c r="K143" s="193">
        <f t="shared" si="32"/>
        <v>0</v>
      </c>
      <c r="L143" s="193">
        <f t="shared" si="32"/>
        <v>0</v>
      </c>
      <c r="M143" s="193">
        <f t="shared" si="32"/>
        <v>0</v>
      </c>
      <c r="N143" s="193">
        <f t="shared" si="32"/>
        <v>0</v>
      </c>
      <c r="O143" s="193">
        <f t="shared" si="32"/>
        <v>0</v>
      </c>
      <c r="P143" s="194">
        <f t="shared" si="32"/>
        <v>0</v>
      </c>
    </row>
    <row r="144" spans="1:16" x14ac:dyDescent="0.3">
      <c r="A144" s="195"/>
      <c r="B144" s="361" t="s">
        <v>876</v>
      </c>
      <c r="C144" s="196" t="s">
        <v>230</v>
      </c>
      <c r="D144" s="197">
        <v>3.0000000000000001E-3</v>
      </c>
      <c r="E144" s="193">
        <f t="shared" si="31"/>
        <v>0</v>
      </c>
      <c r="F144" s="193">
        <f t="shared" si="32"/>
        <v>0</v>
      </c>
      <c r="G144" s="193">
        <f t="shared" si="32"/>
        <v>0</v>
      </c>
      <c r="H144" s="193">
        <f t="shared" si="32"/>
        <v>0</v>
      </c>
      <c r="I144" s="193">
        <f t="shared" si="32"/>
        <v>0</v>
      </c>
      <c r="J144" s="193">
        <f t="shared" si="32"/>
        <v>0</v>
      </c>
      <c r="K144" s="193">
        <f t="shared" si="32"/>
        <v>0</v>
      </c>
      <c r="L144" s="193">
        <f t="shared" si="32"/>
        <v>0</v>
      </c>
      <c r="M144" s="193">
        <f t="shared" si="32"/>
        <v>0</v>
      </c>
      <c r="N144" s="193">
        <f t="shared" si="32"/>
        <v>0</v>
      </c>
      <c r="O144" s="193">
        <f t="shared" si="32"/>
        <v>0</v>
      </c>
      <c r="P144" s="194">
        <f t="shared" si="32"/>
        <v>0</v>
      </c>
    </row>
    <row r="145" spans="1:16" x14ac:dyDescent="0.3">
      <c r="A145" s="195"/>
      <c r="B145" s="196" t="s">
        <v>376</v>
      </c>
      <c r="C145" s="196" t="s">
        <v>231</v>
      </c>
      <c r="D145" s="197">
        <v>1.4999999999999999E-2</v>
      </c>
      <c r="E145" s="193">
        <f t="shared" si="31"/>
        <v>0</v>
      </c>
      <c r="F145" s="193">
        <f t="shared" si="32"/>
        <v>0</v>
      </c>
      <c r="G145" s="193">
        <f t="shared" si="32"/>
        <v>0</v>
      </c>
      <c r="H145" s="193">
        <f t="shared" si="32"/>
        <v>0</v>
      </c>
      <c r="I145" s="193">
        <f t="shared" si="32"/>
        <v>0</v>
      </c>
      <c r="J145" s="193">
        <f t="shared" si="32"/>
        <v>0</v>
      </c>
      <c r="K145" s="193">
        <f t="shared" si="32"/>
        <v>0</v>
      </c>
      <c r="L145" s="193">
        <f t="shared" si="32"/>
        <v>0</v>
      </c>
      <c r="M145" s="193">
        <f t="shared" si="32"/>
        <v>0</v>
      </c>
      <c r="N145" s="193">
        <f t="shared" si="32"/>
        <v>0</v>
      </c>
      <c r="O145" s="193">
        <f t="shared" si="32"/>
        <v>0</v>
      </c>
      <c r="P145" s="194">
        <f t="shared" si="32"/>
        <v>0</v>
      </c>
    </row>
    <row r="146" spans="1:16" x14ac:dyDescent="0.3">
      <c r="A146" s="195"/>
      <c r="B146" s="196" t="s">
        <v>369</v>
      </c>
      <c r="C146" s="196" t="s">
        <v>77</v>
      </c>
      <c r="D146" s="197">
        <v>2E-3</v>
      </c>
      <c r="E146" s="193">
        <f t="shared" si="31"/>
        <v>0</v>
      </c>
      <c r="F146" s="193">
        <f t="shared" si="32"/>
        <v>0</v>
      </c>
      <c r="G146" s="193">
        <f t="shared" si="32"/>
        <v>0</v>
      </c>
      <c r="H146" s="193">
        <f t="shared" si="32"/>
        <v>0</v>
      </c>
      <c r="I146" s="193">
        <f t="shared" si="32"/>
        <v>0</v>
      </c>
      <c r="J146" s="193">
        <f t="shared" si="32"/>
        <v>0</v>
      </c>
      <c r="K146" s="193">
        <f t="shared" si="32"/>
        <v>0</v>
      </c>
      <c r="L146" s="193">
        <f t="shared" si="32"/>
        <v>0</v>
      </c>
      <c r="M146" s="193">
        <f t="shared" si="32"/>
        <v>0</v>
      </c>
      <c r="N146" s="193">
        <f t="shared" si="32"/>
        <v>0</v>
      </c>
      <c r="O146" s="193">
        <f t="shared" si="32"/>
        <v>0</v>
      </c>
      <c r="P146" s="194">
        <f t="shared" si="32"/>
        <v>0</v>
      </c>
    </row>
    <row r="147" spans="1:16" x14ac:dyDescent="0.3">
      <c r="A147" s="195"/>
      <c r="B147" s="206" t="s">
        <v>367</v>
      </c>
      <c r="C147" s="206" t="s">
        <v>76</v>
      </c>
      <c r="D147" s="207">
        <v>4.5000000000000005E-3</v>
      </c>
      <c r="E147" s="193">
        <f t="shared" si="31"/>
        <v>0</v>
      </c>
      <c r="F147" s="193">
        <f t="shared" si="32"/>
        <v>0</v>
      </c>
      <c r="G147" s="193">
        <f t="shared" si="32"/>
        <v>0</v>
      </c>
      <c r="H147" s="193">
        <f t="shared" si="32"/>
        <v>0</v>
      </c>
      <c r="I147" s="193">
        <f t="shared" si="32"/>
        <v>0</v>
      </c>
      <c r="J147" s="193">
        <f t="shared" si="32"/>
        <v>0</v>
      </c>
      <c r="K147" s="193">
        <f t="shared" si="32"/>
        <v>0</v>
      </c>
      <c r="L147" s="193">
        <f t="shared" si="32"/>
        <v>0</v>
      </c>
      <c r="M147" s="193">
        <f t="shared" si="32"/>
        <v>0</v>
      </c>
      <c r="N147" s="193">
        <f t="shared" si="32"/>
        <v>0</v>
      </c>
      <c r="O147" s="193">
        <f t="shared" si="32"/>
        <v>0</v>
      </c>
      <c r="P147" s="194">
        <f t="shared" si="32"/>
        <v>0</v>
      </c>
    </row>
    <row r="148" spans="1:16" x14ac:dyDescent="0.3">
      <c r="A148" s="195"/>
      <c r="B148" s="206">
        <v>321472</v>
      </c>
      <c r="C148" s="206" t="s">
        <v>232</v>
      </c>
      <c r="D148" s="207">
        <v>8.5000000000000006E-3</v>
      </c>
      <c r="E148" s="193">
        <f t="shared" si="31"/>
        <v>0</v>
      </c>
      <c r="F148" s="193">
        <f t="shared" si="32"/>
        <v>0</v>
      </c>
      <c r="G148" s="193">
        <f t="shared" si="32"/>
        <v>0</v>
      </c>
      <c r="H148" s="193">
        <f t="shared" si="32"/>
        <v>0</v>
      </c>
      <c r="I148" s="193">
        <f t="shared" si="32"/>
        <v>0</v>
      </c>
      <c r="J148" s="193">
        <f t="shared" si="32"/>
        <v>0</v>
      </c>
      <c r="K148" s="193">
        <f t="shared" si="32"/>
        <v>0</v>
      </c>
      <c r="L148" s="193">
        <f t="shared" si="32"/>
        <v>0</v>
      </c>
      <c r="M148" s="193">
        <f t="shared" si="32"/>
        <v>0</v>
      </c>
      <c r="N148" s="193">
        <f t="shared" si="32"/>
        <v>0</v>
      </c>
      <c r="O148" s="193">
        <f t="shared" si="32"/>
        <v>0</v>
      </c>
      <c r="P148" s="194">
        <f t="shared" si="32"/>
        <v>0</v>
      </c>
    </row>
    <row r="149" spans="1:16" x14ac:dyDescent="0.3">
      <c r="A149" s="195"/>
      <c r="B149" s="206" t="s">
        <v>377</v>
      </c>
      <c r="C149" s="206" t="s">
        <v>233</v>
      </c>
      <c r="D149" s="207">
        <v>5.0000000000000001E-4</v>
      </c>
      <c r="E149" s="193">
        <f t="shared" si="31"/>
        <v>0</v>
      </c>
      <c r="F149" s="193">
        <f t="shared" si="32"/>
        <v>0</v>
      </c>
      <c r="G149" s="193">
        <f t="shared" si="32"/>
        <v>0</v>
      </c>
      <c r="H149" s="193">
        <f t="shared" si="32"/>
        <v>0</v>
      </c>
      <c r="I149" s="193">
        <f t="shared" si="32"/>
        <v>0</v>
      </c>
      <c r="J149" s="193">
        <f t="shared" si="32"/>
        <v>0</v>
      </c>
      <c r="K149" s="193">
        <f t="shared" si="32"/>
        <v>0</v>
      </c>
      <c r="L149" s="193">
        <f t="shared" si="32"/>
        <v>0</v>
      </c>
      <c r="M149" s="193">
        <f t="shared" si="32"/>
        <v>0</v>
      </c>
      <c r="N149" s="193">
        <f t="shared" si="32"/>
        <v>0</v>
      </c>
      <c r="O149" s="193">
        <f t="shared" si="32"/>
        <v>0</v>
      </c>
      <c r="P149" s="194">
        <f t="shared" si="32"/>
        <v>0</v>
      </c>
    </row>
    <row r="150" spans="1:16" x14ac:dyDescent="0.3">
      <c r="A150" s="195"/>
      <c r="B150" s="206" t="s">
        <v>378</v>
      </c>
      <c r="C150" s="206" t="s">
        <v>234</v>
      </c>
      <c r="D150" s="207">
        <v>4.0000000000000001E-3</v>
      </c>
      <c r="E150" s="193">
        <f t="shared" si="31"/>
        <v>0</v>
      </c>
      <c r="F150" s="193">
        <f t="shared" si="32"/>
        <v>0</v>
      </c>
      <c r="G150" s="193">
        <f t="shared" si="32"/>
        <v>0</v>
      </c>
      <c r="H150" s="193">
        <f t="shared" si="32"/>
        <v>0</v>
      </c>
      <c r="I150" s="193">
        <f t="shared" si="32"/>
        <v>0</v>
      </c>
      <c r="J150" s="193">
        <f t="shared" si="32"/>
        <v>0</v>
      </c>
      <c r="K150" s="193">
        <f t="shared" si="32"/>
        <v>0</v>
      </c>
      <c r="L150" s="193">
        <f t="shared" si="32"/>
        <v>0</v>
      </c>
      <c r="M150" s="193">
        <f t="shared" si="32"/>
        <v>0</v>
      </c>
      <c r="N150" s="193">
        <f t="shared" si="32"/>
        <v>0</v>
      </c>
      <c r="O150" s="193">
        <f t="shared" si="32"/>
        <v>0</v>
      </c>
      <c r="P150" s="194">
        <f t="shared" si="32"/>
        <v>0</v>
      </c>
    </row>
    <row r="151" spans="1:16" x14ac:dyDescent="0.3">
      <c r="A151" s="195"/>
      <c r="B151" s="206" t="s">
        <v>379</v>
      </c>
      <c r="C151" s="206" t="s">
        <v>235</v>
      </c>
      <c r="D151" s="207">
        <v>1.8000000000000002E-2</v>
      </c>
      <c r="E151" s="193">
        <f t="shared" si="31"/>
        <v>0</v>
      </c>
      <c r="F151" s="193">
        <f t="shared" si="32"/>
        <v>0</v>
      </c>
      <c r="G151" s="193">
        <f t="shared" si="32"/>
        <v>0</v>
      </c>
      <c r="H151" s="193">
        <f t="shared" si="32"/>
        <v>0</v>
      </c>
      <c r="I151" s="193">
        <f t="shared" si="32"/>
        <v>0</v>
      </c>
      <c r="J151" s="193">
        <f t="shared" si="32"/>
        <v>0</v>
      </c>
      <c r="K151" s="193">
        <f t="shared" si="32"/>
        <v>0</v>
      </c>
      <c r="L151" s="193">
        <f t="shared" si="32"/>
        <v>0</v>
      </c>
      <c r="M151" s="193">
        <f t="shared" si="32"/>
        <v>0</v>
      </c>
      <c r="N151" s="193">
        <f t="shared" si="32"/>
        <v>0</v>
      </c>
      <c r="O151" s="193">
        <f t="shared" si="32"/>
        <v>0</v>
      </c>
      <c r="P151" s="194">
        <f t="shared" si="32"/>
        <v>0</v>
      </c>
    </row>
    <row r="152" spans="1:16" x14ac:dyDescent="0.3">
      <c r="A152" s="195"/>
      <c r="B152" s="83" t="s">
        <v>345</v>
      </c>
      <c r="C152" s="83" t="s">
        <v>236</v>
      </c>
      <c r="D152" s="210">
        <v>0.01</v>
      </c>
      <c r="E152" s="193">
        <f t="shared" si="31"/>
        <v>0</v>
      </c>
      <c r="F152" s="193">
        <f t="shared" si="32"/>
        <v>0</v>
      </c>
      <c r="G152" s="193">
        <f t="shared" si="32"/>
        <v>0</v>
      </c>
      <c r="H152" s="193">
        <f t="shared" si="32"/>
        <v>0</v>
      </c>
      <c r="I152" s="193">
        <f t="shared" si="32"/>
        <v>0</v>
      </c>
      <c r="J152" s="193">
        <f t="shared" si="32"/>
        <v>0</v>
      </c>
      <c r="K152" s="193">
        <f t="shared" si="32"/>
        <v>0</v>
      </c>
      <c r="L152" s="193">
        <f t="shared" si="32"/>
        <v>0</v>
      </c>
      <c r="M152" s="193">
        <f t="shared" si="32"/>
        <v>0</v>
      </c>
      <c r="N152" s="193">
        <f t="shared" si="32"/>
        <v>0</v>
      </c>
      <c r="O152" s="193">
        <f t="shared" si="32"/>
        <v>0</v>
      </c>
      <c r="P152" s="194">
        <f t="shared" si="32"/>
        <v>0</v>
      </c>
    </row>
    <row r="153" spans="1:16" x14ac:dyDescent="0.3">
      <c r="A153" s="195"/>
      <c r="B153" s="83" t="s">
        <v>344</v>
      </c>
      <c r="C153" s="83" t="s">
        <v>237</v>
      </c>
      <c r="D153" s="210">
        <v>0.02</v>
      </c>
      <c r="E153" s="193">
        <f t="shared" si="31"/>
        <v>0</v>
      </c>
      <c r="F153" s="193">
        <f t="shared" ref="F153:P153" si="33">F$136*$D153</f>
        <v>0</v>
      </c>
      <c r="G153" s="193">
        <f t="shared" si="33"/>
        <v>0</v>
      </c>
      <c r="H153" s="193">
        <f t="shared" si="33"/>
        <v>0</v>
      </c>
      <c r="I153" s="193">
        <f t="shared" si="33"/>
        <v>0</v>
      </c>
      <c r="J153" s="193">
        <f t="shared" si="33"/>
        <v>0</v>
      </c>
      <c r="K153" s="193">
        <f t="shared" si="33"/>
        <v>0</v>
      </c>
      <c r="L153" s="193">
        <f t="shared" si="33"/>
        <v>0</v>
      </c>
      <c r="M153" s="193">
        <f t="shared" si="33"/>
        <v>0</v>
      </c>
      <c r="N153" s="193">
        <f t="shared" si="33"/>
        <v>0</v>
      </c>
      <c r="O153" s="193">
        <f t="shared" si="33"/>
        <v>0</v>
      </c>
      <c r="P153" s="194">
        <f t="shared" si="33"/>
        <v>0</v>
      </c>
    </row>
    <row r="154" spans="1:16" x14ac:dyDescent="0.3">
      <c r="A154" s="195"/>
      <c r="B154" s="83" t="s">
        <v>380</v>
      </c>
      <c r="C154" s="83" t="s">
        <v>78</v>
      </c>
      <c r="D154" s="210">
        <v>1.8000000000000002E-2</v>
      </c>
      <c r="E154" s="193">
        <f t="shared" ref="E154:P158" si="34">E$136*$D154</f>
        <v>0</v>
      </c>
      <c r="F154" s="193">
        <f t="shared" si="34"/>
        <v>0</v>
      </c>
      <c r="G154" s="193">
        <f t="shared" si="34"/>
        <v>0</v>
      </c>
      <c r="H154" s="193">
        <f t="shared" si="34"/>
        <v>0</v>
      </c>
      <c r="I154" s="193">
        <f t="shared" si="34"/>
        <v>0</v>
      </c>
      <c r="J154" s="193">
        <f t="shared" si="34"/>
        <v>0</v>
      </c>
      <c r="K154" s="193">
        <f t="shared" si="34"/>
        <v>0</v>
      </c>
      <c r="L154" s="193">
        <f t="shared" si="34"/>
        <v>0</v>
      </c>
      <c r="M154" s="193">
        <f t="shared" si="34"/>
        <v>0</v>
      </c>
      <c r="N154" s="193">
        <f t="shared" si="34"/>
        <v>0</v>
      </c>
      <c r="O154" s="193">
        <f t="shared" si="34"/>
        <v>0</v>
      </c>
      <c r="P154" s="194">
        <f t="shared" si="34"/>
        <v>0</v>
      </c>
    </row>
    <row r="155" spans="1:16" x14ac:dyDescent="0.3">
      <c r="A155" s="195"/>
      <c r="B155" s="83" t="s">
        <v>381</v>
      </c>
      <c r="C155" s="83" t="s">
        <v>238</v>
      </c>
      <c r="D155" s="210">
        <v>1.4999999999999999E-2</v>
      </c>
      <c r="E155" s="193">
        <f t="shared" si="34"/>
        <v>0</v>
      </c>
      <c r="F155" s="193">
        <f t="shared" si="34"/>
        <v>0</v>
      </c>
      <c r="G155" s="193">
        <f t="shared" si="34"/>
        <v>0</v>
      </c>
      <c r="H155" s="193">
        <f t="shared" si="34"/>
        <v>0</v>
      </c>
      <c r="I155" s="193">
        <f t="shared" si="34"/>
        <v>0</v>
      </c>
      <c r="J155" s="193">
        <f t="shared" si="34"/>
        <v>0</v>
      </c>
      <c r="K155" s="193">
        <f t="shared" si="34"/>
        <v>0</v>
      </c>
      <c r="L155" s="193">
        <f t="shared" si="34"/>
        <v>0</v>
      </c>
      <c r="M155" s="193">
        <f t="shared" si="34"/>
        <v>0</v>
      </c>
      <c r="N155" s="193">
        <f t="shared" si="34"/>
        <v>0</v>
      </c>
      <c r="O155" s="193">
        <f t="shared" si="34"/>
        <v>0</v>
      </c>
      <c r="P155" s="194">
        <f t="shared" si="34"/>
        <v>0</v>
      </c>
    </row>
    <row r="156" spans="1:16" x14ac:dyDescent="0.3">
      <c r="A156" s="195"/>
      <c r="B156" s="83" t="s">
        <v>327</v>
      </c>
      <c r="C156" s="83" t="s">
        <v>151</v>
      </c>
      <c r="D156" s="210">
        <v>0.04</v>
      </c>
      <c r="E156" s="193">
        <f t="shared" si="34"/>
        <v>0</v>
      </c>
      <c r="F156" s="193">
        <f t="shared" si="34"/>
        <v>0</v>
      </c>
      <c r="G156" s="193">
        <f t="shared" si="34"/>
        <v>0</v>
      </c>
      <c r="H156" s="193">
        <f t="shared" si="34"/>
        <v>0</v>
      </c>
      <c r="I156" s="193">
        <f t="shared" si="34"/>
        <v>0</v>
      </c>
      <c r="J156" s="193">
        <f t="shared" si="34"/>
        <v>0</v>
      </c>
      <c r="K156" s="193">
        <f t="shared" si="34"/>
        <v>0</v>
      </c>
      <c r="L156" s="193">
        <f t="shared" si="34"/>
        <v>0</v>
      </c>
      <c r="M156" s="193">
        <f t="shared" si="34"/>
        <v>0</v>
      </c>
      <c r="N156" s="193">
        <f t="shared" si="34"/>
        <v>0</v>
      </c>
      <c r="O156" s="193">
        <f t="shared" si="34"/>
        <v>0</v>
      </c>
      <c r="P156" s="194">
        <f t="shared" si="34"/>
        <v>0</v>
      </c>
    </row>
    <row r="157" spans="1:16" x14ac:dyDescent="0.3">
      <c r="A157" s="195"/>
      <c r="B157" s="83" t="s">
        <v>330</v>
      </c>
      <c r="C157" s="83" t="s">
        <v>239</v>
      </c>
      <c r="D157" s="210">
        <v>1.1299999999999999E-2</v>
      </c>
      <c r="E157" s="193">
        <f t="shared" si="34"/>
        <v>0</v>
      </c>
      <c r="F157" s="193">
        <f t="shared" si="34"/>
        <v>0</v>
      </c>
      <c r="G157" s="193">
        <f t="shared" si="34"/>
        <v>0</v>
      </c>
      <c r="H157" s="193">
        <f t="shared" si="34"/>
        <v>0</v>
      </c>
      <c r="I157" s="193">
        <f t="shared" si="34"/>
        <v>0</v>
      </c>
      <c r="J157" s="193">
        <f t="shared" si="34"/>
        <v>0</v>
      </c>
      <c r="K157" s="193">
        <f t="shared" si="34"/>
        <v>0</v>
      </c>
      <c r="L157" s="193">
        <f t="shared" si="34"/>
        <v>0</v>
      </c>
      <c r="M157" s="193">
        <f t="shared" si="34"/>
        <v>0</v>
      </c>
      <c r="N157" s="193">
        <f t="shared" si="34"/>
        <v>0</v>
      </c>
      <c r="O157" s="193">
        <f t="shared" si="34"/>
        <v>0</v>
      </c>
      <c r="P157" s="194">
        <f t="shared" si="34"/>
        <v>0</v>
      </c>
    </row>
    <row r="158" spans="1:16" ht="17.25" thickBot="1" x14ac:dyDescent="0.35">
      <c r="A158" s="198"/>
      <c r="B158" s="203" t="s">
        <v>358</v>
      </c>
      <c r="C158" s="203" t="s">
        <v>240</v>
      </c>
      <c r="D158" s="204">
        <v>1.1299999999999999E-2</v>
      </c>
      <c r="E158" s="201">
        <f t="shared" si="34"/>
        <v>0</v>
      </c>
      <c r="F158" s="201">
        <f t="shared" si="34"/>
        <v>0</v>
      </c>
      <c r="G158" s="201">
        <f t="shared" si="34"/>
        <v>0</v>
      </c>
      <c r="H158" s="201">
        <f t="shared" si="34"/>
        <v>0</v>
      </c>
      <c r="I158" s="201">
        <f t="shared" si="34"/>
        <v>0</v>
      </c>
      <c r="J158" s="201">
        <f t="shared" si="34"/>
        <v>0</v>
      </c>
      <c r="K158" s="201">
        <f t="shared" si="34"/>
        <v>0</v>
      </c>
      <c r="L158" s="201">
        <f t="shared" si="34"/>
        <v>0</v>
      </c>
      <c r="M158" s="201">
        <f t="shared" si="34"/>
        <v>0</v>
      </c>
      <c r="N158" s="201">
        <f t="shared" si="34"/>
        <v>0</v>
      </c>
      <c r="O158" s="201">
        <f t="shared" si="34"/>
        <v>0</v>
      </c>
      <c r="P158" s="202">
        <f t="shared" si="34"/>
        <v>0</v>
      </c>
    </row>
    <row r="159" spans="1:16" ht="17.25" thickBot="1" x14ac:dyDescent="0.35">
      <c r="A159" s="185">
        <v>321617</v>
      </c>
      <c r="B159" s="186"/>
      <c r="C159" s="187" t="s">
        <v>441</v>
      </c>
      <c r="D159" s="188">
        <f>SUM(D160:D181)</f>
        <v>1</v>
      </c>
      <c r="E159" s="189">
        <f>IFERROR(VLOOKUP($A159,완제품!$B:$CP,E$1,FALSE),0)</f>
        <v>0</v>
      </c>
      <c r="F159" s="189">
        <f>IFERROR(VLOOKUP($A159,완제품!$B:$CP,F$1,FALSE),0)</f>
        <v>2000</v>
      </c>
      <c r="G159" s="189">
        <f>IFERROR(VLOOKUP($A159,완제품!$B:$CP,G$1,FALSE),0)</f>
        <v>2000</v>
      </c>
      <c r="H159" s="189">
        <f>IFERROR(VLOOKUP($A159,완제품!$B:$CP,H$1,FALSE),0)</f>
        <v>0</v>
      </c>
      <c r="I159" s="189">
        <f>IFERROR(VLOOKUP($A159,완제품!$B:$CP,I$1,FALSE),0)</f>
        <v>0</v>
      </c>
      <c r="J159" s="189">
        <f>IFERROR(VLOOKUP($A159,완제품!$B:$CP,J$1,FALSE),0)</f>
        <v>0</v>
      </c>
      <c r="K159" s="189">
        <f>IFERROR(VLOOKUP($A159,완제품!$B:$CP,K$1,FALSE),0)</f>
        <v>0</v>
      </c>
      <c r="L159" s="189">
        <f>IFERROR(VLOOKUP($A159,완제품!$B:$CP,L$1,FALSE),0)</f>
        <v>0</v>
      </c>
      <c r="M159" s="189">
        <f>IFERROR(VLOOKUP($A159,완제품!$B:$CP,M$1,FALSE),0)</f>
        <v>0</v>
      </c>
      <c r="N159" s="189">
        <f>IFERROR(VLOOKUP($A159,완제품!$B:$CP,N$1,FALSE),0)</f>
        <v>0</v>
      </c>
      <c r="O159" s="189">
        <f>IFERROR(VLOOKUP($A159,완제품!$B:$CP,O$1,FALSE),0)</f>
        <v>0</v>
      </c>
      <c r="P159" s="189">
        <f>IFERROR(VLOOKUP($A159,완제품!$B:$CP,P$1,FALSE),0)</f>
        <v>0</v>
      </c>
    </row>
    <row r="160" spans="1:16" x14ac:dyDescent="0.3">
      <c r="A160" s="190"/>
      <c r="B160" s="191" t="s">
        <v>325</v>
      </c>
      <c r="C160" s="191" t="s">
        <v>171</v>
      </c>
      <c r="D160" s="192">
        <v>0.124</v>
      </c>
      <c r="E160" s="193">
        <f t="shared" ref="E160:E176" si="35">E$159*$D160</f>
        <v>0</v>
      </c>
      <c r="F160" s="193">
        <f t="shared" ref="F160:P175" si="36">F$159*$D160</f>
        <v>248</v>
      </c>
      <c r="G160" s="193">
        <f t="shared" si="36"/>
        <v>248</v>
      </c>
      <c r="H160" s="193">
        <f t="shared" si="36"/>
        <v>0</v>
      </c>
      <c r="I160" s="193">
        <f t="shared" si="36"/>
        <v>0</v>
      </c>
      <c r="J160" s="193">
        <f t="shared" si="36"/>
        <v>0</v>
      </c>
      <c r="K160" s="193">
        <f t="shared" si="36"/>
        <v>0</v>
      </c>
      <c r="L160" s="193">
        <f t="shared" si="36"/>
        <v>0</v>
      </c>
      <c r="M160" s="193">
        <f t="shared" si="36"/>
        <v>0</v>
      </c>
      <c r="N160" s="193">
        <f t="shared" si="36"/>
        <v>0</v>
      </c>
      <c r="O160" s="193">
        <f t="shared" si="36"/>
        <v>0</v>
      </c>
      <c r="P160" s="194">
        <f t="shared" si="36"/>
        <v>0</v>
      </c>
    </row>
    <row r="161" spans="1:16" x14ac:dyDescent="0.3">
      <c r="A161" s="195"/>
      <c r="B161" s="196" t="s">
        <v>342</v>
      </c>
      <c r="C161" s="196" t="s">
        <v>172</v>
      </c>
      <c r="D161" s="197">
        <v>0.124</v>
      </c>
      <c r="E161" s="193">
        <f t="shared" si="35"/>
        <v>0</v>
      </c>
      <c r="F161" s="193">
        <f t="shared" si="36"/>
        <v>248</v>
      </c>
      <c r="G161" s="193">
        <f t="shared" si="36"/>
        <v>248</v>
      </c>
      <c r="H161" s="193">
        <f t="shared" si="36"/>
        <v>0</v>
      </c>
      <c r="I161" s="193">
        <f t="shared" si="36"/>
        <v>0</v>
      </c>
      <c r="J161" s="193">
        <f t="shared" si="36"/>
        <v>0</v>
      </c>
      <c r="K161" s="193">
        <f t="shared" si="36"/>
        <v>0</v>
      </c>
      <c r="L161" s="193">
        <f t="shared" si="36"/>
        <v>0</v>
      </c>
      <c r="M161" s="193">
        <f t="shared" si="36"/>
        <v>0</v>
      </c>
      <c r="N161" s="193">
        <f t="shared" si="36"/>
        <v>0</v>
      </c>
      <c r="O161" s="193">
        <f t="shared" si="36"/>
        <v>0</v>
      </c>
      <c r="P161" s="194">
        <f t="shared" si="36"/>
        <v>0</v>
      </c>
    </row>
    <row r="162" spans="1:16" x14ac:dyDescent="0.3">
      <c r="A162" s="195"/>
      <c r="B162" s="196" t="s">
        <v>326</v>
      </c>
      <c r="C162" s="196" t="s">
        <v>173</v>
      </c>
      <c r="D162" s="197">
        <v>0.24</v>
      </c>
      <c r="E162" s="193">
        <f t="shared" si="35"/>
        <v>0</v>
      </c>
      <c r="F162" s="193">
        <f t="shared" si="36"/>
        <v>480</v>
      </c>
      <c r="G162" s="193">
        <f t="shared" si="36"/>
        <v>480</v>
      </c>
      <c r="H162" s="193">
        <f t="shared" si="36"/>
        <v>0</v>
      </c>
      <c r="I162" s="193">
        <f t="shared" si="36"/>
        <v>0</v>
      </c>
      <c r="J162" s="193">
        <f t="shared" si="36"/>
        <v>0</v>
      </c>
      <c r="K162" s="193">
        <f t="shared" si="36"/>
        <v>0</v>
      </c>
      <c r="L162" s="193">
        <f t="shared" si="36"/>
        <v>0</v>
      </c>
      <c r="M162" s="193">
        <f t="shared" si="36"/>
        <v>0</v>
      </c>
      <c r="N162" s="193">
        <f t="shared" si="36"/>
        <v>0</v>
      </c>
      <c r="O162" s="193">
        <f t="shared" si="36"/>
        <v>0</v>
      </c>
      <c r="P162" s="194">
        <f t="shared" si="36"/>
        <v>0</v>
      </c>
    </row>
    <row r="163" spans="1:16" x14ac:dyDescent="0.3">
      <c r="A163" s="195"/>
      <c r="B163" s="196" t="s">
        <v>325</v>
      </c>
      <c r="C163" s="196" t="s">
        <v>171</v>
      </c>
      <c r="D163" s="197">
        <v>0.1711</v>
      </c>
      <c r="E163" s="193">
        <f t="shared" si="35"/>
        <v>0</v>
      </c>
      <c r="F163" s="193">
        <f t="shared" si="36"/>
        <v>342.2</v>
      </c>
      <c r="G163" s="193">
        <f t="shared" si="36"/>
        <v>342.2</v>
      </c>
      <c r="H163" s="193">
        <f t="shared" si="36"/>
        <v>0</v>
      </c>
      <c r="I163" s="193">
        <f t="shared" si="36"/>
        <v>0</v>
      </c>
      <c r="J163" s="193">
        <f t="shared" si="36"/>
        <v>0</v>
      </c>
      <c r="K163" s="193">
        <f t="shared" si="36"/>
        <v>0</v>
      </c>
      <c r="L163" s="193">
        <f t="shared" si="36"/>
        <v>0</v>
      </c>
      <c r="M163" s="193">
        <f t="shared" si="36"/>
        <v>0</v>
      </c>
      <c r="N163" s="193">
        <f t="shared" si="36"/>
        <v>0</v>
      </c>
      <c r="O163" s="193">
        <f t="shared" si="36"/>
        <v>0</v>
      </c>
      <c r="P163" s="194">
        <f t="shared" si="36"/>
        <v>0</v>
      </c>
    </row>
    <row r="164" spans="1:16" x14ac:dyDescent="0.3">
      <c r="A164" s="195"/>
      <c r="B164" s="196" t="s">
        <v>330</v>
      </c>
      <c r="C164" s="196" t="s">
        <v>174</v>
      </c>
      <c r="D164" s="197">
        <v>2.8000000000000001E-2</v>
      </c>
      <c r="E164" s="193">
        <f t="shared" si="35"/>
        <v>0</v>
      </c>
      <c r="F164" s="193">
        <f t="shared" si="36"/>
        <v>56</v>
      </c>
      <c r="G164" s="193">
        <f t="shared" si="36"/>
        <v>56</v>
      </c>
      <c r="H164" s="193">
        <f t="shared" si="36"/>
        <v>0</v>
      </c>
      <c r="I164" s="193">
        <f t="shared" si="36"/>
        <v>0</v>
      </c>
      <c r="J164" s="193">
        <f t="shared" si="36"/>
        <v>0</v>
      </c>
      <c r="K164" s="193">
        <f t="shared" si="36"/>
        <v>0</v>
      </c>
      <c r="L164" s="193">
        <f t="shared" si="36"/>
        <v>0</v>
      </c>
      <c r="M164" s="193">
        <f t="shared" si="36"/>
        <v>0</v>
      </c>
      <c r="N164" s="193">
        <f t="shared" si="36"/>
        <v>0</v>
      </c>
      <c r="O164" s="193">
        <f t="shared" si="36"/>
        <v>0</v>
      </c>
      <c r="P164" s="194">
        <f t="shared" si="36"/>
        <v>0</v>
      </c>
    </row>
    <row r="165" spans="1:16" x14ac:dyDescent="0.3">
      <c r="A165" s="195"/>
      <c r="B165" s="196" t="s">
        <v>343</v>
      </c>
      <c r="C165" s="196" t="s">
        <v>175</v>
      </c>
      <c r="D165" s="197">
        <v>1.9E-2</v>
      </c>
      <c r="E165" s="193">
        <f t="shared" si="35"/>
        <v>0</v>
      </c>
      <c r="F165" s="193">
        <f t="shared" si="36"/>
        <v>38</v>
      </c>
      <c r="G165" s="193">
        <f t="shared" si="36"/>
        <v>38</v>
      </c>
      <c r="H165" s="193">
        <f t="shared" si="36"/>
        <v>0</v>
      </c>
      <c r="I165" s="193">
        <f t="shared" si="36"/>
        <v>0</v>
      </c>
      <c r="J165" s="193">
        <f t="shared" si="36"/>
        <v>0</v>
      </c>
      <c r="K165" s="193">
        <f t="shared" si="36"/>
        <v>0</v>
      </c>
      <c r="L165" s="193">
        <f t="shared" si="36"/>
        <v>0</v>
      </c>
      <c r="M165" s="193">
        <f t="shared" si="36"/>
        <v>0</v>
      </c>
      <c r="N165" s="193">
        <f t="shared" si="36"/>
        <v>0</v>
      </c>
      <c r="O165" s="193">
        <f t="shared" si="36"/>
        <v>0</v>
      </c>
      <c r="P165" s="194">
        <f t="shared" si="36"/>
        <v>0</v>
      </c>
    </row>
    <row r="166" spans="1:16" x14ac:dyDescent="0.3">
      <c r="A166" s="195"/>
      <c r="B166" s="196" t="s">
        <v>331</v>
      </c>
      <c r="C166" s="196" t="s">
        <v>176</v>
      </c>
      <c r="D166" s="197">
        <v>1.4999999999999999E-2</v>
      </c>
      <c r="E166" s="193">
        <f t="shared" si="35"/>
        <v>0</v>
      </c>
      <c r="F166" s="193">
        <f t="shared" si="36"/>
        <v>30</v>
      </c>
      <c r="G166" s="193">
        <f t="shared" si="36"/>
        <v>30</v>
      </c>
      <c r="H166" s="193">
        <f t="shared" si="36"/>
        <v>0</v>
      </c>
      <c r="I166" s="193">
        <f t="shared" si="36"/>
        <v>0</v>
      </c>
      <c r="J166" s="193">
        <f t="shared" si="36"/>
        <v>0</v>
      </c>
      <c r="K166" s="193">
        <f t="shared" si="36"/>
        <v>0</v>
      </c>
      <c r="L166" s="193">
        <f t="shared" si="36"/>
        <v>0</v>
      </c>
      <c r="M166" s="193">
        <f t="shared" si="36"/>
        <v>0</v>
      </c>
      <c r="N166" s="193">
        <f t="shared" si="36"/>
        <v>0</v>
      </c>
      <c r="O166" s="193">
        <f t="shared" si="36"/>
        <v>0</v>
      </c>
      <c r="P166" s="194">
        <f t="shared" si="36"/>
        <v>0</v>
      </c>
    </row>
    <row r="167" spans="1:16" x14ac:dyDescent="0.3">
      <c r="A167" s="195"/>
      <c r="B167" s="196" t="s">
        <v>337</v>
      </c>
      <c r="C167" s="196" t="s">
        <v>177</v>
      </c>
      <c r="D167" s="197">
        <v>1.2999999999999999E-2</v>
      </c>
      <c r="E167" s="193">
        <f t="shared" si="35"/>
        <v>0</v>
      </c>
      <c r="F167" s="193">
        <f t="shared" si="36"/>
        <v>26</v>
      </c>
      <c r="G167" s="193">
        <f t="shared" si="36"/>
        <v>26</v>
      </c>
      <c r="H167" s="193">
        <f t="shared" si="36"/>
        <v>0</v>
      </c>
      <c r="I167" s="193">
        <f t="shared" si="36"/>
        <v>0</v>
      </c>
      <c r="J167" s="193">
        <f t="shared" si="36"/>
        <v>0</v>
      </c>
      <c r="K167" s="193">
        <f t="shared" si="36"/>
        <v>0</v>
      </c>
      <c r="L167" s="193">
        <f t="shared" si="36"/>
        <v>0</v>
      </c>
      <c r="M167" s="193">
        <f t="shared" si="36"/>
        <v>0</v>
      </c>
      <c r="N167" s="193">
        <f t="shared" si="36"/>
        <v>0</v>
      </c>
      <c r="O167" s="193">
        <f t="shared" si="36"/>
        <v>0</v>
      </c>
      <c r="P167" s="194">
        <f t="shared" si="36"/>
        <v>0</v>
      </c>
    </row>
    <row r="168" spans="1:16" x14ac:dyDescent="0.3">
      <c r="A168" s="195"/>
      <c r="B168" s="196" t="s">
        <v>344</v>
      </c>
      <c r="C168" s="196" t="s">
        <v>178</v>
      </c>
      <c r="D168" s="197">
        <v>1.0999999999999999E-2</v>
      </c>
      <c r="E168" s="193">
        <f t="shared" si="35"/>
        <v>0</v>
      </c>
      <c r="F168" s="193">
        <f t="shared" si="36"/>
        <v>22</v>
      </c>
      <c r="G168" s="193">
        <f t="shared" si="36"/>
        <v>22</v>
      </c>
      <c r="H168" s="193">
        <f t="shared" si="36"/>
        <v>0</v>
      </c>
      <c r="I168" s="193">
        <f t="shared" si="36"/>
        <v>0</v>
      </c>
      <c r="J168" s="193">
        <f t="shared" si="36"/>
        <v>0</v>
      </c>
      <c r="K168" s="193">
        <f t="shared" si="36"/>
        <v>0</v>
      </c>
      <c r="L168" s="193">
        <f t="shared" si="36"/>
        <v>0</v>
      </c>
      <c r="M168" s="193">
        <f t="shared" si="36"/>
        <v>0</v>
      </c>
      <c r="N168" s="193">
        <f t="shared" si="36"/>
        <v>0</v>
      </c>
      <c r="O168" s="193">
        <f t="shared" si="36"/>
        <v>0</v>
      </c>
      <c r="P168" s="194">
        <f t="shared" si="36"/>
        <v>0</v>
      </c>
    </row>
    <row r="169" spans="1:16" x14ac:dyDescent="0.3">
      <c r="A169" s="195"/>
      <c r="B169" s="196" t="s">
        <v>345</v>
      </c>
      <c r="C169" s="196" t="s">
        <v>241</v>
      </c>
      <c r="D169" s="197">
        <v>5.0000000000000001E-3</v>
      </c>
      <c r="E169" s="193">
        <f t="shared" si="35"/>
        <v>0</v>
      </c>
      <c r="F169" s="193">
        <f t="shared" si="36"/>
        <v>10</v>
      </c>
      <c r="G169" s="193">
        <f t="shared" si="36"/>
        <v>10</v>
      </c>
      <c r="H169" s="193">
        <f t="shared" si="36"/>
        <v>0</v>
      </c>
      <c r="I169" s="193">
        <f t="shared" si="36"/>
        <v>0</v>
      </c>
      <c r="J169" s="193">
        <f t="shared" si="36"/>
        <v>0</v>
      </c>
      <c r="K169" s="193">
        <f t="shared" si="36"/>
        <v>0</v>
      </c>
      <c r="L169" s="193">
        <f t="shared" si="36"/>
        <v>0</v>
      </c>
      <c r="M169" s="193">
        <f t="shared" si="36"/>
        <v>0</v>
      </c>
      <c r="N169" s="193">
        <f t="shared" si="36"/>
        <v>0</v>
      </c>
      <c r="O169" s="193">
        <f t="shared" si="36"/>
        <v>0</v>
      </c>
      <c r="P169" s="194">
        <f t="shared" si="36"/>
        <v>0</v>
      </c>
    </row>
    <row r="170" spans="1:16" x14ac:dyDescent="0.3">
      <c r="A170" s="195"/>
      <c r="B170" s="206" t="s">
        <v>346</v>
      </c>
      <c r="C170" s="206" t="s">
        <v>180</v>
      </c>
      <c r="D170" s="207">
        <v>4.0000000000000001E-3</v>
      </c>
      <c r="E170" s="193">
        <f t="shared" si="35"/>
        <v>0</v>
      </c>
      <c r="F170" s="193">
        <f t="shared" si="36"/>
        <v>8</v>
      </c>
      <c r="G170" s="193">
        <f t="shared" si="36"/>
        <v>8</v>
      </c>
      <c r="H170" s="193">
        <f t="shared" si="36"/>
        <v>0</v>
      </c>
      <c r="I170" s="193">
        <f t="shared" si="36"/>
        <v>0</v>
      </c>
      <c r="J170" s="193">
        <f t="shared" si="36"/>
        <v>0</v>
      </c>
      <c r="K170" s="193">
        <f t="shared" si="36"/>
        <v>0</v>
      </c>
      <c r="L170" s="193">
        <f t="shared" si="36"/>
        <v>0</v>
      </c>
      <c r="M170" s="193">
        <f t="shared" si="36"/>
        <v>0</v>
      </c>
      <c r="N170" s="193">
        <f t="shared" si="36"/>
        <v>0</v>
      </c>
      <c r="O170" s="193">
        <f t="shared" si="36"/>
        <v>0</v>
      </c>
      <c r="P170" s="194">
        <f t="shared" si="36"/>
        <v>0</v>
      </c>
    </row>
    <row r="171" spans="1:16" x14ac:dyDescent="0.3">
      <c r="A171" s="195"/>
      <c r="B171" s="206" t="s">
        <v>347</v>
      </c>
      <c r="C171" s="206" t="s">
        <v>181</v>
      </c>
      <c r="D171" s="207">
        <v>3.5000000000000001E-3</v>
      </c>
      <c r="E171" s="193">
        <f t="shared" si="35"/>
        <v>0</v>
      </c>
      <c r="F171" s="193">
        <f t="shared" si="36"/>
        <v>7</v>
      </c>
      <c r="G171" s="193">
        <f t="shared" si="36"/>
        <v>7</v>
      </c>
      <c r="H171" s="193">
        <f t="shared" si="36"/>
        <v>0</v>
      </c>
      <c r="I171" s="193">
        <f t="shared" si="36"/>
        <v>0</v>
      </c>
      <c r="J171" s="193">
        <f t="shared" si="36"/>
        <v>0</v>
      </c>
      <c r="K171" s="193">
        <f t="shared" si="36"/>
        <v>0</v>
      </c>
      <c r="L171" s="193">
        <f t="shared" si="36"/>
        <v>0</v>
      </c>
      <c r="M171" s="193">
        <f t="shared" si="36"/>
        <v>0</v>
      </c>
      <c r="N171" s="193">
        <f t="shared" si="36"/>
        <v>0</v>
      </c>
      <c r="O171" s="193">
        <f t="shared" si="36"/>
        <v>0</v>
      </c>
      <c r="P171" s="194">
        <f t="shared" si="36"/>
        <v>0</v>
      </c>
    </row>
    <row r="172" spans="1:16" x14ac:dyDescent="0.3">
      <c r="A172" s="195"/>
      <c r="B172" s="206" t="s">
        <v>348</v>
      </c>
      <c r="C172" s="206" t="s">
        <v>182</v>
      </c>
      <c r="D172" s="207">
        <v>3.5000000000000001E-3</v>
      </c>
      <c r="E172" s="193">
        <f t="shared" si="35"/>
        <v>0</v>
      </c>
      <c r="F172" s="193">
        <f t="shared" si="36"/>
        <v>7</v>
      </c>
      <c r="G172" s="193">
        <f t="shared" si="36"/>
        <v>7</v>
      </c>
      <c r="H172" s="193">
        <f t="shared" si="36"/>
        <v>0</v>
      </c>
      <c r="I172" s="193">
        <f t="shared" si="36"/>
        <v>0</v>
      </c>
      <c r="J172" s="193">
        <f t="shared" si="36"/>
        <v>0</v>
      </c>
      <c r="K172" s="193">
        <f t="shared" si="36"/>
        <v>0</v>
      </c>
      <c r="L172" s="193">
        <f t="shared" si="36"/>
        <v>0</v>
      </c>
      <c r="M172" s="193">
        <f t="shared" si="36"/>
        <v>0</v>
      </c>
      <c r="N172" s="193">
        <f t="shared" si="36"/>
        <v>0</v>
      </c>
      <c r="O172" s="193">
        <f t="shared" si="36"/>
        <v>0</v>
      </c>
      <c r="P172" s="194">
        <f t="shared" si="36"/>
        <v>0</v>
      </c>
    </row>
    <row r="173" spans="1:16" x14ac:dyDescent="0.3">
      <c r="A173" s="195"/>
      <c r="B173" s="206" t="s">
        <v>349</v>
      </c>
      <c r="C173" s="206" t="s">
        <v>202</v>
      </c>
      <c r="D173" s="207">
        <v>3.0000000000000001E-3</v>
      </c>
      <c r="E173" s="193">
        <f t="shared" si="35"/>
        <v>0</v>
      </c>
      <c r="F173" s="193">
        <f t="shared" si="36"/>
        <v>6</v>
      </c>
      <c r="G173" s="193">
        <f t="shared" si="36"/>
        <v>6</v>
      </c>
      <c r="H173" s="193">
        <f t="shared" si="36"/>
        <v>0</v>
      </c>
      <c r="I173" s="193">
        <f t="shared" si="36"/>
        <v>0</v>
      </c>
      <c r="J173" s="193">
        <f t="shared" si="36"/>
        <v>0</v>
      </c>
      <c r="K173" s="193">
        <f t="shared" si="36"/>
        <v>0</v>
      </c>
      <c r="L173" s="193">
        <f t="shared" si="36"/>
        <v>0</v>
      </c>
      <c r="M173" s="193">
        <f t="shared" si="36"/>
        <v>0</v>
      </c>
      <c r="N173" s="193">
        <f t="shared" si="36"/>
        <v>0</v>
      </c>
      <c r="O173" s="193">
        <f t="shared" si="36"/>
        <v>0</v>
      </c>
      <c r="P173" s="194">
        <f t="shared" si="36"/>
        <v>0</v>
      </c>
    </row>
    <row r="174" spans="1:16" x14ac:dyDescent="0.3">
      <c r="A174" s="195"/>
      <c r="B174" s="206" t="s">
        <v>350</v>
      </c>
      <c r="C174" s="206" t="s">
        <v>184</v>
      </c>
      <c r="D174" s="207">
        <v>3.0000000000000001E-3</v>
      </c>
      <c r="E174" s="193">
        <f t="shared" si="35"/>
        <v>0</v>
      </c>
      <c r="F174" s="193">
        <f t="shared" si="36"/>
        <v>6</v>
      </c>
      <c r="G174" s="193">
        <f t="shared" si="36"/>
        <v>6</v>
      </c>
      <c r="H174" s="193">
        <f t="shared" si="36"/>
        <v>0</v>
      </c>
      <c r="I174" s="193">
        <f t="shared" si="36"/>
        <v>0</v>
      </c>
      <c r="J174" s="193">
        <f t="shared" si="36"/>
        <v>0</v>
      </c>
      <c r="K174" s="193">
        <f t="shared" si="36"/>
        <v>0</v>
      </c>
      <c r="L174" s="193">
        <f t="shared" si="36"/>
        <v>0</v>
      </c>
      <c r="M174" s="193">
        <f t="shared" si="36"/>
        <v>0</v>
      </c>
      <c r="N174" s="193">
        <f t="shared" si="36"/>
        <v>0</v>
      </c>
      <c r="O174" s="193">
        <f t="shared" si="36"/>
        <v>0</v>
      </c>
      <c r="P174" s="194">
        <f t="shared" si="36"/>
        <v>0</v>
      </c>
    </row>
    <row r="175" spans="1:16" x14ac:dyDescent="0.3">
      <c r="A175" s="195"/>
      <c r="B175" s="83" t="s">
        <v>351</v>
      </c>
      <c r="C175" s="83" t="s">
        <v>185</v>
      </c>
      <c r="D175" s="210">
        <v>8.9999999999999998E-4</v>
      </c>
      <c r="E175" s="193">
        <f t="shared" si="35"/>
        <v>0</v>
      </c>
      <c r="F175" s="193">
        <f t="shared" si="36"/>
        <v>1.8</v>
      </c>
      <c r="G175" s="193">
        <f t="shared" si="36"/>
        <v>1.8</v>
      </c>
      <c r="H175" s="193">
        <f t="shared" si="36"/>
        <v>0</v>
      </c>
      <c r="I175" s="193">
        <f t="shared" si="36"/>
        <v>0</v>
      </c>
      <c r="J175" s="193">
        <f t="shared" si="36"/>
        <v>0</v>
      </c>
      <c r="K175" s="193">
        <f t="shared" si="36"/>
        <v>0</v>
      </c>
      <c r="L175" s="193">
        <f t="shared" si="36"/>
        <v>0</v>
      </c>
      <c r="M175" s="193">
        <f t="shared" si="36"/>
        <v>0</v>
      </c>
      <c r="N175" s="193">
        <f t="shared" si="36"/>
        <v>0</v>
      </c>
      <c r="O175" s="193">
        <f t="shared" si="36"/>
        <v>0</v>
      </c>
      <c r="P175" s="194">
        <f t="shared" si="36"/>
        <v>0</v>
      </c>
    </row>
    <row r="176" spans="1:16" x14ac:dyDescent="0.3">
      <c r="A176" s="195"/>
      <c r="B176" s="83" t="s">
        <v>352</v>
      </c>
      <c r="C176" s="83" t="s">
        <v>186</v>
      </c>
      <c r="D176" s="210">
        <v>8.9999999999999998E-4</v>
      </c>
      <c r="E176" s="193">
        <f t="shared" si="35"/>
        <v>0</v>
      </c>
      <c r="F176" s="193">
        <f t="shared" ref="F176:P176" si="37">F$159*$D176</f>
        <v>1.8</v>
      </c>
      <c r="G176" s="193">
        <f t="shared" si="37"/>
        <v>1.8</v>
      </c>
      <c r="H176" s="193">
        <f t="shared" si="37"/>
        <v>0</v>
      </c>
      <c r="I176" s="193">
        <f t="shared" si="37"/>
        <v>0</v>
      </c>
      <c r="J176" s="193">
        <f t="shared" si="37"/>
        <v>0</v>
      </c>
      <c r="K176" s="193">
        <f t="shared" si="37"/>
        <v>0</v>
      </c>
      <c r="L176" s="193">
        <f t="shared" si="37"/>
        <v>0</v>
      </c>
      <c r="M176" s="193">
        <f t="shared" si="37"/>
        <v>0</v>
      </c>
      <c r="N176" s="193">
        <f t="shared" si="37"/>
        <v>0</v>
      </c>
      <c r="O176" s="193">
        <f t="shared" si="37"/>
        <v>0</v>
      </c>
      <c r="P176" s="194">
        <f t="shared" si="37"/>
        <v>0</v>
      </c>
    </row>
    <row r="177" spans="1:16" x14ac:dyDescent="0.3">
      <c r="A177" s="195"/>
      <c r="B177" s="83" t="s">
        <v>353</v>
      </c>
      <c r="C177" s="83" t="s">
        <v>187</v>
      </c>
      <c r="D177" s="210">
        <v>1.1000000000000001E-3</v>
      </c>
      <c r="E177" s="193">
        <f t="shared" ref="E177:P178" si="38">E$159*$D177</f>
        <v>0</v>
      </c>
      <c r="F177" s="193">
        <f t="shared" si="38"/>
        <v>2.2000000000000002</v>
      </c>
      <c r="G177" s="193">
        <f t="shared" si="38"/>
        <v>2.2000000000000002</v>
      </c>
      <c r="H177" s="193">
        <f t="shared" si="38"/>
        <v>0</v>
      </c>
      <c r="I177" s="193">
        <f t="shared" si="38"/>
        <v>0</v>
      </c>
      <c r="J177" s="193">
        <f t="shared" si="38"/>
        <v>0</v>
      </c>
      <c r="K177" s="193">
        <f t="shared" si="38"/>
        <v>0</v>
      </c>
      <c r="L177" s="193">
        <f t="shared" si="38"/>
        <v>0</v>
      </c>
      <c r="M177" s="193">
        <f t="shared" si="38"/>
        <v>0</v>
      </c>
      <c r="N177" s="193">
        <f t="shared" si="38"/>
        <v>0</v>
      </c>
      <c r="O177" s="193">
        <f t="shared" si="38"/>
        <v>0</v>
      </c>
      <c r="P177" s="194">
        <f t="shared" si="38"/>
        <v>0</v>
      </c>
    </row>
    <row r="178" spans="1:16" x14ac:dyDescent="0.3">
      <c r="A178" s="195"/>
      <c r="B178" s="83">
        <v>241738</v>
      </c>
      <c r="C178" s="83" t="s">
        <v>198</v>
      </c>
      <c r="D178" s="210">
        <v>0.23</v>
      </c>
      <c r="E178" s="193">
        <f t="shared" si="38"/>
        <v>0</v>
      </c>
      <c r="F178" s="193">
        <f t="shared" si="38"/>
        <v>460</v>
      </c>
      <c r="G178" s="193">
        <f t="shared" si="38"/>
        <v>460</v>
      </c>
      <c r="H178" s="193">
        <f t="shared" si="38"/>
        <v>0</v>
      </c>
      <c r="I178" s="193">
        <f t="shared" si="38"/>
        <v>0</v>
      </c>
      <c r="J178" s="193">
        <f t="shared" si="38"/>
        <v>0</v>
      </c>
      <c r="K178" s="193">
        <f t="shared" si="38"/>
        <v>0</v>
      </c>
      <c r="L178" s="193">
        <f t="shared" si="38"/>
        <v>0</v>
      </c>
      <c r="M178" s="193">
        <f t="shared" si="38"/>
        <v>0</v>
      </c>
      <c r="N178" s="193">
        <f t="shared" si="38"/>
        <v>0</v>
      </c>
      <c r="O178" s="193">
        <f t="shared" si="38"/>
        <v>0</v>
      </c>
      <c r="P178" s="194">
        <f t="shared" si="38"/>
        <v>0</v>
      </c>
    </row>
    <row r="179" spans="1:16" x14ac:dyDescent="0.3">
      <c r="A179" s="195"/>
      <c r="B179" s="83" t="s">
        <v>362</v>
      </c>
      <c r="C179" s="83" t="s">
        <v>242</v>
      </c>
      <c r="D179" s="210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4"/>
    </row>
    <row r="180" spans="1:16" x14ac:dyDescent="0.3">
      <c r="A180" s="195"/>
      <c r="B180" s="83" t="s">
        <v>363</v>
      </c>
      <c r="C180" s="83" t="s">
        <v>243</v>
      </c>
      <c r="D180" s="210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4"/>
    </row>
    <row r="181" spans="1:16" ht="17.25" thickBot="1" x14ac:dyDescent="0.35">
      <c r="A181" s="198"/>
      <c r="B181" s="203" t="s">
        <v>382</v>
      </c>
      <c r="C181" s="203" t="s">
        <v>244</v>
      </c>
      <c r="D181" s="204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2"/>
    </row>
    <row r="182" spans="1:16" ht="17.25" thickBot="1" x14ac:dyDescent="0.35">
      <c r="A182" s="185">
        <v>323769</v>
      </c>
      <c r="B182" s="186"/>
      <c r="C182" s="187" t="s">
        <v>442</v>
      </c>
      <c r="D182" s="188">
        <f>SUM(D183:D202)</f>
        <v>0.99999999999999978</v>
      </c>
      <c r="E182" s="189">
        <f>IFERROR(VLOOKUP($A182,완제품!$B:$CP,E$1,FALSE),0)</f>
        <v>0</v>
      </c>
      <c r="F182" s="189">
        <f>IFERROR(VLOOKUP($A182,완제품!$B:$CP,F$1,FALSE),0)</f>
        <v>0</v>
      </c>
      <c r="G182" s="189">
        <f>IFERROR(VLOOKUP($A182,완제품!$B:$CP,G$1,FALSE),0)</f>
        <v>0</v>
      </c>
      <c r="H182" s="189">
        <f>IFERROR(VLOOKUP($A182,완제품!$B:$CP,H$1,FALSE),0)</f>
        <v>0</v>
      </c>
      <c r="I182" s="189">
        <f>IFERROR(VLOOKUP($A182,완제품!$B:$CP,I$1,FALSE),0)</f>
        <v>0</v>
      </c>
      <c r="J182" s="189">
        <f>IFERROR(VLOOKUP($A182,완제품!$B:$CP,J$1,FALSE),0)</f>
        <v>0</v>
      </c>
      <c r="K182" s="189">
        <f>IFERROR(VLOOKUP($A182,완제품!$B:$CP,K$1,FALSE),0)</f>
        <v>0</v>
      </c>
      <c r="L182" s="189">
        <f>IFERROR(VLOOKUP($A182,완제품!$B:$CP,L$1,FALSE),0)</f>
        <v>0</v>
      </c>
      <c r="M182" s="189">
        <f>IFERROR(VLOOKUP($A182,완제품!$B:$CP,M$1,FALSE),0)</f>
        <v>0</v>
      </c>
      <c r="N182" s="189">
        <f>IFERROR(VLOOKUP($A182,완제품!$B:$CP,N$1,FALSE),0)</f>
        <v>0</v>
      </c>
      <c r="O182" s="189">
        <f>IFERROR(VLOOKUP($A182,완제품!$B:$CP,O$1,FALSE),0)</f>
        <v>0</v>
      </c>
      <c r="P182" s="189">
        <f>IFERROR(VLOOKUP($A182,완제품!$B:$CP,P$1,FALSE),0)</f>
        <v>0</v>
      </c>
    </row>
    <row r="183" spans="1:16" x14ac:dyDescent="0.3">
      <c r="A183" s="190"/>
      <c r="B183" s="191" t="s">
        <v>325</v>
      </c>
      <c r="C183" s="191" t="s">
        <v>171</v>
      </c>
      <c r="D183" s="192">
        <v>0.30998439999999994</v>
      </c>
      <c r="E183" s="193">
        <f t="shared" ref="E183:E199" si="39">E$182*$D183</f>
        <v>0</v>
      </c>
      <c r="F183" s="193">
        <f t="shared" ref="F183:P198" si="40">F$182*$D183</f>
        <v>0</v>
      </c>
      <c r="G183" s="193">
        <f t="shared" si="40"/>
        <v>0</v>
      </c>
      <c r="H183" s="193">
        <f t="shared" si="40"/>
        <v>0</v>
      </c>
      <c r="I183" s="193">
        <f t="shared" si="40"/>
        <v>0</v>
      </c>
      <c r="J183" s="193">
        <f t="shared" si="40"/>
        <v>0</v>
      </c>
      <c r="K183" s="193">
        <f t="shared" si="40"/>
        <v>0</v>
      </c>
      <c r="L183" s="193">
        <f t="shared" si="40"/>
        <v>0</v>
      </c>
      <c r="M183" s="193">
        <f t="shared" si="40"/>
        <v>0</v>
      </c>
      <c r="N183" s="193">
        <f t="shared" si="40"/>
        <v>0</v>
      </c>
      <c r="O183" s="193">
        <f t="shared" si="40"/>
        <v>0</v>
      </c>
      <c r="P183" s="194">
        <f t="shared" si="40"/>
        <v>0</v>
      </c>
    </row>
    <row r="184" spans="1:16" x14ac:dyDescent="0.3">
      <c r="A184" s="195"/>
      <c r="B184" s="196" t="s">
        <v>361</v>
      </c>
      <c r="C184" s="196" t="s">
        <v>245</v>
      </c>
      <c r="D184" s="197">
        <v>0.12513819999999998</v>
      </c>
      <c r="E184" s="193">
        <f t="shared" si="39"/>
        <v>0</v>
      </c>
      <c r="F184" s="193">
        <f t="shared" si="40"/>
        <v>0</v>
      </c>
      <c r="G184" s="193">
        <f t="shared" si="40"/>
        <v>0</v>
      </c>
      <c r="H184" s="193">
        <f t="shared" si="40"/>
        <v>0</v>
      </c>
      <c r="I184" s="193">
        <f t="shared" si="40"/>
        <v>0</v>
      </c>
      <c r="J184" s="193">
        <f t="shared" si="40"/>
        <v>0</v>
      </c>
      <c r="K184" s="193">
        <f t="shared" si="40"/>
        <v>0</v>
      </c>
      <c r="L184" s="193">
        <f t="shared" si="40"/>
        <v>0</v>
      </c>
      <c r="M184" s="193">
        <f t="shared" si="40"/>
        <v>0</v>
      </c>
      <c r="N184" s="193">
        <f t="shared" si="40"/>
        <v>0</v>
      </c>
      <c r="O184" s="193">
        <f t="shared" si="40"/>
        <v>0</v>
      </c>
      <c r="P184" s="194">
        <f t="shared" si="40"/>
        <v>0</v>
      </c>
    </row>
    <row r="185" spans="1:16" x14ac:dyDescent="0.3">
      <c r="A185" s="195"/>
      <c r="B185" s="196" t="s">
        <v>383</v>
      </c>
      <c r="C185" s="196" t="s">
        <v>246</v>
      </c>
      <c r="D185" s="197">
        <v>1.4783999999999997E-3</v>
      </c>
      <c r="E185" s="193">
        <f t="shared" si="39"/>
        <v>0</v>
      </c>
      <c r="F185" s="193">
        <f t="shared" si="40"/>
        <v>0</v>
      </c>
      <c r="G185" s="193">
        <f t="shared" si="40"/>
        <v>0</v>
      </c>
      <c r="H185" s="193">
        <f t="shared" si="40"/>
        <v>0</v>
      </c>
      <c r="I185" s="193">
        <f t="shared" si="40"/>
        <v>0</v>
      </c>
      <c r="J185" s="193">
        <f t="shared" si="40"/>
        <v>0</v>
      </c>
      <c r="K185" s="193">
        <f t="shared" si="40"/>
        <v>0</v>
      </c>
      <c r="L185" s="193">
        <f t="shared" si="40"/>
        <v>0</v>
      </c>
      <c r="M185" s="193">
        <f t="shared" si="40"/>
        <v>0</v>
      </c>
      <c r="N185" s="193">
        <f t="shared" si="40"/>
        <v>0</v>
      </c>
      <c r="O185" s="193">
        <f t="shared" si="40"/>
        <v>0</v>
      </c>
      <c r="P185" s="194">
        <f t="shared" si="40"/>
        <v>0</v>
      </c>
    </row>
    <row r="186" spans="1:16" x14ac:dyDescent="0.3">
      <c r="A186" s="195"/>
      <c r="B186" s="196" t="s">
        <v>327</v>
      </c>
      <c r="C186" s="196" t="s">
        <v>247</v>
      </c>
      <c r="D186" s="197">
        <v>5.6273999999999994E-3</v>
      </c>
      <c r="E186" s="193">
        <f t="shared" si="39"/>
        <v>0</v>
      </c>
      <c r="F186" s="193">
        <f t="shared" si="40"/>
        <v>0</v>
      </c>
      <c r="G186" s="193">
        <f t="shared" si="40"/>
        <v>0</v>
      </c>
      <c r="H186" s="193">
        <f t="shared" si="40"/>
        <v>0</v>
      </c>
      <c r="I186" s="193">
        <f t="shared" si="40"/>
        <v>0</v>
      </c>
      <c r="J186" s="193">
        <f t="shared" si="40"/>
        <v>0</v>
      </c>
      <c r="K186" s="193">
        <f t="shared" si="40"/>
        <v>0</v>
      </c>
      <c r="L186" s="193">
        <f t="shared" si="40"/>
        <v>0</v>
      </c>
      <c r="M186" s="193">
        <f t="shared" si="40"/>
        <v>0</v>
      </c>
      <c r="N186" s="193">
        <f t="shared" si="40"/>
        <v>0</v>
      </c>
      <c r="O186" s="193">
        <f t="shared" si="40"/>
        <v>0</v>
      </c>
      <c r="P186" s="194">
        <f t="shared" si="40"/>
        <v>0</v>
      </c>
    </row>
    <row r="187" spans="1:16" x14ac:dyDescent="0.3">
      <c r="A187" s="195"/>
      <c r="B187" s="196" t="s">
        <v>384</v>
      </c>
      <c r="C187" s="196" t="s">
        <v>248</v>
      </c>
      <c r="D187" s="197">
        <v>3.815999999999999E-4</v>
      </c>
      <c r="E187" s="193">
        <f t="shared" si="39"/>
        <v>0</v>
      </c>
      <c r="F187" s="193">
        <f t="shared" si="40"/>
        <v>0</v>
      </c>
      <c r="G187" s="193">
        <f t="shared" si="40"/>
        <v>0</v>
      </c>
      <c r="H187" s="193">
        <f t="shared" si="40"/>
        <v>0</v>
      </c>
      <c r="I187" s="193">
        <f t="shared" si="40"/>
        <v>0</v>
      </c>
      <c r="J187" s="193">
        <f t="shared" si="40"/>
        <v>0</v>
      </c>
      <c r="K187" s="193">
        <f t="shared" si="40"/>
        <v>0</v>
      </c>
      <c r="L187" s="193">
        <f t="shared" si="40"/>
        <v>0</v>
      </c>
      <c r="M187" s="193">
        <f t="shared" si="40"/>
        <v>0</v>
      </c>
      <c r="N187" s="193">
        <f t="shared" si="40"/>
        <v>0</v>
      </c>
      <c r="O187" s="193">
        <f t="shared" si="40"/>
        <v>0</v>
      </c>
      <c r="P187" s="194">
        <f t="shared" si="40"/>
        <v>0</v>
      </c>
    </row>
    <row r="188" spans="1:16" x14ac:dyDescent="0.3">
      <c r="A188" s="195"/>
      <c r="B188" s="196" t="s">
        <v>325</v>
      </c>
      <c r="C188" s="196" t="s">
        <v>171</v>
      </c>
      <c r="D188" s="197">
        <v>0.10491779999999999</v>
      </c>
      <c r="E188" s="193">
        <f t="shared" si="39"/>
        <v>0</v>
      </c>
      <c r="F188" s="193">
        <f t="shared" si="40"/>
        <v>0</v>
      </c>
      <c r="G188" s="193">
        <f t="shared" si="40"/>
        <v>0</v>
      </c>
      <c r="H188" s="193">
        <f t="shared" si="40"/>
        <v>0</v>
      </c>
      <c r="I188" s="193">
        <f t="shared" si="40"/>
        <v>0</v>
      </c>
      <c r="J188" s="193">
        <f t="shared" si="40"/>
        <v>0</v>
      </c>
      <c r="K188" s="193">
        <f t="shared" si="40"/>
        <v>0</v>
      </c>
      <c r="L188" s="193">
        <f t="shared" si="40"/>
        <v>0</v>
      </c>
      <c r="M188" s="193">
        <f t="shared" si="40"/>
        <v>0</v>
      </c>
      <c r="N188" s="193">
        <f t="shared" si="40"/>
        <v>0</v>
      </c>
      <c r="O188" s="193">
        <f t="shared" si="40"/>
        <v>0</v>
      </c>
      <c r="P188" s="194">
        <f t="shared" si="40"/>
        <v>0</v>
      </c>
    </row>
    <row r="189" spans="1:16" x14ac:dyDescent="0.3">
      <c r="A189" s="195"/>
      <c r="B189" s="196" t="s">
        <v>385</v>
      </c>
      <c r="C189" s="196" t="s">
        <v>198</v>
      </c>
      <c r="D189" s="197">
        <v>4.1776399999999991E-2</v>
      </c>
      <c r="E189" s="193">
        <f t="shared" si="39"/>
        <v>0</v>
      </c>
      <c r="F189" s="193">
        <f t="shared" si="40"/>
        <v>0</v>
      </c>
      <c r="G189" s="193">
        <f t="shared" si="40"/>
        <v>0</v>
      </c>
      <c r="H189" s="193">
        <f t="shared" si="40"/>
        <v>0</v>
      </c>
      <c r="I189" s="193">
        <f t="shared" si="40"/>
        <v>0</v>
      </c>
      <c r="J189" s="193">
        <f t="shared" si="40"/>
        <v>0</v>
      </c>
      <c r="K189" s="193">
        <f t="shared" si="40"/>
        <v>0</v>
      </c>
      <c r="L189" s="193">
        <f t="shared" si="40"/>
        <v>0</v>
      </c>
      <c r="M189" s="193">
        <f t="shared" si="40"/>
        <v>0</v>
      </c>
      <c r="N189" s="193">
        <f t="shared" si="40"/>
        <v>0</v>
      </c>
      <c r="O189" s="193">
        <f t="shared" si="40"/>
        <v>0</v>
      </c>
      <c r="P189" s="194">
        <f t="shared" si="40"/>
        <v>0</v>
      </c>
    </row>
    <row r="190" spans="1:16" x14ac:dyDescent="0.3">
      <c r="A190" s="195"/>
      <c r="B190" s="196" t="s">
        <v>329</v>
      </c>
      <c r="C190" s="196" t="s">
        <v>154</v>
      </c>
      <c r="D190" s="197">
        <v>4.4827999999999995E-3</v>
      </c>
      <c r="E190" s="193">
        <f t="shared" si="39"/>
        <v>0</v>
      </c>
      <c r="F190" s="193">
        <f t="shared" si="40"/>
        <v>0</v>
      </c>
      <c r="G190" s="193">
        <f t="shared" si="40"/>
        <v>0</v>
      </c>
      <c r="H190" s="193">
        <f t="shared" si="40"/>
        <v>0</v>
      </c>
      <c r="I190" s="193">
        <f t="shared" si="40"/>
        <v>0</v>
      </c>
      <c r="J190" s="193">
        <f t="shared" si="40"/>
        <v>0</v>
      </c>
      <c r="K190" s="193">
        <f t="shared" si="40"/>
        <v>0</v>
      </c>
      <c r="L190" s="193">
        <f t="shared" si="40"/>
        <v>0</v>
      </c>
      <c r="M190" s="193">
        <f t="shared" si="40"/>
        <v>0</v>
      </c>
      <c r="N190" s="193">
        <f t="shared" si="40"/>
        <v>0</v>
      </c>
      <c r="O190" s="193">
        <f t="shared" si="40"/>
        <v>0</v>
      </c>
      <c r="P190" s="194">
        <f t="shared" si="40"/>
        <v>0</v>
      </c>
    </row>
    <row r="191" spans="1:16" x14ac:dyDescent="0.3">
      <c r="A191" s="195"/>
      <c r="B191" s="196" t="s">
        <v>381</v>
      </c>
      <c r="C191" s="196" t="s">
        <v>249</v>
      </c>
      <c r="D191" s="197">
        <v>5.961199999999999E-3</v>
      </c>
      <c r="E191" s="193">
        <f t="shared" si="39"/>
        <v>0</v>
      </c>
      <c r="F191" s="193">
        <f t="shared" si="40"/>
        <v>0</v>
      </c>
      <c r="G191" s="193">
        <f t="shared" si="40"/>
        <v>0</v>
      </c>
      <c r="H191" s="193">
        <f t="shared" si="40"/>
        <v>0</v>
      </c>
      <c r="I191" s="193">
        <f t="shared" si="40"/>
        <v>0</v>
      </c>
      <c r="J191" s="193">
        <f t="shared" si="40"/>
        <v>0</v>
      </c>
      <c r="K191" s="193">
        <f t="shared" si="40"/>
        <v>0</v>
      </c>
      <c r="L191" s="193">
        <f t="shared" si="40"/>
        <v>0</v>
      </c>
      <c r="M191" s="193">
        <f t="shared" si="40"/>
        <v>0</v>
      </c>
      <c r="N191" s="193">
        <f t="shared" si="40"/>
        <v>0</v>
      </c>
      <c r="O191" s="193">
        <f t="shared" si="40"/>
        <v>0</v>
      </c>
      <c r="P191" s="194">
        <f t="shared" si="40"/>
        <v>0</v>
      </c>
    </row>
    <row r="192" spans="1:16" x14ac:dyDescent="0.3">
      <c r="A192" s="195"/>
      <c r="B192" s="196" t="s">
        <v>358</v>
      </c>
      <c r="C192" s="196" t="s">
        <v>212</v>
      </c>
      <c r="D192" s="197">
        <v>2.9567999999999994E-3</v>
      </c>
      <c r="E192" s="193">
        <f t="shared" si="39"/>
        <v>0</v>
      </c>
      <c r="F192" s="193">
        <f t="shared" si="40"/>
        <v>0</v>
      </c>
      <c r="G192" s="193">
        <f t="shared" si="40"/>
        <v>0</v>
      </c>
      <c r="H192" s="193">
        <f t="shared" si="40"/>
        <v>0</v>
      </c>
      <c r="I192" s="193">
        <f t="shared" si="40"/>
        <v>0</v>
      </c>
      <c r="J192" s="193">
        <f t="shared" si="40"/>
        <v>0</v>
      </c>
      <c r="K192" s="193">
        <f t="shared" si="40"/>
        <v>0</v>
      </c>
      <c r="L192" s="193">
        <f t="shared" si="40"/>
        <v>0</v>
      </c>
      <c r="M192" s="193">
        <f t="shared" si="40"/>
        <v>0</v>
      </c>
      <c r="N192" s="193">
        <f t="shared" si="40"/>
        <v>0</v>
      </c>
      <c r="O192" s="193">
        <f t="shared" si="40"/>
        <v>0</v>
      </c>
      <c r="P192" s="194">
        <f t="shared" si="40"/>
        <v>0</v>
      </c>
    </row>
    <row r="193" spans="1:16" x14ac:dyDescent="0.3">
      <c r="A193" s="195"/>
      <c r="B193" s="206" t="s">
        <v>383</v>
      </c>
      <c r="C193" s="206" t="s">
        <v>246</v>
      </c>
      <c r="D193" s="212">
        <v>2.0983999999999998E-3</v>
      </c>
      <c r="E193" s="193">
        <f t="shared" si="39"/>
        <v>0</v>
      </c>
      <c r="F193" s="193">
        <f t="shared" si="40"/>
        <v>0</v>
      </c>
      <c r="G193" s="193">
        <f t="shared" si="40"/>
        <v>0</v>
      </c>
      <c r="H193" s="193">
        <f t="shared" si="40"/>
        <v>0</v>
      </c>
      <c r="I193" s="193">
        <f t="shared" si="40"/>
        <v>0</v>
      </c>
      <c r="J193" s="193">
        <f t="shared" si="40"/>
        <v>0</v>
      </c>
      <c r="K193" s="193">
        <f t="shared" si="40"/>
        <v>0</v>
      </c>
      <c r="L193" s="193">
        <f t="shared" si="40"/>
        <v>0</v>
      </c>
      <c r="M193" s="193">
        <f t="shared" si="40"/>
        <v>0</v>
      </c>
      <c r="N193" s="193">
        <f t="shared" si="40"/>
        <v>0</v>
      </c>
      <c r="O193" s="193">
        <f t="shared" si="40"/>
        <v>0</v>
      </c>
      <c r="P193" s="194">
        <f t="shared" si="40"/>
        <v>0</v>
      </c>
    </row>
    <row r="194" spans="1:16" x14ac:dyDescent="0.3">
      <c r="A194" s="195"/>
      <c r="B194" s="206" t="s">
        <v>332</v>
      </c>
      <c r="C194" s="206" t="s">
        <v>250</v>
      </c>
      <c r="D194" s="212">
        <v>2.0983999999999998E-3</v>
      </c>
      <c r="E194" s="193">
        <f t="shared" si="39"/>
        <v>0</v>
      </c>
      <c r="F194" s="193">
        <f t="shared" si="40"/>
        <v>0</v>
      </c>
      <c r="G194" s="193">
        <f t="shared" si="40"/>
        <v>0</v>
      </c>
      <c r="H194" s="193">
        <f t="shared" si="40"/>
        <v>0</v>
      </c>
      <c r="I194" s="193">
        <f t="shared" si="40"/>
        <v>0</v>
      </c>
      <c r="J194" s="193">
        <f t="shared" si="40"/>
        <v>0</v>
      </c>
      <c r="K194" s="193">
        <f t="shared" si="40"/>
        <v>0</v>
      </c>
      <c r="L194" s="193">
        <f t="shared" si="40"/>
        <v>0</v>
      </c>
      <c r="M194" s="193">
        <f t="shared" si="40"/>
        <v>0</v>
      </c>
      <c r="N194" s="193">
        <f t="shared" si="40"/>
        <v>0</v>
      </c>
      <c r="O194" s="193">
        <f t="shared" si="40"/>
        <v>0</v>
      </c>
      <c r="P194" s="194">
        <f t="shared" si="40"/>
        <v>0</v>
      </c>
    </row>
    <row r="195" spans="1:16" x14ac:dyDescent="0.3">
      <c r="A195" s="195"/>
      <c r="B195" s="206" t="s">
        <v>365</v>
      </c>
      <c r="C195" s="206" t="s">
        <v>251</v>
      </c>
      <c r="D195" s="212">
        <v>1.1921999999999998E-3</v>
      </c>
      <c r="E195" s="193">
        <f t="shared" si="39"/>
        <v>0</v>
      </c>
      <c r="F195" s="193">
        <f t="shared" si="40"/>
        <v>0</v>
      </c>
      <c r="G195" s="193">
        <f t="shared" si="40"/>
        <v>0</v>
      </c>
      <c r="H195" s="193">
        <f t="shared" si="40"/>
        <v>0</v>
      </c>
      <c r="I195" s="193">
        <f t="shared" si="40"/>
        <v>0</v>
      </c>
      <c r="J195" s="193">
        <f t="shared" si="40"/>
        <v>0</v>
      </c>
      <c r="K195" s="193">
        <f t="shared" si="40"/>
        <v>0</v>
      </c>
      <c r="L195" s="193">
        <f t="shared" si="40"/>
        <v>0</v>
      </c>
      <c r="M195" s="193">
        <f t="shared" si="40"/>
        <v>0</v>
      </c>
      <c r="N195" s="193">
        <f t="shared" si="40"/>
        <v>0</v>
      </c>
      <c r="O195" s="193">
        <f t="shared" si="40"/>
        <v>0</v>
      </c>
      <c r="P195" s="194">
        <f t="shared" si="40"/>
        <v>0</v>
      </c>
    </row>
    <row r="196" spans="1:16" x14ac:dyDescent="0.3">
      <c r="A196" s="195"/>
      <c r="B196" s="206" t="s">
        <v>386</v>
      </c>
      <c r="C196" s="206" t="s">
        <v>252</v>
      </c>
      <c r="D196" s="212">
        <v>7.630399999999999E-3</v>
      </c>
      <c r="E196" s="193">
        <f t="shared" si="39"/>
        <v>0</v>
      </c>
      <c r="F196" s="193">
        <f t="shared" si="40"/>
        <v>0</v>
      </c>
      <c r="G196" s="193">
        <f t="shared" si="40"/>
        <v>0</v>
      </c>
      <c r="H196" s="193">
        <f t="shared" si="40"/>
        <v>0</v>
      </c>
      <c r="I196" s="193">
        <f t="shared" si="40"/>
        <v>0</v>
      </c>
      <c r="J196" s="193">
        <f t="shared" si="40"/>
        <v>0</v>
      </c>
      <c r="K196" s="193">
        <f t="shared" si="40"/>
        <v>0</v>
      </c>
      <c r="L196" s="193">
        <f t="shared" si="40"/>
        <v>0</v>
      </c>
      <c r="M196" s="193">
        <f t="shared" si="40"/>
        <v>0</v>
      </c>
      <c r="N196" s="193">
        <f t="shared" si="40"/>
        <v>0</v>
      </c>
      <c r="O196" s="193">
        <f t="shared" si="40"/>
        <v>0</v>
      </c>
      <c r="P196" s="194">
        <f t="shared" si="40"/>
        <v>0</v>
      </c>
    </row>
    <row r="197" spans="1:16" x14ac:dyDescent="0.3">
      <c r="A197" s="195"/>
      <c r="B197" s="206" t="s">
        <v>368</v>
      </c>
      <c r="C197" s="206" t="s">
        <v>253</v>
      </c>
      <c r="D197" s="212">
        <v>4.7679999999999988E-4</v>
      </c>
      <c r="E197" s="193">
        <f t="shared" si="39"/>
        <v>0</v>
      </c>
      <c r="F197" s="193">
        <f t="shared" si="40"/>
        <v>0</v>
      </c>
      <c r="G197" s="193">
        <f t="shared" si="40"/>
        <v>0</v>
      </c>
      <c r="H197" s="193">
        <f t="shared" si="40"/>
        <v>0</v>
      </c>
      <c r="I197" s="193">
        <f t="shared" si="40"/>
        <v>0</v>
      </c>
      <c r="J197" s="193">
        <f t="shared" si="40"/>
        <v>0</v>
      </c>
      <c r="K197" s="193">
        <f t="shared" si="40"/>
        <v>0</v>
      </c>
      <c r="L197" s="193">
        <f t="shared" si="40"/>
        <v>0</v>
      </c>
      <c r="M197" s="193">
        <f t="shared" si="40"/>
        <v>0</v>
      </c>
      <c r="N197" s="193">
        <f t="shared" si="40"/>
        <v>0</v>
      </c>
      <c r="O197" s="193">
        <f t="shared" si="40"/>
        <v>0</v>
      </c>
      <c r="P197" s="194">
        <f t="shared" si="40"/>
        <v>0</v>
      </c>
    </row>
    <row r="198" spans="1:16" x14ac:dyDescent="0.3">
      <c r="A198" s="195"/>
      <c r="B198" s="83" t="s">
        <v>387</v>
      </c>
      <c r="C198" s="83" t="s">
        <v>254</v>
      </c>
      <c r="D198" s="210">
        <v>2.0983599999999998E-2</v>
      </c>
      <c r="E198" s="193">
        <f t="shared" si="39"/>
        <v>0</v>
      </c>
      <c r="F198" s="193">
        <f t="shared" si="40"/>
        <v>0</v>
      </c>
      <c r="G198" s="193">
        <f t="shared" si="40"/>
        <v>0</v>
      </c>
      <c r="H198" s="193">
        <f t="shared" si="40"/>
        <v>0</v>
      </c>
      <c r="I198" s="193">
        <f t="shared" si="40"/>
        <v>0</v>
      </c>
      <c r="J198" s="193">
        <f t="shared" si="40"/>
        <v>0</v>
      </c>
      <c r="K198" s="193">
        <f t="shared" si="40"/>
        <v>0</v>
      </c>
      <c r="L198" s="193">
        <f t="shared" si="40"/>
        <v>0</v>
      </c>
      <c r="M198" s="193">
        <f t="shared" si="40"/>
        <v>0</v>
      </c>
      <c r="N198" s="193">
        <f t="shared" si="40"/>
        <v>0</v>
      </c>
      <c r="O198" s="193">
        <f t="shared" si="40"/>
        <v>0</v>
      </c>
      <c r="P198" s="194">
        <f t="shared" si="40"/>
        <v>0</v>
      </c>
    </row>
    <row r="199" spans="1:16" x14ac:dyDescent="0.3">
      <c r="A199" s="195"/>
      <c r="B199" s="83" t="s">
        <v>388</v>
      </c>
      <c r="C199" s="83" t="s">
        <v>255</v>
      </c>
      <c r="D199" s="210">
        <v>1.3733999999999997E-3</v>
      </c>
      <c r="E199" s="193">
        <f t="shared" si="39"/>
        <v>0</v>
      </c>
      <c r="F199" s="193">
        <f t="shared" ref="F199:P199" si="41">F$182*$D199</f>
        <v>0</v>
      </c>
      <c r="G199" s="193">
        <f t="shared" si="41"/>
        <v>0</v>
      </c>
      <c r="H199" s="193">
        <f t="shared" si="41"/>
        <v>0</v>
      </c>
      <c r="I199" s="193">
        <f t="shared" si="41"/>
        <v>0</v>
      </c>
      <c r="J199" s="193">
        <f t="shared" si="41"/>
        <v>0</v>
      </c>
      <c r="K199" s="193">
        <f t="shared" si="41"/>
        <v>0</v>
      </c>
      <c r="L199" s="193">
        <f t="shared" si="41"/>
        <v>0</v>
      </c>
      <c r="M199" s="193">
        <f t="shared" si="41"/>
        <v>0</v>
      </c>
      <c r="N199" s="193">
        <f t="shared" si="41"/>
        <v>0</v>
      </c>
      <c r="O199" s="193">
        <f t="shared" si="41"/>
        <v>0</v>
      </c>
      <c r="P199" s="194">
        <f t="shared" si="41"/>
        <v>0</v>
      </c>
    </row>
    <row r="200" spans="1:16" x14ac:dyDescent="0.3">
      <c r="A200" s="195"/>
      <c r="B200" s="83" t="s">
        <v>389</v>
      </c>
      <c r="C200" s="83" t="s">
        <v>256</v>
      </c>
      <c r="D200" s="210">
        <v>9.061999999999998E-4</v>
      </c>
      <c r="E200" s="193">
        <f t="shared" ref="E200:P202" si="42">E$182*$D200</f>
        <v>0</v>
      </c>
      <c r="F200" s="193">
        <f t="shared" si="42"/>
        <v>0</v>
      </c>
      <c r="G200" s="193">
        <f t="shared" si="42"/>
        <v>0</v>
      </c>
      <c r="H200" s="193">
        <f t="shared" si="42"/>
        <v>0</v>
      </c>
      <c r="I200" s="193">
        <f t="shared" si="42"/>
        <v>0</v>
      </c>
      <c r="J200" s="193">
        <f t="shared" si="42"/>
        <v>0</v>
      </c>
      <c r="K200" s="193">
        <f t="shared" si="42"/>
        <v>0</v>
      </c>
      <c r="L200" s="193">
        <f t="shared" si="42"/>
        <v>0</v>
      </c>
      <c r="M200" s="193">
        <f t="shared" si="42"/>
        <v>0</v>
      </c>
      <c r="N200" s="193">
        <f t="shared" si="42"/>
        <v>0</v>
      </c>
      <c r="O200" s="193">
        <f t="shared" si="42"/>
        <v>0</v>
      </c>
      <c r="P200" s="194">
        <f t="shared" si="42"/>
        <v>0</v>
      </c>
    </row>
    <row r="201" spans="1:16" x14ac:dyDescent="0.3">
      <c r="A201" s="195"/>
      <c r="B201" s="83">
        <v>320193</v>
      </c>
      <c r="C201" s="83" t="s">
        <v>443</v>
      </c>
      <c r="D201" s="210">
        <v>2.6706399999999998E-2</v>
      </c>
      <c r="E201" s="193">
        <f t="shared" si="42"/>
        <v>0</v>
      </c>
      <c r="F201" s="193">
        <f t="shared" si="42"/>
        <v>0</v>
      </c>
      <c r="G201" s="193">
        <f t="shared" si="42"/>
        <v>0</v>
      </c>
      <c r="H201" s="193">
        <f t="shared" si="42"/>
        <v>0</v>
      </c>
      <c r="I201" s="193">
        <f t="shared" si="42"/>
        <v>0</v>
      </c>
      <c r="J201" s="193">
        <f t="shared" si="42"/>
        <v>0</v>
      </c>
      <c r="K201" s="193">
        <f t="shared" si="42"/>
        <v>0</v>
      </c>
      <c r="L201" s="193">
        <f t="shared" si="42"/>
        <v>0</v>
      </c>
      <c r="M201" s="193">
        <f t="shared" si="42"/>
        <v>0</v>
      </c>
      <c r="N201" s="193">
        <f t="shared" si="42"/>
        <v>0</v>
      </c>
      <c r="O201" s="193">
        <f t="shared" si="42"/>
        <v>0</v>
      </c>
      <c r="P201" s="194">
        <f t="shared" si="42"/>
        <v>0</v>
      </c>
    </row>
    <row r="202" spans="1:16" ht="17.25" thickBot="1" x14ac:dyDescent="0.35">
      <c r="A202" s="198"/>
      <c r="B202" s="203" t="s">
        <v>390</v>
      </c>
      <c r="C202" s="203" t="s">
        <v>257</v>
      </c>
      <c r="D202" s="204">
        <v>0.33382919999999994</v>
      </c>
      <c r="E202" s="201">
        <f t="shared" si="42"/>
        <v>0</v>
      </c>
      <c r="F202" s="201">
        <f t="shared" si="42"/>
        <v>0</v>
      </c>
      <c r="G202" s="201">
        <f t="shared" si="42"/>
        <v>0</v>
      </c>
      <c r="H202" s="201">
        <f t="shared" si="42"/>
        <v>0</v>
      </c>
      <c r="I202" s="201">
        <f t="shared" si="42"/>
        <v>0</v>
      </c>
      <c r="J202" s="201">
        <f t="shared" si="42"/>
        <v>0</v>
      </c>
      <c r="K202" s="201">
        <f t="shared" si="42"/>
        <v>0</v>
      </c>
      <c r="L202" s="201">
        <f t="shared" si="42"/>
        <v>0</v>
      </c>
      <c r="M202" s="201">
        <f t="shared" si="42"/>
        <v>0</v>
      </c>
      <c r="N202" s="201">
        <f t="shared" si="42"/>
        <v>0</v>
      </c>
      <c r="O202" s="201">
        <f t="shared" si="42"/>
        <v>0</v>
      </c>
      <c r="P202" s="202">
        <f t="shared" si="42"/>
        <v>0</v>
      </c>
    </row>
    <row r="203" spans="1:16" ht="17.25" thickBot="1" x14ac:dyDescent="0.35">
      <c r="A203" s="185" t="s">
        <v>391</v>
      </c>
      <c r="B203" s="186"/>
      <c r="C203" s="187" t="s">
        <v>444</v>
      </c>
      <c r="D203" s="188">
        <f>SUM(D204:D207)</f>
        <v>1</v>
      </c>
      <c r="E203" s="189">
        <f>IFERROR(VLOOKUP($A203,완제품!$B:$CP,E$1,FALSE),0)</f>
        <v>0</v>
      </c>
      <c r="F203" s="189">
        <f>IFERROR(VLOOKUP($A203,완제품!$B:$CP,F$1,FALSE),0)</f>
        <v>0</v>
      </c>
      <c r="G203" s="189">
        <f>IFERROR(VLOOKUP($A203,완제품!$B:$CP,G$1,FALSE),0)</f>
        <v>0</v>
      </c>
      <c r="H203" s="189">
        <f>IFERROR(VLOOKUP($A203,완제품!$B:$CP,H$1,FALSE),0)</f>
        <v>0</v>
      </c>
      <c r="I203" s="189">
        <f>IFERROR(VLOOKUP($A203,완제품!$B:$CP,I$1,FALSE),0)</f>
        <v>0</v>
      </c>
      <c r="J203" s="189">
        <f>IFERROR(VLOOKUP($A203,완제품!$B:$CP,J$1,FALSE),0)</f>
        <v>0</v>
      </c>
      <c r="K203" s="189">
        <f>IFERROR(VLOOKUP($A203,완제품!$B:$CP,K$1,FALSE),0)</f>
        <v>0</v>
      </c>
      <c r="L203" s="189">
        <f>IFERROR(VLOOKUP($A203,완제품!$B:$CP,L$1,FALSE),0)</f>
        <v>0</v>
      </c>
      <c r="M203" s="189">
        <f>IFERROR(VLOOKUP($A203,완제품!$B:$CP,M$1,FALSE),0)</f>
        <v>0</v>
      </c>
      <c r="N203" s="189">
        <f>IFERROR(VLOOKUP($A203,완제품!$B:$CP,N$1,FALSE),0)</f>
        <v>0</v>
      </c>
      <c r="O203" s="189">
        <f>IFERROR(VLOOKUP($A203,완제품!$B:$CP,O$1,FALSE),0)</f>
        <v>0</v>
      </c>
      <c r="P203" s="189">
        <f>IFERROR(VLOOKUP($A203,완제품!$B:$CP,P$1,FALSE),0)</f>
        <v>0</v>
      </c>
    </row>
    <row r="204" spans="1:16" x14ac:dyDescent="0.3">
      <c r="A204" s="190"/>
      <c r="B204" s="191"/>
      <c r="C204" s="191" t="s">
        <v>258</v>
      </c>
      <c r="D204" s="192">
        <v>0.67700000000000005</v>
      </c>
      <c r="E204" s="193">
        <f t="shared" ref="E204:P207" si="43">E$203*$D204</f>
        <v>0</v>
      </c>
      <c r="F204" s="193">
        <f t="shared" si="43"/>
        <v>0</v>
      </c>
      <c r="G204" s="193">
        <f t="shared" si="43"/>
        <v>0</v>
      </c>
      <c r="H204" s="193">
        <f t="shared" si="43"/>
        <v>0</v>
      </c>
      <c r="I204" s="193">
        <f t="shared" si="43"/>
        <v>0</v>
      </c>
      <c r="J204" s="193">
        <f t="shared" si="43"/>
        <v>0</v>
      </c>
      <c r="K204" s="193">
        <f t="shared" si="43"/>
        <v>0</v>
      </c>
      <c r="L204" s="193">
        <f t="shared" si="43"/>
        <v>0</v>
      </c>
      <c r="M204" s="193">
        <f t="shared" si="43"/>
        <v>0</v>
      </c>
      <c r="N204" s="193">
        <f t="shared" si="43"/>
        <v>0</v>
      </c>
      <c r="O204" s="193">
        <f t="shared" si="43"/>
        <v>0</v>
      </c>
      <c r="P204" s="194">
        <f t="shared" si="43"/>
        <v>0</v>
      </c>
    </row>
    <row r="205" spans="1:16" x14ac:dyDescent="0.3">
      <c r="A205" s="195"/>
      <c r="B205" s="196"/>
      <c r="C205" s="196" t="s">
        <v>259</v>
      </c>
      <c r="D205" s="197">
        <v>6.8000000000000005E-2</v>
      </c>
      <c r="E205" s="193">
        <f t="shared" si="43"/>
        <v>0</v>
      </c>
      <c r="F205" s="193">
        <f t="shared" si="43"/>
        <v>0</v>
      </c>
      <c r="G205" s="193">
        <f t="shared" si="43"/>
        <v>0</v>
      </c>
      <c r="H205" s="193">
        <f t="shared" si="43"/>
        <v>0</v>
      </c>
      <c r="I205" s="193">
        <f t="shared" si="43"/>
        <v>0</v>
      </c>
      <c r="J205" s="193">
        <f t="shared" si="43"/>
        <v>0</v>
      </c>
      <c r="K205" s="193">
        <f t="shared" si="43"/>
        <v>0</v>
      </c>
      <c r="L205" s="193">
        <f t="shared" si="43"/>
        <v>0</v>
      </c>
      <c r="M205" s="193">
        <f t="shared" si="43"/>
        <v>0</v>
      </c>
      <c r="N205" s="193">
        <f t="shared" si="43"/>
        <v>0</v>
      </c>
      <c r="O205" s="193">
        <f t="shared" si="43"/>
        <v>0</v>
      </c>
      <c r="P205" s="194">
        <f t="shared" si="43"/>
        <v>0</v>
      </c>
    </row>
    <row r="206" spans="1:16" x14ac:dyDescent="0.3">
      <c r="A206" s="195"/>
      <c r="B206" s="196"/>
      <c r="C206" s="196" t="s">
        <v>260</v>
      </c>
      <c r="D206" s="197">
        <v>5.0000000000000001E-3</v>
      </c>
      <c r="E206" s="193">
        <f t="shared" si="43"/>
        <v>0</v>
      </c>
      <c r="F206" s="193">
        <f t="shared" si="43"/>
        <v>0</v>
      </c>
      <c r="G206" s="193">
        <f t="shared" si="43"/>
        <v>0</v>
      </c>
      <c r="H206" s="193">
        <f t="shared" si="43"/>
        <v>0</v>
      </c>
      <c r="I206" s="193">
        <f t="shared" si="43"/>
        <v>0</v>
      </c>
      <c r="J206" s="193">
        <f t="shared" si="43"/>
        <v>0</v>
      </c>
      <c r="K206" s="193">
        <f t="shared" si="43"/>
        <v>0</v>
      </c>
      <c r="L206" s="193">
        <f t="shared" si="43"/>
        <v>0</v>
      </c>
      <c r="M206" s="193">
        <f t="shared" si="43"/>
        <v>0</v>
      </c>
      <c r="N206" s="193">
        <f t="shared" si="43"/>
        <v>0</v>
      </c>
      <c r="O206" s="193">
        <f t="shared" si="43"/>
        <v>0</v>
      </c>
      <c r="P206" s="194">
        <f t="shared" si="43"/>
        <v>0</v>
      </c>
    </row>
    <row r="207" spans="1:16" ht="17.25" thickBot="1" x14ac:dyDescent="0.35">
      <c r="A207" s="195"/>
      <c r="B207" s="213"/>
      <c r="C207" s="213" t="s">
        <v>148</v>
      </c>
      <c r="D207" s="214">
        <v>0.25</v>
      </c>
      <c r="E207" s="193">
        <f t="shared" si="43"/>
        <v>0</v>
      </c>
      <c r="F207" s="193">
        <f t="shared" si="43"/>
        <v>0</v>
      </c>
      <c r="G207" s="193">
        <f t="shared" si="43"/>
        <v>0</v>
      </c>
      <c r="H207" s="193">
        <f t="shared" si="43"/>
        <v>0</v>
      </c>
      <c r="I207" s="193">
        <f t="shared" si="43"/>
        <v>0</v>
      </c>
      <c r="J207" s="193">
        <f t="shared" si="43"/>
        <v>0</v>
      </c>
      <c r="K207" s="193">
        <f t="shared" si="43"/>
        <v>0</v>
      </c>
      <c r="L207" s="193">
        <f t="shared" si="43"/>
        <v>0</v>
      </c>
      <c r="M207" s="193">
        <f t="shared" si="43"/>
        <v>0</v>
      </c>
      <c r="N207" s="193">
        <f t="shared" si="43"/>
        <v>0</v>
      </c>
      <c r="O207" s="193">
        <f t="shared" si="43"/>
        <v>0</v>
      </c>
      <c r="P207" s="194">
        <f t="shared" si="43"/>
        <v>0</v>
      </c>
    </row>
    <row r="208" spans="1:16" ht="17.25" thickBot="1" x14ac:dyDescent="0.35">
      <c r="A208" s="185"/>
      <c r="B208" s="186"/>
      <c r="C208" s="187" t="s">
        <v>445</v>
      </c>
      <c r="D208" s="188">
        <f>SUM(D209:D212)</f>
        <v>1</v>
      </c>
      <c r="E208" s="189">
        <f>+E205</f>
        <v>0</v>
      </c>
      <c r="F208" s="189">
        <f t="shared" ref="F208:P208" si="44">+F205</f>
        <v>0</v>
      </c>
      <c r="G208" s="189">
        <f t="shared" si="44"/>
        <v>0</v>
      </c>
      <c r="H208" s="189">
        <f t="shared" si="44"/>
        <v>0</v>
      </c>
      <c r="I208" s="189">
        <f t="shared" si="44"/>
        <v>0</v>
      </c>
      <c r="J208" s="189">
        <f t="shared" si="44"/>
        <v>0</v>
      </c>
      <c r="K208" s="189">
        <f t="shared" si="44"/>
        <v>0</v>
      </c>
      <c r="L208" s="189">
        <f t="shared" si="44"/>
        <v>0</v>
      </c>
      <c r="M208" s="189">
        <f t="shared" si="44"/>
        <v>0</v>
      </c>
      <c r="N208" s="189">
        <f t="shared" si="44"/>
        <v>0</v>
      </c>
      <c r="O208" s="189">
        <f t="shared" si="44"/>
        <v>0</v>
      </c>
      <c r="P208" s="215">
        <f t="shared" si="44"/>
        <v>0</v>
      </c>
    </row>
    <row r="209" spans="1:16" x14ac:dyDescent="0.3">
      <c r="A209" s="190"/>
      <c r="B209" s="191" t="s">
        <v>387</v>
      </c>
      <c r="C209" s="191" t="s">
        <v>261</v>
      </c>
      <c r="D209" s="192">
        <v>0.73529999999999995</v>
      </c>
      <c r="E209" s="193">
        <f>E$208*$D209</f>
        <v>0</v>
      </c>
      <c r="F209" s="193">
        <f t="shared" ref="F209:P212" si="45">F$208*$D209</f>
        <v>0</v>
      </c>
      <c r="G209" s="193">
        <f t="shared" si="45"/>
        <v>0</v>
      </c>
      <c r="H209" s="193">
        <f t="shared" si="45"/>
        <v>0</v>
      </c>
      <c r="I209" s="193">
        <f t="shared" si="45"/>
        <v>0</v>
      </c>
      <c r="J209" s="193">
        <f t="shared" si="45"/>
        <v>0</v>
      </c>
      <c r="K209" s="193">
        <f t="shared" si="45"/>
        <v>0</v>
      </c>
      <c r="L209" s="193">
        <f t="shared" si="45"/>
        <v>0</v>
      </c>
      <c r="M209" s="193">
        <f t="shared" si="45"/>
        <v>0</v>
      </c>
      <c r="N209" s="193">
        <f t="shared" si="45"/>
        <v>0</v>
      </c>
      <c r="O209" s="193">
        <f t="shared" si="45"/>
        <v>0</v>
      </c>
      <c r="P209" s="194">
        <f t="shared" si="45"/>
        <v>0</v>
      </c>
    </row>
    <row r="210" spans="1:16" x14ac:dyDescent="0.3">
      <c r="A210" s="195"/>
      <c r="B210" s="196" t="s">
        <v>392</v>
      </c>
      <c r="C210" s="196" t="s">
        <v>262</v>
      </c>
      <c r="D210" s="197">
        <v>0.14699999999999999</v>
      </c>
      <c r="E210" s="193">
        <f>E$208*$D210</f>
        <v>0</v>
      </c>
      <c r="F210" s="193">
        <f t="shared" si="45"/>
        <v>0</v>
      </c>
      <c r="G210" s="193">
        <f t="shared" si="45"/>
        <v>0</v>
      </c>
      <c r="H210" s="193">
        <f t="shared" si="45"/>
        <v>0</v>
      </c>
      <c r="I210" s="193">
        <f t="shared" si="45"/>
        <v>0</v>
      </c>
      <c r="J210" s="193">
        <f t="shared" si="45"/>
        <v>0</v>
      </c>
      <c r="K210" s="193">
        <f t="shared" si="45"/>
        <v>0</v>
      </c>
      <c r="L210" s="193">
        <f t="shared" si="45"/>
        <v>0</v>
      </c>
      <c r="M210" s="193">
        <f t="shared" si="45"/>
        <v>0</v>
      </c>
      <c r="N210" s="193">
        <f t="shared" si="45"/>
        <v>0</v>
      </c>
      <c r="O210" s="193">
        <f t="shared" si="45"/>
        <v>0</v>
      </c>
      <c r="P210" s="194">
        <f t="shared" si="45"/>
        <v>0</v>
      </c>
    </row>
    <row r="211" spans="1:16" x14ac:dyDescent="0.3">
      <c r="A211" s="195"/>
      <c r="B211" s="196" t="s">
        <v>393</v>
      </c>
      <c r="C211" s="196" t="s">
        <v>79</v>
      </c>
      <c r="D211" s="197">
        <v>7.3599999999999999E-2</v>
      </c>
      <c r="E211" s="193">
        <f>E$208*$D211</f>
        <v>0</v>
      </c>
      <c r="F211" s="193">
        <f t="shared" si="45"/>
        <v>0</v>
      </c>
      <c r="G211" s="193">
        <f t="shared" si="45"/>
        <v>0</v>
      </c>
      <c r="H211" s="193">
        <f t="shared" si="45"/>
        <v>0</v>
      </c>
      <c r="I211" s="193">
        <f t="shared" si="45"/>
        <v>0</v>
      </c>
      <c r="J211" s="193">
        <f t="shared" si="45"/>
        <v>0</v>
      </c>
      <c r="K211" s="193">
        <f t="shared" si="45"/>
        <v>0</v>
      </c>
      <c r="L211" s="193">
        <f t="shared" si="45"/>
        <v>0</v>
      </c>
      <c r="M211" s="193">
        <f t="shared" si="45"/>
        <v>0</v>
      </c>
      <c r="N211" s="193">
        <f t="shared" si="45"/>
        <v>0</v>
      </c>
      <c r="O211" s="193">
        <f t="shared" si="45"/>
        <v>0</v>
      </c>
      <c r="P211" s="194">
        <f t="shared" si="45"/>
        <v>0</v>
      </c>
    </row>
    <row r="212" spans="1:16" x14ac:dyDescent="0.3">
      <c r="A212" s="195"/>
      <c r="B212" s="196" t="s">
        <v>367</v>
      </c>
      <c r="C212" s="196" t="s">
        <v>76</v>
      </c>
      <c r="D212" s="197">
        <v>4.41E-2</v>
      </c>
      <c r="E212" s="193">
        <f>E$208*$D212</f>
        <v>0</v>
      </c>
      <c r="F212" s="193">
        <f t="shared" si="45"/>
        <v>0</v>
      </c>
      <c r="G212" s="193">
        <f t="shared" si="45"/>
        <v>0</v>
      </c>
      <c r="H212" s="193">
        <f t="shared" si="45"/>
        <v>0</v>
      </c>
      <c r="I212" s="193">
        <f t="shared" si="45"/>
        <v>0</v>
      </c>
      <c r="J212" s="193">
        <f t="shared" si="45"/>
        <v>0</v>
      </c>
      <c r="K212" s="193">
        <f t="shared" si="45"/>
        <v>0</v>
      </c>
      <c r="L212" s="193">
        <f t="shared" si="45"/>
        <v>0</v>
      </c>
      <c r="M212" s="193">
        <f t="shared" si="45"/>
        <v>0</v>
      </c>
      <c r="N212" s="193">
        <f t="shared" si="45"/>
        <v>0</v>
      </c>
      <c r="O212" s="193">
        <f t="shared" si="45"/>
        <v>0</v>
      </c>
      <c r="P212" s="194">
        <f t="shared" si="45"/>
        <v>0</v>
      </c>
    </row>
    <row r="213" spans="1:16" x14ac:dyDescent="0.3">
      <c r="A213" s="195"/>
      <c r="B213" s="196" t="s">
        <v>372</v>
      </c>
      <c r="C213" s="196" t="s">
        <v>263</v>
      </c>
      <c r="D213" s="197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4"/>
    </row>
    <row r="214" spans="1:16" x14ac:dyDescent="0.3">
      <c r="A214" s="195"/>
      <c r="B214" s="196" t="s">
        <v>394</v>
      </c>
      <c r="C214" s="196" t="s">
        <v>264</v>
      </c>
      <c r="D214" s="197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4"/>
    </row>
    <row r="215" spans="1:16" x14ac:dyDescent="0.3">
      <c r="A215" s="216"/>
      <c r="B215" s="83" t="s">
        <v>395</v>
      </c>
      <c r="C215" s="83" t="s">
        <v>265</v>
      </c>
      <c r="D215" s="210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4"/>
    </row>
    <row r="216" spans="1:16" x14ac:dyDescent="0.3">
      <c r="A216" s="216"/>
      <c r="B216" s="83" t="s">
        <v>373</v>
      </c>
      <c r="C216" s="83" t="s">
        <v>221</v>
      </c>
      <c r="D216" s="210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4"/>
    </row>
    <row r="217" spans="1:16" ht="17.25" thickBot="1" x14ac:dyDescent="0.35">
      <c r="A217" s="217"/>
      <c r="B217" s="203" t="s">
        <v>374</v>
      </c>
      <c r="C217" s="203" t="s">
        <v>266</v>
      </c>
      <c r="D217" s="204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2"/>
    </row>
    <row r="218" spans="1:16" ht="17.25" thickBot="1" x14ac:dyDescent="0.35">
      <c r="A218" s="185">
        <v>320471</v>
      </c>
      <c r="B218" s="186"/>
      <c r="C218" s="187" t="s">
        <v>446</v>
      </c>
      <c r="D218" s="188">
        <f>SUM(D219:D238)</f>
        <v>1</v>
      </c>
      <c r="E218" s="189">
        <f>IFERROR(VLOOKUP($A218,완제품!$B:$CP,E$1,FALSE),0)</f>
        <v>0</v>
      </c>
      <c r="F218" s="189">
        <f>IFERROR(VLOOKUP($A218,완제품!$B:$CP,F$1,FALSE),0)</f>
        <v>0</v>
      </c>
      <c r="G218" s="189">
        <f>IFERROR(VLOOKUP($A218,완제품!$B:$CP,G$1,FALSE),0)</f>
        <v>0</v>
      </c>
      <c r="H218" s="189">
        <f>IFERROR(VLOOKUP($A218,완제품!$B:$CP,H$1,FALSE),0)</f>
        <v>0</v>
      </c>
      <c r="I218" s="189">
        <f>IFERROR(VLOOKUP($A218,완제품!$B:$CP,I$1,FALSE),0)</f>
        <v>1500</v>
      </c>
      <c r="J218" s="189">
        <f>IFERROR(VLOOKUP($A218,완제품!$B:$CP,J$1,FALSE),0)</f>
        <v>0</v>
      </c>
      <c r="K218" s="189">
        <f>IFERROR(VLOOKUP($A218,완제품!$B:$CP,K$1,FALSE),0)</f>
        <v>0</v>
      </c>
      <c r="L218" s="189">
        <f>IFERROR(VLOOKUP($A218,완제품!$B:$CP,L$1,FALSE),0)</f>
        <v>0</v>
      </c>
      <c r="M218" s="189">
        <f>IFERROR(VLOOKUP($A218,완제품!$B:$CP,M$1,FALSE),0)</f>
        <v>0</v>
      </c>
      <c r="N218" s="189">
        <f>IFERROR(VLOOKUP($A218,완제품!$B:$CP,N$1,FALSE),0)</f>
        <v>0</v>
      </c>
      <c r="O218" s="189">
        <f>IFERROR(VLOOKUP($A218,완제품!$B:$CP,O$1,FALSE),0)</f>
        <v>0</v>
      </c>
      <c r="P218" s="189">
        <f>IFERROR(VLOOKUP($A218,완제품!$B:$CP,P$1,FALSE),0)</f>
        <v>0</v>
      </c>
    </row>
    <row r="219" spans="1:16" x14ac:dyDescent="0.3">
      <c r="A219" s="190"/>
      <c r="B219" s="191" t="s">
        <v>325</v>
      </c>
      <c r="C219" s="191" t="s">
        <v>171</v>
      </c>
      <c r="D219" s="192">
        <v>8.4000000000000005E-2</v>
      </c>
      <c r="E219" s="193">
        <f t="shared" ref="E219:E235" si="46">E$218*$D219</f>
        <v>0</v>
      </c>
      <c r="F219" s="193">
        <f t="shared" ref="F219:P234" si="47">F$218*$D219</f>
        <v>0</v>
      </c>
      <c r="G219" s="193">
        <f t="shared" si="47"/>
        <v>0</v>
      </c>
      <c r="H219" s="193">
        <f t="shared" si="47"/>
        <v>0</v>
      </c>
      <c r="I219" s="193">
        <f t="shared" si="47"/>
        <v>126.00000000000001</v>
      </c>
      <c r="J219" s="193">
        <f t="shared" si="47"/>
        <v>0</v>
      </c>
      <c r="K219" s="193">
        <f t="shared" si="47"/>
        <v>0</v>
      </c>
      <c r="L219" s="193">
        <f t="shared" si="47"/>
        <v>0</v>
      </c>
      <c r="M219" s="193">
        <f t="shared" si="47"/>
        <v>0</v>
      </c>
      <c r="N219" s="193">
        <f t="shared" si="47"/>
        <v>0</v>
      </c>
      <c r="O219" s="193">
        <f t="shared" si="47"/>
        <v>0</v>
      </c>
      <c r="P219" s="194">
        <f t="shared" si="47"/>
        <v>0</v>
      </c>
    </row>
    <row r="220" spans="1:16" x14ac:dyDescent="0.3">
      <c r="A220" s="195"/>
      <c r="B220" s="196" t="s">
        <v>342</v>
      </c>
      <c r="C220" s="196" t="s">
        <v>267</v>
      </c>
      <c r="D220" s="197">
        <v>7.0000000000000007E-2</v>
      </c>
      <c r="E220" s="193">
        <f t="shared" si="46"/>
        <v>0</v>
      </c>
      <c r="F220" s="193">
        <f t="shared" si="47"/>
        <v>0</v>
      </c>
      <c r="G220" s="193">
        <f t="shared" si="47"/>
        <v>0</v>
      </c>
      <c r="H220" s="193">
        <f t="shared" si="47"/>
        <v>0</v>
      </c>
      <c r="I220" s="193">
        <f t="shared" si="47"/>
        <v>105.00000000000001</v>
      </c>
      <c r="J220" s="193">
        <f t="shared" si="47"/>
        <v>0</v>
      </c>
      <c r="K220" s="193">
        <f t="shared" si="47"/>
        <v>0</v>
      </c>
      <c r="L220" s="193">
        <f t="shared" si="47"/>
        <v>0</v>
      </c>
      <c r="M220" s="193">
        <f t="shared" si="47"/>
        <v>0</v>
      </c>
      <c r="N220" s="193">
        <f t="shared" si="47"/>
        <v>0</v>
      </c>
      <c r="O220" s="193">
        <f t="shared" si="47"/>
        <v>0</v>
      </c>
      <c r="P220" s="194">
        <f t="shared" si="47"/>
        <v>0</v>
      </c>
    </row>
    <row r="221" spans="1:16" x14ac:dyDescent="0.3">
      <c r="A221" s="195"/>
      <c r="B221" s="196" t="s">
        <v>326</v>
      </c>
      <c r="C221" s="196" t="s">
        <v>173</v>
      </c>
      <c r="D221" s="197">
        <v>0.09</v>
      </c>
      <c r="E221" s="193">
        <f t="shared" si="46"/>
        <v>0</v>
      </c>
      <c r="F221" s="193">
        <f t="shared" si="47"/>
        <v>0</v>
      </c>
      <c r="G221" s="193">
        <f t="shared" si="47"/>
        <v>0</v>
      </c>
      <c r="H221" s="193">
        <f t="shared" si="47"/>
        <v>0</v>
      </c>
      <c r="I221" s="193">
        <f t="shared" si="47"/>
        <v>135</v>
      </c>
      <c r="J221" s="193">
        <f t="shared" si="47"/>
        <v>0</v>
      </c>
      <c r="K221" s="193">
        <f t="shared" si="47"/>
        <v>0</v>
      </c>
      <c r="L221" s="193">
        <f t="shared" si="47"/>
        <v>0</v>
      </c>
      <c r="M221" s="193">
        <f t="shared" si="47"/>
        <v>0</v>
      </c>
      <c r="N221" s="193">
        <f t="shared" si="47"/>
        <v>0</v>
      </c>
      <c r="O221" s="193">
        <f t="shared" si="47"/>
        <v>0</v>
      </c>
      <c r="P221" s="194">
        <f t="shared" si="47"/>
        <v>0</v>
      </c>
    </row>
    <row r="222" spans="1:16" x14ac:dyDescent="0.3">
      <c r="A222" s="195"/>
      <c r="B222" s="196" t="s">
        <v>325</v>
      </c>
      <c r="C222" s="196" t="s">
        <v>171</v>
      </c>
      <c r="D222" s="197">
        <v>0.3957</v>
      </c>
      <c r="E222" s="193">
        <f t="shared" si="46"/>
        <v>0</v>
      </c>
      <c r="F222" s="193">
        <f t="shared" si="47"/>
        <v>0</v>
      </c>
      <c r="G222" s="193">
        <f t="shared" si="47"/>
        <v>0</v>
      </c>
      <c r="H222" s="193">
        <f t="shared" si="47"/>
        <v>0</v>
      </c>
      <c r="I222" s="193">
        <f t="shared" si="47"/>
        <v>593.54999999999995</v>
      </c>
      <c r="J222" s="193">
        <f t="shared" si="47"/>
        <v>0</v>
      </c>
      <c r="K222" s="193">
        <f t="shared" si="47"/>
        <v>0</v>
      </c>
      <c r="L222" s="193">
        <f t="shared" si="47"/>
        <v>0</v>
      </c>
      <c r="M222" s="193">
        <f t="shared" si="47"/>
        <v>0</v>
      </c>
      <c r="N222" s="193">
        <f t="shared" si="47"/>
        <v>0</v>
      </c>
      <c r="O222" s="193">
        <f t="shared" si="47"/>
        <v>0</v>
      </c>
      <c r="P222" s="194">
        <f t="shared" si="47"/>
        <v>0</v>
      </c>
    </row>
    <row r="223" spans="1:16" x14ac:dyDescent="0.3">
      <c r="A223" s="195"/>
      <c r="B223" s="196" t="s">
        <v>385</v>
      </c>
      <c r="C223" s="196" t="s">
        <v>268</v>
      </c>
      <c r="D223" s="197">
        <v>0.22</v>
      </c>
      <c r="E223" s="193">
        <f t="shared" si="46"/>
        <v>0</v>
      </c>
      <c r="F223" s="193">
        <f t="shared" si="47"/>
        <v>0</v>
      </c>
      <c r="G223" s="193">
        <f t="shared" si="47"/>
        <v>0</v>
      </c>
      <c r="H223" s="193">
        <f t="shared" si="47"/>
        <v>0</v>
      </c>
      <c r="I223" s="193">
        <f t="shared" si="47"/>
        <v>330</v>
      </c>
      <c r="J223" s="193">
        <f t="shared" si="47"/>
        <v>0</v>
      </c>
      <c r="K223" s="193">
        <f t="shared" si="47"/>
        <v>0</v>
      </c>
      <c r="L223" s="193">
        <f t="shared" si="47"/>
        <v>0</v>
      </c>
      <c r="M223" s="193">
        <f t="shared" si="47"/>
        <v>0</v>
      </c>
      <c r="N223" s="193">
        <f t="shared" si="47"/>
        <v>0</v>
      </c>
      <c r="O223" s="193">
        <f t="shared" si="47"/>
        <v>0</v>
      </c>
      <c r="P223" s="194">
        <f t="shared" si="47"/>
        <v>0</v>
      </c>
    </row>
    <row r="224" spans="1:16" x14ac:dyDescent="0.3">
      <c r="A224" s="195"/>
      <c r="B224" s="196" t="s">
        <v>360</v>
      </c>
      <c r="C224" s="196" t="s">
        <v>899</v>
      </c>
      <c r="D224" s="197">
        <v>4.4999999999999997E-3</v>
      </c>
      <c r="E224" s="193">
        <f t="shared" si="46"/>
        <v>0</v>
      </c>
      <c r="F224" s="193">
        <f t="shared" si="47"/>
        <v>0</v>
      </c>
      <c r="G224" s="193">
        <f t="shared" si="47"/>
        <v>0</v>
      </c>
      <c r="H224" s="193">
        <f t="shared" si="47"/>
        <v>0</v>
      </c>
      <c r="I224" s="193">
        <f t="shared" si="47"/>
        <v>6.7499999999999991</v>
      </c>
      <c r="J224" s="193">
        <f t="shared" si="47"/>
        <v>0</v>
      </c>
      <c r="K224" s="193">
        <f t="shared" si="47"/>
        <v>0</v>
      </c>
      <c r="L224" s="193">
        <f t="shared" si="47"/>
        <v>0</v>
      </c>
      <c r="M224" s="193">
        <f t="shared" si="47"/>
        <v>0</v>
      </c>
      <c r="N224" s="193">
        <f t="shared" si="47"/>
        <v>0</v>
      </c>
      <c r="O224" s="193">
        <f t="shared" si="47"/>
        <v>0</v>
      </c>
      <c r="P224" s="194">
        <f t="shared" si="47"/>
        <v>0</v>
      </c>
    </row>
    <row r="225" spans="1:16" x14ac:dyDescent="0.3">
      <c r="A225" s="195"/>
      <c r="B225" s="196" t="s">
        <v>329</v>
      </c>
      <c r="C225" s="196" t="s">
        <v>154</v>
      </c>
      <c r="D225" s="197">
        <v>1.9E-2</v>
      </c>
      <c r="E225" s="193">
        <f t="shared" si="46"/>
        <v>0</v>
      </c>
      <c r="F225" s="193">
        <f t="shared" si="47"/>
        <v>0</v>
      </c>
      <c r="G225" s="193">
        <f t="shared" si="47"/>
        <v>0</v>
      </c>
      <c r="H225" s="193">
        <f t="shared" si="47"/>
        <v>0</v>
      </c>
      <c r="I225" s="193">
        <f t="shared" si="47"/>
        <v>28.5</v>
      </c>
      <c r="J225" s="193">
        <f t="shared" si="47"/>
        <v>0</v>
      </c>
      <c r="K225" s="193">
        <f t="shared" si="47"/>
        <v>0</v>
      </c>
      <c r="L225" s="193">
        <f t="shared" si="47"/>
        <v>0</v>
      </c>
      <c r="M225" s="193">
        <f t="shared" si="47"/>
        <v>0</v>
      </c>
      <c r="N225" s="193">
        <f t="shared" si="47"/>
        <v>0</v>
      </c>
      <c r="O225" s="193">
        <f t="shared" si="47"/>
        <v>0</v>
      </c>
      <c r="P225" s="194">
        <f t="shared" si="47"/>
        <v>0</v>
      </c>
    </row>
    <row r="226" spans="1:16" x14ac:dyDescent="0.3">
      <c r="A226" s="195"/>
      <c r="B226" s="196" t="s">
        <v>396</v>
      </c>
      <c r="C226" s="196" t="s">
        <v>153</v>
      </c>
      <c r="D226" s="197">
        <v>1.4E-2</v>
      </c>
      <c r="E226" s="193">
        <f t="shared" si="46"/>
        <v>0</v>
      </c>
      <c r="F226" s="193">
        <f t="shared" si="47"/>
        <v>0</v>
      </c>
      <c r="G226" s="193">
        <f t="shared" si="47"/>
        <v>0</v>
      </c>
      <c r="H226" s="193">
        <f t="shared" si="47"/>
        <v>0</v>
      </c>
      <c r="I226" s="193">
        <f t="shared" si="47"/>
        <v>21</v>
      </c>
      <c r="J226" s="193">
        <f t="shared" si="47"/>
        <v>0</v>
      </c>
      <c r="K226" s="193">
        <f t="shared" si="47"/>
        <v>0</v>
      </c>
      <c r="L226" s="193">
        <f t="shared" si="47"/>
        <v>0</v>
      </c>
      <c r="M226" s="193">
        <f t="shared" si="47"/>
        <v>0</v>
      </c>
      <c r="N226" s="193">
        <f t="shared" si="47"/>
        <v>0</v>
      </c>
      <c r="O226" s="193">
        <f t="shared" si="47"/>
        <v>0</v>
      </c>
      <c r="P226" s="194">
        <f t="shared" si="47"/>
        <v>0</v>
      </c>
    </row>
    <row r="227" spans="1:16" x14ac:dyDescent="0.3">
      <c r="A227" s="195"/>
      <c r="B227" s="196" t="s">
        <v>331</v>
      </c>
      <c r="C227" s="196" t="s">
        <v>176</v>
      </c>
      <c r="D227" s="197">
        <v>1.4E-2</v>
      </c>
      <c r="E227" s="193">
        <f t="shared" si="46"/>
        <v>0</v>
      </c>
      <c r="F227" s="193">
        <f t="shared" si="47"/>
        <v>0</v>
      </c>
      <c r="G227" s="193">
        <f t="shared" si="47"/>
        <v>0</v>
      </c>
      <c r="H227" s="193">
        <f t="shared" si="47"/>
        <v>0</v>
      </c>
      <c r="I227" s="193">
        <f t="shared" si="47"/>
        <v>21</v>
      </c>
      <c r="J227" s="193">
        <f t="shared" si="47"/>
        <v>0</v>
      </c>
      <c r="K227" s="193">
        <f t="shared" si="47"/>
        <v>0</v>
      </c>
      <c r="L227" s="193">
        <f t="shared" si="47"/>
        <v>0</v>
      </c>
      <c r="M227" s="193">
        <f t="shared" si="47"/>
        <v>0</v>
      </c>
      <c r="N227" s="193">
        <f t="shared" si="47"/>
        <v>0</v>
      </c>
      <c r="O227" s="193">
        <f t="shared" si="47"/>
        <v>0</v>
      </c>
      <c r="P227" s="194">
        <f t="shared" si="47"/>
        <v>0</v>
      </c>
    </row>
    <row r="228" spans="1:16" x14ac:dyDescent="0.3">
      <c r="A228" s="195"/>
      <c r="B228" s="196" t="s">
        <v>333</v>
      </c>
      <c r="C228" s="196" t="s">
        <v>158</v>
      </c>
      <c r="D228" s="197">
        <v>1.38E-2</v>
      </c>
      <c r="E228" s="193">
        <f t="shared" si="46"/>
        <v>0</v>
      </c>
      <c r="F228" s="193">
        <f t="shared" si="47"/>
        <v>0</v>
      </c>
      <c r="G228" s="193">
        <f t="shared" si="47"/>
        <v>0</v>
      </c>
      <c r="H228" s="193">
        <f t="shared" si="47"/>
        <v>0</v>
      </c>
      <c r="I228" s="193">
        <f t="shared" si="47"/>
        <v>20.7</v>
      </c>
      <c r="J228" s="193">
        <f t="shared" si="47"/>
        <v>0</v>
      </c>
      <c r="K228" s="193">
        <f t="shared" si="47"/>
        <v>0</v>
      </c>
      <c r="L228" s="193">
        <f t="shared" si="47"/>
        <v>0</v>
      </c>
      <c r="M228" s="193">
        <f t="shared" si="47"/>
        <v>0</v>
      </c>
      <c r="N228" s="193">
        <f t="shared" si="47"/>
        <v>0</v>
      </c>
      <c r="O228" s="193">
        <f t="shared" si="47"/>
        <v>0</v>
      </c>
      <c r="P228" s="194">
        <f t="shared" si="47"/>
        <v>0</v>
      </c>
    </row>
    <row r="229" spans="1:16" x14ac:dyDescent="0.3">
      <c r="A229" s="195"/>
      <c r="B229" s="206" t="s">
        <v>356</v>
      </c>
      <c r="C229" s="206" t="s">
        <v>269</v>
      </c>
      <c r="D229" s="212">
        <v>1.2999999999999999E-2</v>
      </c>
      <c r="E229" s="193">
        <f t="shared" si="46"/>
        <v>0</v>
      </c>
      <c r="F229" s="193">
        <f t="shared" si="47"/>
        <v>0</v>
      </c>
      <c r="G229" s="193">
        <f t="shared" si="47"/>
        <v>0</v>
      </c>
      <c r="H229" s="193">
        <f t="shared" si="47"/>
        <v>0</v>
      </c>
      <c r="I229" s="193">
        <f t="shared" si="47"/>
        <v>19.5</v>
      </c>
      <c r="J229" s="193">
        <f t="shared" si="47"/>
        <v>0</v>
      </c>
      <c r="K229" s="193">
        <f t="shared" si="47"/>
        <v>0</v>
      </c>
      <c r="L229" s="193">
        <f t="shared" si="47"/>
        <v>0</v>
      </c>
      <c r="M229" s="193">
        <f t="shared" si="47"/>
        <v>0</v>
      </c>
      <c r="N229" s="193">
        <f t="shared" si="47"/>
        <v>0</v>
      </c>
      <c r="O229" s="193">
        <f t="shared" si="47"/>
        <v>0</v>
      </c>
      <c r="P229" s="194">
        <f t="shared" si="47"/>
        <v>0</v>
      </c>
    </row>
    <row r="230" spans="1:16" x14ac:dyDescent="0.3">
      <c r="A230" s="195"/>
      <c r="B230" s="206" t="s">
        <v>358</v>
      </c>
      <c r="C230" s="206" t="s">
        <v>212</v>
      </c>
      <c r="D230" s="212">
        <v>1.0999999999999999E-2</v>
      </c>
      <c r="E230" s="193">
        <f t="shared" si="46"/>
        <v>0</v>
      </c>
      <c r="F230" s="193">
        <f t="shared" si="47"/>
        <v>0</v>
      </c>
      <c r="G230" s="193">
        <f t="shared" si="47"/>
        <v>0</v>
      </c>
      <c r="H230" s="193">
        <f t="shared" si="47"/>
        <v>0</v>
      </c>
      <c r="I230" s="193">
        <f t="shared" si="47"/>
        <v>16.5</v>
      </c>
      <c r="J230" s="193">
        <f t="shared" si="47"/>
        <v>0</v>
      </c>
      <c r="K230" s="193">
        <f t="shared" si="47"/>
        <v>0</v>
      </c>
      <c r="L230" s="193">
        <f t="shared" si="47"/>
        <v>0</v>
      </c>
      <c r="M230" s="193">
        <f t="shared" si="47"/>
        <v>0</v>
      </c>
      <c r="N230" s="193">
        <f t="shared" si="47"/>
        <v>0</v>
      </c>
      <c r="O230" s="193">
        <f t="shared" si="47"/>
        <v>0</v>
      </c>
      <c r="P230" s="194">
        <f t="shared" si="47"/>
        <v>0</v>
      </c>
    </row>
    <row r="231" spans="1:16" x14ac:dyDescent="0.3">
      <c r="A231" s="195"/>
      <c r="B231" s="206" t="s">
        <v>357</v>
      </c>
      <c r="C231" s="206" t="s">
        <v>270</v>
      </c>
      <c r="D231" s="212">
        <v>1.0999999999999999E-2</v>
      </c>
      <c r="E231" s="193">
        <f t="shared" si="46"/>
        <v>0</v>
      </c>
      <c r="F231" s="193">
        <f t="shared" si="47"/>
        <v>0</v>
      </c>
      <c r="G231" s="193">
        <f t="shared" si="47"/>
        <v>0</v>
      </c>
      <c r="H231" s="193">
        <f t="shared" si="47"/>
        <v>0</v>
      </c>
      <c r="I231" s="193">
        <f t="shared" si="47"/>
        <v>16.5</v>
      </c>
      <c r="J231" s="193">
        <f t="shared" si="47"/>
        <v>0</v>
      </c>
      <c r="K231" s="193">
        <f t="shared" si="47"/>
        <v>0</v>
      </c>
      <c r="L231" s="193">
        <f t="shared" si="47"/>
        <v>0</v>
      </c>
      <c r="M231" s="193">
        <f t="shared" si="47"/>
        <v>0</v>
      </c>
      <c r="N231" s="193">
        <f t="shared" si="47"/>
        <v>0</v>
      </c>
      <c r="O231" s="193">
        <f t="shared" si="47"/>
        <v>0</v>
      </c>
      <c r="P231" s="194">
        <f t="shared" si="47"/>
        <v>0</v>
      </c>
    </row>
    <row r="232" spans="1:16" x14ac:dyDescent="0.3">
      <c r="A232" s="195"/>
      <c r="B232" s="206" t="s">
        <v>381</v>
      </c>
      <c r="C232" s="206" t="s">
        <v>249</v>
      </c>
      <c r="D232" s="212">
        <v>0.01</v>
      </c>
      <c r="E232" s="193">
        <f t="shared" si="46"/>
        <v>0</v>
      </c>
      <c r="F232" s="193">
        <f t="shared" si="47"/>
        <v>0</v>
      </c>
      <c r="G232" s="193">
        <f t="shared" si="47"/>
        <v>0</v>
      </c>
      <c r="H232" s="193">
        <f t="shared" si="47"/>
        <v>0</v>
      </c>
      <c r="I232" s="193">
        <f t="shared" si="47"/>
        <v>15</v>
      </c>
      <c r="J232" s="193">
        <f t="shared" si="47"/>
        <v>0</v>
      </c>
      <c r="K232" s="193">
        <f t="shared" si="47"/>
        <v>0</v>
      </c>
      <c r="L232" s="193">
        <f t="shared" si="47"/>
        <v>0</v>
      </c>
      <c r="M232" s="193">
        <f t="shared" si="47"/>
        <v>0</v>
      </c>
      <c r="N232" s="193">
        <f t="shared" si="47"/>
        <v>0</v>
      </c>
      <c r="O232" s="193">
        <f t="shared" si="47"/>
        <v>0</v>
      </c>
      <c r="P232" s="194">
        <f t="shared" si="47"/>
        <v>0</v>
      </c>
    </row>
    <row r="233" spans="1:16" x14ac:dyDescent="0.3">
      <c r="A233" s="195"/>
      <c r="B233" s="206" t="s">
        <v>332</v>
      </c>
      <c r="C233" s="206" t="s">
        <v>157</v>
      </c>
      <c r="D233" s="212">
        <v>9.1999999999999998E-3</v>
      </c>
      <c r="E233" s="193">
        <f t="shared" si="46"/>
        <v>0</v>
      </c>
      <c r="F233" s="193">
        <f t="shared" si="47"/>
        <v>0</v>
      </c>
      <c r="G233" s="193">
        <f t="shared" si="47"/>
        <v>0</v>
      </c>
      <c r="H233" s="193">
        <f t="shared" si="47"/>
        <v>0</v>
      </c>
      <c r="I233" s="193">
        <f t="shared" si="47"/>
        <v>13.799999999999999</v>
      </c>
      <c r="J233" s="193">
        <f t="shared" si="47"/>
        <v>0</v>
      </c>
      <c r="K233" s="193">
        <f t="shared" si="47"/>
        <v>0</v>
      </c>
      <c r="L233" s="193">
        <f t="shared" si="47"/>
        <v>0</v>
      </c>
      <c r="M233" s="193">
        <f t="shared" si="47"/>
        <v>0</v>
      </c>
      <c r="N233" s="193">
        <f t="shared" si="47"/>
        <v>0</v>
      </c>
      <c r="O233" s="193">
        <f t="shared" si="47"/>
        <v>0</v>
      </c>
      <c r="P233" s="194">
        <f t="shared" si="47"/>
        <v>0</v>
      </c>
    </row>
    <row r="234" spans="1:16" x14ac:dyDescent="0.3">
      <c r="A234" s="195"/>
      <c r="B234" s="83" t="s">
        <v>335</v>
      </c>
      <c r="C234" s="83" t="s">
        <v>161</v>
      </c>
      <c r="D234" s="210">
        <v>8.0000000000000002E-3</v>
      </c>
      <c r="E234" s="193">
        <f t="shared" si="46"/>
        <v>0</v>
      </c>
      <c r="F234" s="193">
        <f t="shared" si="47"/>
        <v>0</v>
      </c>
      <c r="G234" s="193">
        <f t="shared" si="47"/>
        <v>0</v>
      </c>
      <c r="H234" s="193">
        <f t="shared" si="47"/>
        <v>0</v>
      </c>
      <c r="I234" s="193">
        <f t="shared" si="47"/>
        <v>12</v>
      </c>
      <c r="J234" s="193">
        <f t="shared" si="47"/>
        <v>0</v>
      </c>
      <c r="K234" s="193">
        <f t="shared" si="47"/>
        <v>0</v>
      </c>
      <c r="L234" s="193">
        <f t="shared" si="47"/>
        <v>0</v>
      </c>
      <c r="M234" s="193">
        <f t="shared" si="47"/>
        <v>0</v>
      </c>
      <c r="N234" s="193">
        <f t="shared" si="47"/>
        <v>0</v>
      </c>
      <c r="O234" s="193">
        <f t="shared" si="47"/>
        <v>0</v>
      </c>
      <c r="P234" s="194">
        <f t="shared" si="47"/>
        <v>0</v>
      </c>
    </row>
    <row r="235" spans="1:16" x14ac:dyDescent="0.3">
      <c r="A235" s="195"/>
      <c r="B235" s="83" t="s">
        <v>379</v>
      </c>
      <c r="C235" s="83" t="s">
        <v>271</v>
      </c>
      <c r="D235" s="210">
        <v>4.0000000000000001E-3</v>
      </c>
      <c r="E235" s="193">
        <f t="shared" si="46"/>
        <v>0</v>
      </c>
      <c r="F235" s="193">
        <f t="shared" ref="F235:P235" si="48">F$218*$D235</f>
        <v>0</v>
      </c>
      <c r="G235" s="193">
        <f t="shared" si="48"/>
        <v>0</v>
      </c>
      <c r="H235" s="193">
        <f t="shared" si="48"/>
        <v>0</v>
      </c>
      <c r="I235" s="193">
        <f t="shared" si="48"/>
        <v>6</v>
      </c>
      <c r="J235" s="193">
        <f t="shared" si="48"/>
        <v>0</v>
      </c>
      <c r="K235" s="193">
        <f t="shared" si="48"/>
        <v>0</v>
      </c>
      <c r="L235" s="193">
        <f t="shared" si="48"/>
        <v>0</v>
      </c>
      <c r="M235" s="193">
        <f t="shared" si="48"/>
        <v>0</v>
      </c>
      <c r="N235" s="193">
        <f t="shared" si="48"/>
        <v>0</v>
      </c>
      <c r="O235" s="193">
        <f t="shared" si="48"/>
        <v>0</v>
      </c>
      <c r="P235" s="194">
        <f t="shared" si="48"/>
        <v>0</v>
      </c>
    </row>
    <row r="236" spans="1:16" x14ac:dyDescent="0.3">
      <c r="A236" s="195"/>
      <c r="B236" s="83" t="s">
        <v>389</v>
      </c>
      <c r="C236" s="83" t="s">
        <v>272</v>
      </c>
      <c r="D236" s="210">
        <v>4.0000000000000001E-3</v>
      </c>
      <c r="E236" s="193">
        <f t="shared" ref="E236:P238" si="49">E$218*$D236</f>
        <v>0</v>
      </c>
      <c r="F236" s="193">
        <f t="shared" si="49"/>
        <v>0</v>
      </c>
      <c r="G236" s="193">
        <f t="shared" si="49"/>
        <v>0</v>
      </c>
      <c r="H236" s="193">
        <f t="shared" si="49"/>
        <v>0</v>
      </c>
      <c r="I236" s="193">
        <f t="shared" si="49"/>
        <v>6</v>
      </c>
      <c r="J236" s="193">
        <f t="shared" si="49"/>
        <v>0</v>
      </c>
      <c r="K236" s="193">
        <f t="shared" si="49"/>
        <v>0</v>
      </c>
      <c r="L236" s="193">
        <f t="shared" si="49"/>
        <v>0</v>
      </c>
      <c r="M236" s="193">
        <f t="shared" si="49"/>
        <v>0</v>
      </c>
      <c r="N236" s="193">
        <f t="shared" si="49"/>
        <v>0</v>
      </c>
      <c r="O236" s="193">
        <f t="shared" si="49"/>
        <v>0</v>
      </c>
      <c r="P236" s="194">
        <f t="shared" si="49"/>
        <v>0</v>
      </c>
    </row>
    <row r="237" spans="1:16" x14ac:dyDescent="0.3">
      <c r="A237" s="195"/>
      <c r="B237" s="83" t="s">
        <v>355</v>
      </c>
      <c r="C237" s="83" t="s">
        <v>273</v>
      </c>
      <c r="D237" s="210">
        <v>3.0000000000000001E-3</v>
      </c>
      <c r="E237" s="193">
        <f t="shared" si="49"/>
        <v>0</v>
      </c>
      <c r="F237" s="193">
        <f t="shared" si="49"/>
        <v>0</v>
      </c>
      <c r="G237" s="193">
        <f t="shared" si="49"/>
        <v>0</v>
      </c>
      <c r="H237" s="193">
        <f t="shared" si="49"/>
        <v>0</v>
      </c>
      <c r="I237" s="193">
        <f t="shared" si="49"/>
        <v>4.5</v>
      </c>
      <c r="J237" s="193">
        <f t="shared" si="49"/>
        <v>0</v>
      </c>
      <c r="K237" s="193">
        <f t="shared" si="49"/>
        <v>0</v>
      </c>
      <c r="L237" s="193">
        <f t="shared" si="49"/>
        <v>0</v>
      </c>
      <c r="M237" s="193">
        <f t="shared" si="49"/>
        <v>0</v>
      </c>
      <c r="N237" s="193">
        <f t="shared" si="49"/>
        <v>0</v>
      </c>
      <c r="O237" s="193">
        <f t="shared" si="49"/>
        <v>0</v>
      </c>
      <c r="P237" s="194">
        <f t="shared" si="49"/>
        <v>0</v>
      </c>
    </row>
    <row r="238" spans="1:16" x14ac:dyDescent="0.3">
      <c r="A238" s="195"/>
      <c r="B238" s="83" t="s">
        <v>369</v>
      </c>
      <c r="C238" s="83" t="s">
        <v>77</v>
      </c>
      <c r="D238" s="210">
        <v>1.8E-3</v>
      </c>
      <c r="E238" s="193">
        <f t="shared" si="49"/>
        <v>0</v>
      </c>
      <c r="F238" s="193">
        <f t="shared" si="49"/>
        <v>0</v>
      </c>
      <c r="G238" s="193">
        <f t="shared" si="49"/>
        <v>0</v>
      </c>
      <c r="H238" s="193">
        <f t="shared" si="49"/>
        <v>0</v>
      </c>
      <c r="I238" s="193">
        <f t="shared" si="49"/>
        <v>2.6999999999999997</v>
      </c>
      <c r="J238" s="193">
        <f t="shared" si="49"/>
        <v>0</v>
      </c>
      <c r="K238" s="193">
        <f t="shared" si="49"/>
        <v>0</v>
      </c>
      <c r="L238" s="193">
        <f t="shared" si="49"/>
        <v>0</v>
      </c>
      <c r="M238" s="193">
        <f t="shared" si="49"/>
        <v>0</v>
      </c>
      <c r="N238" s="193">
        <f t="shared" si="49"/>
        <v>0</v>
      </c>
      <c r="O238" s="193">
        <f t="shared" si="49"/>
        <v>0</v>
      </c>
      <c r="P238" s="194">
        <f t="shared" si="49"/>
        <v>0</v>
      </c>
    </row>
    <row r="239" spans="1:16" x14ac:dyDescent="0.3">
      <c r="A239" s="195"/>
      <c r="B239" s="83" t="s">
        <v>362</v>
      </c>
      <c r="C239" s="83" t="s">
        <v>274</v>
      </c>
      <c r="D239" s="210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4"/>
    </row>
    <row r="240" spans="1:16" x14ac:dyDescent="0.3">
      <c r="A240" s="195"/>
      <c r="B240" s="83" t="s">
        <v>363</v>
      </c>
      <c r="C240" s="83" t="s">
        <v>275</v>
      </c>
      <c r="D240" s="210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4"/>
    </row>
    <row r="241" spans="1:16" ht="17.25" thickBot="1" x14ac:dyDescent="0.35">
      <c r="A241" s="198"/>
      <c r="B241" s="203" t="s">
        <v>397</v>
      </c>
      <c r="C241" s="203" t="s">
        <v>276</v>
      </c>
      <c r="D241" s="204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2"/>
    </row>
    <row r="242" spans="1:16" ht="17.25" thickBot="1" x14ac:dyDescent="0.35">
      <c r="A242" s="185">
        <v>325643</v>
      </c>
      <c r="B242" s="186"/>
      <c r="C242" s="187" t="s">
        <v>447</v>
      </c>
      <c r="D242" s="188">
        <f>SUM(D243:D248)</f>
        <v>1.0000000000000002</v>
      </c>
      <c r="E242" s="189">
        <f>IFERROR(VLOOKUP($A242,완제품!$B:$CP,E$1,FALSE),0)</f>
        <v>0</v>
      </c>
      <c r="F242" s="189">
        <f>IFERROR(VLOOKUP($A242,완제품!$B:$CP,F$1,FALSE),0)</f>
        <v>0</v>
      </c>
      <c r="G242" s="189">
        <f>IFERROR(VLOOKUP($A242,완제품!$B:$CP,G$1,FALSE),0)</f>
        <v>0</v>
      </c>
      <c r="H242" s="189">
        <f>IFERROR(VLOOKUP($A242,완제품!$B:$CP,H$1,FALSE),0)</f>
        <v>0</v>
      </c>
      <c r="I242" s="189">
        <f>IFERROR(VLOOKUP($A242,완제품!$B:$CP,I$1,FALSE),0)</f>
        <v>0</v>
      </c>
      <c r="J242" s="189">
        <f>IFERROR(VLOOKUP($A242,완제품!$B:$CP,J$1,FALSE),0)</f>
        <v>0</v>
      </c>
      <c r="K242" s="189">
        <f>IFERROR(VLOOKUP($A242,완제품!$B:$CP,K$1,FALSE),0)</f>
        <v>0</v>
      </c>
      <c r="L242" s="189">
        <f>IFERROR(VLOOKUP($A242,완제품!$B:$CP,L$1,FALSE),0)</f>
        <v>0</v>
      </c>
      <c r="M242" s="189">
        <f>IFERROR(VLOOKUP($A242,완제품!$B:$CP,M$1,FALSE),0)</f>
        <v>0</v>
      </c>
      <c r="N242" s="189">
        <f>IFERROR(VLOOKUP($A242,완제품!$B:$CP,N$1,FALSE),0)</f>
        <v>0</v>
      </c>
      <c r="O242" s="189">
        <f>IFERROR(VLOOKUP($A242,완제품!$B:$CP,O$1,FALSE),0)</f>
        <v>0</v>
      </c>
      <c r="P242" s="189">
        <f>IFERROR(VLOOKUP($A242,완제품!$B:$CP,P$1,FALSE),0)</f>
        <v>0</v>
      </c>
    </row>
    <row r="243" spans="1:16" x14ac:dyDescent="0.3">
      <c r="A243" s="190"/>
      <c r="B243" s="191" t="s">
        <v>325</v>
      </c>
      <c r="C243" s="191" t="s">
        <v>171</v>
      </c>
      <c r="D243" s="192">
        <v>0.23</v>
      </c>
      <c r="E243" s="193">
        <f t="shared" ref="E243:E248" si="50">E$242*$D243</f>
        <v>0</v>
      </c>
      <c r="F243" s="193">
        <f t="shared" ref="F243:P248" si="51">F$242*$D243</f>
        <v>0</v>
      </c>
      <c r="G243" s="193">
        <f t="shared" si="51"/>
        <v>0</v>
      </c>
      <c r="H243" s="193">
        <f t="shared" si="51"/>
        <v>0</v>
      </c>
      <c r="I243" s="193">
        <f t="shared" si="51"/>
        <v>0</v>
      </c>
      <c r="J243" s="193">
        <f t="shared" si="51"/>
        <v>0</v>
      </c>
      <c r="K243" s="193">
        <f t="shared" si="51"/>
        <v>0</v>
      </c>
      <c r="L243" s="193">
        <f t="shared" si="51"/>
        <v>0</v>
      </c>
      <c r="M243" s="193">
        <f t="shared" si="51"/>
        <v>0</v>
      </c>
      <c r="N243" s="193">
        <f t="shared" si="51"/>
        <v>0</v>
      </c>
      <c r="O243" s="193">
        <f t="shared" si="51"/>
        <v>0</v>
      </c>
      <c r="P243" s="194">
        <f t="shared" si="51"/>
        <v>0</v>
      </c>
    </row>
    <row r="244" spans="1:16" x14ac:dyDescent="0.3">
      <c r="A244" s="195"/>
      <c r="B244" s="196" t="s">
        <v>361</v>
      </c>
      <c r="C244" s="196" t="s">
        <v>200</v>
      </c>
      <c r="D244" s="197">
        <v>0.16600000000000001</v>
      </c>
      <c r="E244" s="193">
        <f t="shared" si="50"/>
        <v>0</v>
      </c>
      <c r="F244" s="193">
        <f t="shared" si="51"/>
        <v>0</v>
      </c>
      <c r="G244" s="193">
        <f t="shared" si="51"/>
        <v>0</v>
      </c>
      <c r="H244" s="193">
        <f t="shared" si="51"/>
        <v>0</v>
      </c>
      <c r="I244" s="193">
        <f t="shared" si="51"/>
        <v>0</v>
      </c>
      <c r="J244" s="193">
        <f t="shared" si="51"/>
        <v>0</v>
      </c>
      <c r="K244" s="193">
        <f t="shared" si="51"/>
        <v>0</v>
      </c>
      <c r="L244" s="193">
        <f t="shared" si="51"/>
        <v>0</v>
      </c>
      <c r="M244" s="193">
        <f t="shared" si="51"/>
        <v>0</v>
      </c>
      <c r="N244" s="193">
        <f t="shared" si="51"/>
        <v>0</v>
      </c>
      <c r="O244" s="193">
        <f t="shared" si="51"/>
        <v>0</v>
      </c>
      <c r="P244" s="194">
        <f t="shared" si="51"/>
        <v>0</v>
      </c>
    </row>
    <row r="245" spans="1:16" x14ac:dyDescent="0.3">
      <c r="A245" s="195"/>
      <c r="B245" s="196" t="s">
        <v>326</v>
      </c>
      <c r="C245" s="196" t="s">
        <v>173</v>
      </c>
      <c r="D245" s="197">
        <v>0.18</v>
      </c>
      <c r="E245" s="193">
        <f t="shared" si="50"/>
        <v>0</v>
      </c>
      <c r="F245" s="193">
        <f t="shared" si="51"/>
        <v>0</v>
      </c>
      <c r="G245" s="193">
        <f t="shared" si="51"/>
        <v>0</v>
      </c>
      <c r="H245" s="193">
        <f t="shared" si="51"/>
        <v>0</v>
      </c>
      <c r="I245" s="193">
        <f t="shared" si="51"/>
        <v>0</v>
      </c>
      <c r="J245" s="193">
        <f t="shared" si="51"/>
        <v>0</v>
      </c>
      <c r="K245" s="193">
        <f t="shared" si="51"/>
        <v>0</v>
      </c>
      <c r="L245" s="193">
        <f t="shared" si="51"/>
        <v>0</v>
      </c>
      <c r="M245" s="193">
        <f t="shared" si="51"/>
        <v>0</v>
      </c>
      <c r="N245" s="193">
        <f t="shared" si="51"/>
        <v>0</v>
      </c>
      <c r="O245" s="193">
        <f t="shared" si="51"/>
        <v>0</v>
      </c>
      <c r="P245" s="194">
        <f t="shared" si="51"/>
        <v>0</v>
      </c>
    </row>
    <row r="246" spans="1:16" x14ac:dyDescent="0.3">
      <c r="A246" s="195"/>
      <c r="B246" s="196" t="s">
        <v>325</v>
      </c>
      <c r="C246" s="196" t="s">
        <v>171</v>
      </c>
      <c r="D246" s="197">
        <v>0.161</v>
      </c>
      <c r="E246" s="193">
        <f t="shared" si="50"/>
        <v>0</v>
      </c>
      <c r="F246" s="193">
        <f t="shared" si="51"/>
        <v>0</v>
      </c>
      <c r="G246" s="193">
        <f t="shared" si="51"/>
        <v>0</v>
      </c>
      <c r="H246" s="193">
        <f t="shared" si="51"/>
        <v>0</v>
      </c>
      <c r="I246" s="193">
        <f t="shared" si="51"/>
        <v>0</v>
      </c>
      <c r="J246" s="193">
        <f t="shared" si="51"/>
        <v>0</v>
      </c>
      <c r="K246" s="193">
        <f t="shared" si="51"/>
        <v>0</v>
      </c>
      <c r="L246" s="193">
        <f t="shared" si="51"/>
        <v>0</v>
      </c>
      <c r="M246" s="193">
        <f t="shared" si="51"/>
        <v>0</v>
      </c>
      <c r="N246" s="193">
        <f t="shared" si="51"/>
        <v>0</v>
      </c>
      <c r="O246" s="193">
        <f t="shared" si="51"/>
        <v>0</v>
      </c>
      <c r="P246" s="194">
        <f t="shared" si="51"/>
        <v>0</v>
      </c>
    </row>
    <row r="247" spans="1:16" x14ac:dyDescent="0.3">
      <c r="A247" s="195"/>
      <c r="B247" s="196" t="s">
        <v>385</v>
      </c>
      <c r="C247" s="196" t="s">
        <v>198</v>
      </c>
      <c r="D247" s="197">
        <v>0.187</v>
      </c>
      <c r="E247" s="193">
        <f t="shared" si="50"/>
        <v>0</v>
      </c>
      <c r="F247" s="193">
        <f t="shared" si="51"/>
        <v>0</v>
      </c>
      <c r="G247" s="193">
        <f t="shared" si="51"/>
        <v>0</v>
      </c>
      <c r="H247" s="193">
        <f t="shared" si="51"/>
        <v>0</v>
      </c>
      <c r="I247" s="193">
        <f t="shared" si="51"/>
        <v>0</v>
      </c>
      <c r="J247" s="193">
        <f t="shared" si="51"/>
        <v>0</v>
      </c>
      <c r="K247" s="193">
        <f t="shared" si="51"/>
        <v>0</v>
      </c>
      <c r="L247" s="193">
        <f t="shared" si="51"/>
        <v>0</v>
      </c>
      <c r="M247" s="193">
        <f t="shared" si="51"/>
        <v>0</v>
      </c>
      <c r="N247" s="193">
        <f t="shared" si="51"/>
        <v>0</v>
      </c>
      <c r="O247" s="193">
        <f t="shared" si="51"/>
        <v>0</v>
      </c>
      <c r="P247" s="194">
        <f t="shared" si="51"/>
        <v>0</v>
      </c>
    </row>
    <row r="248" spans="1:16" x14ac:dyDescent="0.3">
      <c r="A248" s="195"/>
      <c r="B248" s="83">
        <v>326787</v>
      </c>
      <c r="C248" s="83" t="s">
        <v>448</v>
      </c>
      <c r="D248" s="210">
        <v>7.5999999999999998E-2</v>
      </c>
      <c r="E248" s="193">
        <f t="shared" si="50"/>
        <v>0</v>
      </c>
      <c r="F248" s="193">
        <f t="shared" si="51"/>
        <v>0</v>
      </c>
      <c r="G248" s="193">
        <f t="shared" si="51"/>
        <v>0</v>
      </c>
      <c r="H248" s="193">
        <f t="shared" si="51"/>
        <v>0</v>
      </c>
      <c r="I248" s="193">
        <f t="shared" si="51"/>
        <v>0</v>
      </c>
      <c r="J248" s="193">
        <f t="shared" si="51"/>
        <v>0</v>
      </c>
      <c r="K248" s="193">
        <f t="shared" si="51"/>
        <v>0</v>
      </c>
      <c r="L248" s="193">
        <f t="shared" si="51"/>
        <v>0</v>
      </c>
      <c r="M248" s="193">
        <f t="shared" si="51"/>
        <v>0</v>
      </c>
      <c r="N248" s="193">
        <f t="shared" si="51"/>
        <v>0</v>
      </c>
      <c r="O248" s="193">
        <f t="shared" si="51"/>
        <v>0</v>
      </c>
      <c r="P248" s="194">
        <f t="shared" si="51"/>
        <v>0</v>
      </c>
    </row>
    <row r="249" spans="1:16" x14ac:dyDescent="0.3">
      <c r="A249" s="216"/>
      <c r="B249" s="83" t="s">
        <v>362</v>
      </c>
      <c r="C249" s="83" t="s">
        <v>204</v>
      </c>
      <c r="D249" s="210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4"/>
    </row>
    <row r="250" spans="1:16" x14ac:dyDescent="0.3">
      <c r="A250" s="216"/>
      <c r="B250" s="83" t="s">
        <v>363</v>
      </c>
      <c r="C250" s="83" t="s">
        <v>205</v>
      </c>
      <c r="D250" s="210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4"/>
    </row>
    <row r="251" spans="1:16" ht="17.25" thickBot="1" x14ac:dyDescent="0.35">
      <c r="A251" s="217"/>
      <c r="B251" s="203" t="s">
        <v>364</v>
      </c>
      <c r="C251" s="203" t="s">
        <v>206</v>
      </c>
      <c r="D251" s="204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2"/>
    </row>
    <row r="252" spans="1:16" ht="17.25" thickBot="1" x14ac:dyDescent="0.35">
      <c r="A252" s="185">
        <v>326787</v>
      </c>
      <c r="B252" s="186"/>
      <c r="C252" s="187" t="s">
        <v>448</v>
      </c>
      <c r="D252" s="188">
        <f>SUM(D253:D262)</f>
        <v>7.5999999999999998E-2</v>
      </c>
      <c r="E252" s="189">
        <f>IFERROR(VLOOKUP($A252,완제품!$B:$CP,E$1,FALSE),0)</f>
        <v>0</v>
      </c>
      <c r="F252" s="189">
        <f>IFERROR(VLOOKUP($A252,완제품!$B:$CP,F$1,FALSE),0)</f>
        <v>0</v>
      </c>
      <c r="G252" s="189">
        <f>IFERROR(VLOOKUP($A252,완제품!$B:$CP,G$1,FALSE),0)</f>
        <v>0</v>
      </c>
      <c r="H252" s="189">
        <f>IFERROR(VLOOKUP($A252,완제품!$B:$CP,H$1,FALSE),0)</f>
        <v>0</v>
      </c>
      <c r="I252" s="189">
        <f>IFERROR(VLOOKUP($A252,완제품!$B:$CP,I$1,FALSE),0)</f>
        <v>0</v>
      </c>
      <c r="J252" s="189">
        <f>IFERROR(VLOOKUP($A252,완제품!$B:$CP,J$1,FALSE),0)</f>
        <v>0</v>
      </c>
      <c r="K252" s="189">
        <f>IFERROR(VLOOKUP($A252,완제품!$B:$CP,K$1,FALSE),0)</f>
        <v>0</v>
      </c>
      <c r="L252" s="189">
        <f>IFERROR(VLOOKUP($A252,완제품!$B:$CP,L$1,FALSE),0)</f>
        <v>0</v>
      </c>
      <c r="M252" s="189">
        <f>IFERROR(VLOOKUP($A252,완제품!$B:$CP,M$1,FALSE),0)</f>
        <v>0</v>
      </c>
      <c r="N252" s="189">
        <f>IFERROR(VLOOKUP($A252,완제품!$B:$CP,N$1,FALSE),0)</f>
        <v>0</v>
      </c>
      <c r="O252" s="189">
        <f>IFERROR(VLOOKUP($A252,완제품!$B:$CP,O$1,FALSE),0)</f>
        <v>0</v>
      </c>
      <c r="P252" s="189">
        <f>IFERROR(VLOOKUP($A252,완제품!$B:$CP,P$1,FALSE),0)</f>
        <v>0</v>
      </c>
    </row>
    <row r="253" spans="1:16" x14ac:dyDescent="0.3">
      <c r="A253" s="190"/>
      <c r="B253" s="191" t="s">
        <v>331</v>
      </c>
      <c r="C253" s="191" t="s">
        <v>176</v>
      </c>
      <c r="D253" s="192">
        <v>3.0000000000000001E-3</v>
      </c>
      <c r="E253" s="193">
        <f>E248*$D253</f>
        <v>0</v>
      </c>
      <c r="F253" s="193">
        <f t="shared" ref="F253:P253" si="52">F248*$D253</f>
        <v>0</v>
      </c>
      <c r="G253" s="193">
        <f t="shared" si="52"/>
        <v>0</v>
      </c>
      <c r="H253" s="193">
        <f t="shared" si="52"/>
        <v>0</v>
      </c>
      <c r="I253" s="193">
        <f t="shared" si="52"/>
        <v>0</v>
      </c>
      <c r="J253" s="193">
        <f t="shared" si="52"/>
        <v>0</v>
      </c>
      <c r="K253" s="193">
        <f t="shared" si="52"/>
        <v>0</v>
      </c>
      <c r="L253" s="193">
        <f t="shared" si="52"/>
        <v>0</v>
      </c>
      <c r="M253" s="193">
        <f t="shared" si="52"/>
        <v>0</v>
      </c>
      <c r="N253" s="193">
        <f t="shared" si="52"/>
        <v>0</v>
      </c>
      <c r="O253" s="193">
        <f t="shared" si="52"/>
        <v>0</v>
      </c>
      <c r="P253" s="194">
        <f t="shared" si="52"/>
        <v>0</v>
      </c>
    </row>
    <row r="254" spans="1:16" x14ac:dyDescent="0.3">
      <c r="A254" s="195"/>
      <c r="B254" s="196" t="s">
        <v>343</v>
      </c>
      <c r="C254" s="196" t="s">
        <v>175</v>
      </c>
      <c r="D254" s="197">
        <v>1.9E-2</v>
      </c>
      <c r="E254" s="193">
        <f t="shared" ref="E254:P254" si="53">E249*$D254</f>
        <v>0</v>
      </c>
      <c r="F254" s="193">
        <f t="shared" si="53"/>
        <v>0</v>
      </c>
      <c r="G254" s="193">
        <f t="shared" si="53"/>
        <v>0</v>
      </c>
      <c r="H254" s="193">
        <f t="shared" si="53"/>
        <v>0</v>
      </c>
      <c r="I254" s="193">
        <f t="shared" si="53"/>
        <v>0</v>
      </c>
      <c r="J254" s="193">
        <f t="shared" si="53"/>
        <v>0</v>
      </c>
      <c r="K254" s="193">
        <f t="shared" si="53"/>
        <v>0</v>
      </c>
      <c r="L254" s="193">
        <f t="shared" si="53"/>
        <v>0</v>
      </c>
      <c r="M254" s="193">
        <f t="shared" si="53"/>
        <v>0</v>
      </c>
      <c r="N254" s="193">
        <f t="shared" si="53"/>
        <v>0</v>
      </c>
      <c r="O254" s="193">
        <f t="shared" si="53"/>
        <v>0</v>
      </c>
      <c r="P254" s="194">
        <f t="shared" si="53"/>
        <v>0</v>
      </c>
    </row>
    <row r="255" spans="1:16" x14ac:dyDescent="0.3">
      <c r="A255" s="195"/>
      <c r="B255" s="196" t="s">
        <v>330</v>
      </c>
      <c r="C255" s="196" t="s">
        <v>174</v>
      </c>
      <c r="D255" s="197">
        <v>2.1000000000000001E-2</v>
      </c>
      <c r="E255" s="193">
        <f t="shared" ref="E255:P255" si="54">E250*$D255</f>
        <v>0</v>
      </c>
      <c r="F255" s="193">
        <f t="shared" si="54"/>
        <v>0</v>
      </c>
      <c r="G255" s="193">
        <f t="shared" si="54"/>
        <v>0</v>
      </c>
      <c r="H255" s="193">
        <f t="shared" si="54"/>
        <v>0</v>
      </c>
      <c r="I255" s="193">
        <f t="shared" si="54"/>
        <v>0</v>
      </c>
      <c r="J255" s="193">
        <f t="shared" si="54"/>
        <v>0</v>
      </c>
      <c r="K255" s="193">
        <f t="shared" si="54"/>
        <v>0</v>
      </c>
      <c r="L255" s="193">
        <f t="shared" si="54"/>
        <v>0</v>
      </c>
      <c r="M255" s="193">
        <f t="shared" si="54"/>
        <v>0</v>
      </c>
      <c r="N255" s="193">
        <f t="shared" si="54"/>
        <v>0</v>
      </c>
      <c r="O255" s="193">
        <f t="shared" si="54"/>
        <v>0</v>
      </c>
      <c r="P255" s="194">
        <f t="shared" si="54"/>
        <v>0</v>
      </c>
    </row>
    <row r="256" spans="1:16" x14ac:dyDescent="0.3">
      <c r="A256" s="195"/>
      <c r="B256" s="196" t="s">
        <v>337</v>
      </c>
      <c r="C256" s="196" t="s">
        <v>177</v>
      </c>
      <c r="D256" s="197">
        <v>1.0999999999999999E-2</v>
      </c>
      <c r="E256" s="193">
        <f t="shared" ref="E256:P256" si="55">E251*$D256</f>
        <v>0</v>
      </c>
      <c r="F256" s="193">
        <f t="shared" si="55"/>
        <v>0</v>
      </c>
      <c r="G256" s="193">
        <f t="shared" si="55"/>
        <v>0</v>
      </c>
      <c r="H256" s="193">
        <f t="shared" si="55"/>
        <v>0</v>
      </c>
      <c r="I256" s="193">
        <f t="shared" si="55"/>
        <v>0</v>
      </c>
      <c r="J256" s="193">
        <f t="shared" si="55"/>
        <v>0</v>
      </c>
      <c r="K256" s="193">
        <f t="shared" si="55"/>
        <v>0</v>
      </c>
      <c r="L256" s="193">
        <f t="shared" si="55"/>
        <v>0</v>
      </c>
      <c r="M256" s="193">
        <f t="shared" si="55"/>
        <v>0</v>
      </c>
      <c r="N256" s="193">
        <f t="shared" si="55"/>
        <v>0</v>
      </c>
      <c r="O256" s="193">
        <f t="shared" si="55"/>
        <v>0</v>
      </c>
      <c r="P256" s="194">
        <f t="shared" si="55"/>
        <v>0</v>
      </c>
    </row>
    <row r="257" spans="1:18" x14ac:dyDescent="0.3">
      <c r="A257" s="195"/>
      <c r="B257" s="196" t="s">
        <v>331</v>
      </c>
      <c r="C257" s="196" t="s">
        <v>176</v>
      </c>
      <c r="D257" s="197">
        <v>8.9999999999999993E-3</v>
      </c>
      <c r="E257" s="193">
        <f t="shared" ref="E257:P257" si="56">E252*$D257</f>
        <v>0</v>
      </c>
      <c r="F257" s="193">
        <f t="shared" si="56"/>
        <v>0</v>
      </c>
      <c r="G257" s="193">
        <f t="shared" si="56"/>
        <v>0</v>
      </c>
      <c r="H257" s="193">
        <f t="shared" si="56"/>
        <v>0</v>
      </c>
      <c r="I257" s="193">
        <f t="shared" si="56"/>
        <v>0</v>
      </c>
      <c r="J257" s="193">
        <f t="shared" si="56"/>
        <v>0</v>
      </c>
      <c r="K257" s="193">
        <f t="shared" si="56"/>
        <v>0</v>
      </c>
      <c r="L257" s="193">
        <f t="shared" si="56"/>
        <v>0</v>
      </c>
      <c r="M257" s="193">
        <f t="shared" si="56"/>
        <v>0</v>
      </c>
      <c r="N257" s="193">
        <f t="shared" si="56"/>
        <v>0</v>
      </c>
      <c r="O257" s="193">
        <f t="shared" si="56"/>
        <v>0</v>
      </c>
      <c r="P257" s="194">
        <f t="shared" si="56"/>
        <v>0</v>
      </c>
    </row>
    <row r="258" spans="1:18" x14ac:dyDescent="0.3">
      <c r="A258" s="195"/>
      <c r="B258" s="83" t="s">
        <v>346</v>
      </c>
      <c r="C258" s="83" t="s">
        <v>201</v>
      </c>
      <c r="D258" s="210">
        <v>4.0000000000000001E-3</v>
      </c>
      <c r="E258" s="193">
        <f t="shared" ref="E258:P258" si="57">E253*$D258</f>
        <v>0</v>
      </c>
      <c r="F258" s="193">
        <f t="shared" si="57"/>
        <v>0</v>
      </c>
      <c r="G258" s="193">
        <f t="shared" si="57"/>
        <v>0</v>
      </c>
      <c r="H258" s="193">
        <f t="shared" si="57"/>
        <v>0</v>
      </c>
      <c r="I258" s="193">
        <f t="shared" si="57"/>
        <v>0</v>
      </c>
      <c r="J258" s="193">
        <f t="shared" si="57"/>
        <v>0</v>
      </c>
      <c r="K258" s="193">
        <f t="shared" si="57"/>
        <v>0</v>
      </c>
      <c r="L258" s="193">
        <f t="shared" si="57"/>
        <v>0</v>
      </c>
      <c r="M258" s="193">
        <f t="shared" si="57"/>
        <v>0</v>
      </c>
      <c r="N258" s="193">
        <f t="shared" si="57"/>
        <v>0</v>
      </c>
      <c r="O258" s="193">
        <f t="shared" si="57"/>
        <v>0</v>
      </c>
      <c r="P258" s="194">
        <f t="shared" si="57"/>
        <v>0</v>
      </c>
    </row>
    <row r="259" spans="1:18" x14ac:dyDescent="0.3">
      <c r="A259" s="216"/>
      <c r="B259" s="83" t="s">
        <v>348</v>
      </c>
      <c r="C259" s="83" t="s">
        <v>182</v>
      </c>
      <c r="D259" s="210">
        <v>3.0000000000000001E-3</v>
      </c>
      <c r="E259" s="193">
        <f t="shared" ref="E259:P259" si="58">E254*$D259</f>
        <v>0</v>
      </c>
      <c r="F259" s="193">
        <f t="shared" si="58"/>
        <v>0</v>
      </c>
      <c r="G259" s="193">
        <f t="shared" si="58"/>
        <v>0</v>
      </c>
      <c r="H259" s="193">
        <f t="shared" si="58"/>
        <v>0</v>
      </c>
      <c r="I259" s="193">
        <f t="shared" si="58"/>
        <v>0</v>
      </c>
      <c r="J259" s="193">
        <f t="shared" si="58"/>
        <v>0</v>
      </c>
      <c r="K259" s="193">
        <f t="shared" si="58"/>
        <v>0</v>
      </c>
      <c r="L259" s="193">
        <f t="shared" si="58"/>
        <v>0</v>
      </c>
      <c r="M259" s="193">
        <f t="shared" si="58"/>
        <v>0</v>
      </c>
      <c r="N259" s="193">
        <f t="shared" si="58"/>
        <v>0</v>
      </c>
      <c r="O259" s="193">
        <f t="shared" si="58"/>
        <v>0</v>
      </c>
      <c r="P259" s="194">
        <f t="shared" si="58"/>
        <v>0</v>
      </c>
    </row>
    <row r="260" spans="1:18" x14ac:dyDescent="0.3">
      <c r="A260" s="216"/>
      <c r="B260" s="83" t="s">
        <v>349</v>
      </c>
      <c r="C260" s="83" t="s">
        <v>202</v>
      </c>
      <c r="D260" s="210">
        <v>2E-3</v>
      </c>
      <c r="E260" s="193">
        <f t="shared" ref="E260:P260" si="59">E255*$D260</f>
        <v>0</v>
      </c>
      <c r="F260" s="193">
        <f t="shared" si="59"/>
        <v>0</v>
      </c>
      <c r="G260" s="193">
        <f t="shared" si="59"/>
        <v>0</v>
      </c>
      <c r="H260" s="193">
        <f t="shared" si="59"/>
        <v>0</v>
      </c>
      <c r="I260" s="193">
        <f t="shared" si="59"/>
        <v>0</v>
      </c>
      <c r="J260" s="193">
        <f t="shared" si="59"/>
        <v>0</v>
      </c>
      <c r="K260" s="193">
        <f t="shared" si="59"/>
        <v>0</v>
      </c>
      <c r="L260" s="193">
        <f t="shared" si="59"/>
        <v>0</v>
      </c>
      <c r="M260" s="193">
        <f t="shared" si="59"/>
        <v>0</v>
      </c>
      <c r="N260" s="193">
        <f t="shared" si="59"/>
        <v>0</v>
      </c>
      <c r="O260" s="193">
        <f t="shared" si="59"/>
        <v>0</v>
      </c>
      <c r="P260" s="194">
        <f t="shared" si="59"/>
        <v>0</v>
      </c>
    </row>
    <row r="261" spans="1:18" x14ac:dyDescent="0.3">
      <c r="A261" s="216"/>
      <c r="B261" s="83" t="s">
        <v>347</v>
      </c>
      <c r="C261" s="83" t="s">
        <v>181</v>
      </c>
      <c r="D261" s="210">
        <v>2E-3</v>
      </c>
      <c r="E261" s="193">
        <f t="shared" ref="E261:P261" si="60">E256*$D261</f>
        <v>0</v>
      </c>
      <c r="F261" s="193">
        <f t="shared" si="60"/>
        <v>0</v>
      </c>
      <c r="G261" s="193">
        <f t="shared" si="60"/>
        <v>0</v>
      </c>
      <c r="H261" s="193">
        <f t="shared" si="60"/>
        <v>0</v>
      </c>
      <c r="I261" s="193">
        <f t="shared" si="60"/>
        <v>0</v>
      </c>
      <c r="J261" s="193">
        <f t="shared" si="60"/>
        <v>0</v>
      </c>
      <c r="K261" s="193">
        <f t="shared" si="60"/>
        <v>0</v>
      </c>
      <c r="L261" s="193">
        <f t="shared" si="60"/>
        <v>0</v>
      </c>
      <c r="M261" s="193">
        <f t="shared" si="60"/>
        <v>0</v>
      </c>
      <c r="N261" s="193">
        <f t="shared" si="60"/>
        <v>0</v>
      </c>
      <c r="O261" s="193">
        <f t="shared" si="60"/>
        <v>0</v>
      </c>
      <c r="P261" s="194">
        <f t="shared" si="60"/>
        <v>0</v>
      </c>
    </row>
    <row r="262" spans="1:18" ht="17.25" thickBot="1" x14ac:dyDescent="0.35">
      <c r="A262" s="217"/>
      <c r="B262" s="203" t="s">
        <v>345</v>
      </c>
      <c r="C262" s="203" t="s">
        <v>203</v>
      </c>
      <c r="D262" s="204">
        <v>2E-3</v>
      </c>
      <c r="E262" s="201">
        <f t="shared" ref="E262:P262" si="61">E257*$D262</f>
        <v>0</v>
      </c>
      <c r="F262" s="201">
        <f t="shared" si="61"/>
        <v>0</v>
      </c>
      <c r="G262" s="201">
        <f t="shared" si="61"/>
        <v>0</v>
      </c>
      <c r="H262" s="201">
        <f t="shared" si="61"/>
        <v>0</v>
      </c>
      <c r="I262" s="201">
        <f t="shared" si="61"/>
        <v>0</v>
      </c>
      <c r="J262" s="201">
        <f t="shared" si="61"/>
        <v>0</v>
      </c>
      <c r="K262" s="201">
        <f t="shared" si="61"/>
        <v>0</v>
      </c>
      <c r="L262" s="201">
        <f t="shared" si="61"/>
        <v>0</v>
      </c>
      <c r="M262" s="201">
        <f t="shared" si="61"/>
        <v>0</v>
      </c>
      <c r="N262" s="201">
        <f t="shared" si="61"/>
        <v>0</v>
      </c>
      <c r="O262" s="201">
        <f t="shared" si="61"/>
        <v>0</v>
      </c>
      <c r="P262" s="202">
        <f t="shared" si="61"/>
        <v>0</v>
      </c>
    </row>
    <row r="263" spans="1:18" ht="17.25" thickBot="1" x14ac:dyDescent="0.35">
      <c r="A263" s="185">
        <v>316950</v>
      </c>
      <c r="B263" s="186"/>
      <c r="C263" s="187" t="s">
        <v>449</v>
      </c>
      <c r="D263" s="188">
        <f>SUM(D264:D283)</f>
        <v>1.0000000000000002</v>
      </c>
      <c r="E263" s="189">
        <f>IFERROR(VLOOKUP($A263,완제품!$B:$CP,E$1,FALSE),0)</f>
        <v>0</v>
      </c>
      <c r="F263" s="189">
        <f>IFERROR(VLOOKUP($A263,완제품!$B:$CP,F$1,FALSE),0)</f>
        <v>0</v>
      </c>
      <c r="G263" s="189">
        <f>IFERROR(VLOOKUP($A263,완제품!$B:$CP,G$1,FALSE),0)</f>
        <v>0</v>
      </c>
      <c r="H263" s="189">
        <f>IFERROR(VLOOKUP($A263,완제품!$B:$CP,H$1,FALSE),0)</f>
        <v>0</v>
      </c>
      <c r="I263" s="189">
        <f>IFERROR(VLOOKUP($A263,완제품!$B:$CP,I$1,FALSE),0)</f>
        <v>0</v>
      </c>
      <c r="J263" s="189">
        <f>IFERROR(VLOOKUP($A263,완제품!$B:$CP,J$1,FALSE),0)</f>
        <v>0</v>
      </c>
      <c r="K263" s="189">
        <f>IFERROR(VLOOKUP($A263,완제품!$B:$CP,K$1,FALSE),0)</f>
        <v>0</v>
      </c>
      <c r="L263" s="189">
        <f>IFERROR(VLOOKUP($A263,완제품!$B:$CP,L$1,FALSE),0)</f>
        <v>0</v>
      </c>
      <c r="M263" s="189">
        <f>IFERROR(VLOOKUP($A263,완제품!$B:$CP,M$1,FALSE),0)</f>
        <v>0</v>
      </c>
      <c r="N263" s="189">
        <f>IFERROR(VLOOKUP($A263,완제품!$B:$CP,N$1,FALSE),0)</f>
        <v>0</v>
      </c>
      <c r="O263" s="189">
        <f>IFERROR(VLOOKUP($A263,완제품!$B:$CP,O$1,FALSE),0)</f>
        <v>0</v>
      </c>
      <c r="P263" s="189">
        <f>IFERROR(VLOOKUP($A263,완제품!$B:$CP,P$1,FALSE),0)</f>
        <v>0</v>
      </c>
    </row>
    <row r="264" spans="1:18" x14ac:dyDescent="0.3">
      <c r="A264" s="190"/>
      <c r="B264" s="191" t="s">
        <v>325</v>
      </c>
      <c r="C264" s="191" t="s">
        <v>148</v>
      </c>
      <c r="D264" s="192">
        <v>0.40909999999999996</v>
      </c>
      <c r="E264" s="193">
        <f t="shared" ref="E264:P279" si="62">E$263*$D264</f>
        <v>0</v>
      </c>
      <c r="F264" s="193">
        <f t="shared" si="62"/>
        <v>0</v>
      </c>
      <c r="G264" s="193">
        <f t="shared" si="62"/>
        <v>0</v>
      </c>
      <c r="H264" s="193">
        <f t="shared" si="62"/>
        <v>0</v>
      </c>
      <c r="I264" s="193">
        <f t="shared" si="62"/>
        <v>0</v>
      </c>
      <c r="J264" s="193">
        <f t="shared" si="62"/>
        <v>0</v>
      </c>
      <c r="K264" s="193">
        <f t="shared" si="62"/>
        <v>0</v>
      </c>
      <c r="L264" s="193">
        <f t="shared" si="62"/>
        <v>0</v>
      </c>
      <c r="M264" s="193">
        <f t="shared" si="62"/>
        <v>0</v>
      </c>
      <c r="N264" s="193">
        <f t="shared" si="62"/>
        <v>0</v>
      </c>
      <c r="O264" s="193">
        <f t="shared" si="62"/>
        <v>0</v>
      </c>
      <c r="P264" s="194">
        <f t="shared" si="62"/>
        <v>0</v>
      </c>
      <c r="R264" s="193">
        <f>IFERROR(VLOOKUP(B264,원재료!B:AC,28,FALSE),0)</f>
        <v>0</v>
      </c>
    </row>
    <row r="265" spans="1:18" x14ac:dyDescent="0.3">
      <c r="A265" s="195"/>
      <c r="B265" s="348" t="s">
        <v>398</v>
      </c>
      <c r="C265" s="348" t="s">
        <v>277</v>
      </c>
      <c r="D265" s="197">
        <v>0.185</v>
      </c>
      <c r="E265" s="193">
        <f t="shared" ref="E265:E281" si="63">E$263*$D265</f>
        <v>0</v>
      </c>
      <c r="F265" s="193">
        <f t="shared" si="62"/>
        <v>0</v>
      </c>
      <c r="G265" s="193">
        <f t="shared" si="62"/>
        <v>0</v>
      </c>
      <c r="H265" s="193">
        <f t="shared" si="62"/>
        <v>0</v>
      </c>
      <c r="I265" s="193">
        <f t="shared" si="62"/>
        <v>0</v>
      </c>
      <c r="J265" s="193">
        <f t="shared" si="62"/>
        <v>0</v>
      </c>
      <c r="K265" s="193">
        <f t="shared" si="62"/>
        <v>0</v>
      </c>
      <c r="L265" s="193">
        <f t="shared" si="62"/>
        <v>0</v>
      </c>
      <c r="M265" s="193">
        <f t="shared" si="62"/>
        <v>0</v>
      </c>
      <c r="N265" s="193">
        <f t="shared" si="62"/>
        <v>0</v>
      </c>
      <c r="O265" s="193">
        <f t="shared" si="62"/>
        <v>0</v>
      </c>
      <c r="P265" s="194">
        <f t="shared" si="62"/>
        <v>0</v>
      </c>
      <c r="R265" s="193">
        <f>IFERROR(VLOOKUP(B265,원재료!B:AC,28,FALSE),0)</f>
        <v>1</v>
      </c>
    </row>
    <row r="266" spans="1:18" x14ac:dyDescent="0.3">
      <c r="A266" s="195"/>
      <c r="B266" s="196" t="s">
        <v>399</v>
      </c>
      <c r="C266" s="196" t="s">
        <v>278</v>
      </c>
      <c r="D266" s="197">
        <v>0.185</v>
      </c>
      <c r="E266" s="193">
        <f t="shared" si="63"/>
        <v>0</v>
      </c>
      <c r="F266" s="193">
        <f t="shared" si="62"/>
        <v>0</v>
      </c>
      <c r="G266" s="193">
        <f t="shared" si="62"/>
        <v>0</v>
      </c>
      <c r="H266" s="193">
        <f t="shared" si="62"/>
        <v>0</v>
      </c>
      <c r="I266" s="193">
        <f t="shared" si="62"/>
        <v>0</v>
      </c>
      <c r="J266" s="193">
        <f t="shared" si="62"/>
        <v>0</v>
      </c>
      <c r="K266" s="193">
        <f t="shared" si="62"/>
        <v>0</v>
      </c>
      <c r="L266" s="193">
        <f t="shared" si="62"/>
        <v>0</v>
      </c>
      <c r="M266" s="193">
        <f t="shared" si="62"/>
        <v>0</v>
      </c>
      <c r="N266" s="193">
        <f t="shared" si="62"/>
        <v>0</v>
      </c>
      <c r="O266" s="193">
        <f t="shared" si="62"/>
        <v>0</v>
      </c>
      <c r="P266" s="194">
        <f t="shared" si="62"/>
        <v>0</v>
      </c>
      <c r="R266" s="193">
        <f>IFERROR(VLOOKUP(B266,원재료!B:AC,28,FALSE),0)</f>
        <v>0</v>
      </c>
    </row>
    <row r="267" spans="1:18" x14ac:dyDescent="0.3">
      <c r="A267" s="195"/>
      <c r="B267" s="348" t="s">
        <v>400</v>
      </c>
      <c r="C267" s="348" t="s">
        <v>279</v>
      </c>
      <c r="D267" s="197">
        <v>0.03</v>
      </c>
      <c r="E267" s="193">
        <f t="shared" si="63"/>
        <v>0</v>
      </c>
      <c r="F267" s="193">
        <f t="shared" si="62"/>
        <v>0</v>
      </c>
      <c r="G267" s="193">
        <f t="shared" si="62"/>
        <v>0</v>
      </c>
      <c r="H267" s="193">
        <f t="shared" si="62"/>
        <v>0</v>
      </c>
      <c r="I267" s="193">
        <f t="shared" si="62"/>
        <v>0</v>
      </c>
      <c r="J267" s="193">
        <f t="shared" si="62"/>
        <v>0</v>
      </c>
      <c r="K267" s="193">
        <f t="shared" si="62"/>
        <v>0</v>
      </c>
      <c r="L267" s="193">
        <f t="shared" si="62"/>
        <v>0</v>
      </c>
      <c r="M267" s="193">
        <f t="shared" si="62"/>
        <v>0</v>
      </c>
      <c r="N267" s="193">
        <f t="shared" si="62"/>
        <v>0</v>
      </c>
      <c r="O267" s="193">
        <f t="shared" si="62"/>
        <v>0</v>
      </c>
      <c r="P267" s="194">
        <f t="shared" si="62"/>
        <v>0</v>
      </c>
      <c r="R267" s="193">
        <f>IFERROR(VLOOKUP(B267,원재료!B:AC,28,FALSE),0)</f>
        <v>0</v>
      </c>
    </row>
    <row r="268" spans="1:18" x14ac:dyDescent="0.3">
      <c r="A268" s="195"/>
      <c r="B268" s="348" t="s">
        <v>401</v>
      </c>
      <c r="C268" s="348" t="s">
        <v>280</v>
      </c>
      <c r="D268" s="197">
        <v>5.5E-2</v>
      </c>
      <c r="E268" s="193">
        <f t="shared" si="63"/>
        <v>0</v>
      </c>
      <c r="F268" s="193">
        <f t="shared" si="62"/>
        <v>0</v>
      </c>
      <c r="G268" s="193">
        <f t="shared" si="62"/>
        <v>0</v>
      </c>
      <c r="H268" s="193">
        <f t="shared" si="62"/>
        <v>0</v>
      </c>
      <c r="I268" s="193">
        <f t="shared" si="62"/>
        <v>0</v>
      </c>
      <c r="J268" s="193">
        <f t="shared" si="62"/>
        <v>0</v>
      </c>
      <c r="K268" s="193">
        <f t="shared" si="62"/>
        <v>0</v>
      </c>
      <c r="L268" s="193">
        <f t="shared" si="62"/>
        <v>0</v>
      </c>
      <c r="M268" s="193">
        <f t="shared" si="62"/>
        <v>0</v>
      </c>
      <c r="N268" s="193">
        <f t="shared" si="62"/>
        <v>0</v>
      </c>
      <c r="O268" s="193">
        <f t="shared" si="62"/>
        <v>0</v>
      </c>
      <c r="P268" s="194">
        <f t="shared" si="62"/>
        <v>0</v>
      </c>
      <c r="R268" s="193">
        <f>IFERROR(VLOOKUP(B268,원재료!B:AC,28,FALSE),0)</f>
        <v>0</v>
      </c>
    </row>
    <row r="269" spans="1:18" x14ac:dyDescent="0.3">
      <c r="A269" s="195"/>
      <c r="B269" s="347" t="s">
        <v>402</v>
      </c>
      <c r="C269" s="347" t="s">
        <v>281</v>
      </c>
      <c r="D269" s="210">
        <v>0.01</v>
      </c>
      <c r="E269" s="193">
        <f t="shared" si="63"/>
        <v>0</v>
      </c>
      <c r="F269" s="193">
        <f t="shared" si="62"/>
        <v>0</v>
      </c>
      <c r="G269" s="193">
        <f t="shared" si="62"/>
        <v>0</v>
      </c>
      <c r="H269" s="193">
        <f t="shared" si="62"/>
        <v>0</v>
      </c>
      <c r="I269" s="193">
        <f t="shared" si="62"/>
        <v>0</v>
      </c>
      <c r="J269" s="193">
        <f t="shared" si="62"/>
        <v>0</v>
      </c>
      <c r="K269" s="193">
        <f t="shared" si="62"/>
        <v>0</v>
      </c>
      <c r="L269" s="193">
        <f t="shared" si="62"/>
        <v>0</v>
      </c>
      <c r="M269" s="193">
        <f t="shared" si="62"/>
        <v>0</v>
      </c>
      <c r="N269" s="193">
        <f t="shared" si="62"/>
        <v>0</v>
      </c>
      <c r="O269" s="193">
        <f t="shared" si="62"/>
        <v>0</v>
      </c>
      <c r="P269" s="194">
        <f t="shared" si="62"/>
        <v>0</v>
      </c>
      <c r="R269" s="193">
        <f>IFERROR(VLOOKUP(B269,원재료!B:AC,28,FALSE),0)</f>
        <v>0</v>
      </c>
    </row>
    <row r="270" spans="1:18" x14ac:dyDescent="0.3">
      <c r="A270" s="216"/>
      <c r="B270" s="347" t="s">
        <v>403</v>
      </c>
      <c r="C270" s="347" t="s">
        <v>282</v>
      </c>
      <c r="D270" s="210">
        <v>0.05</v>
      </c>
      <c r="E270" s="193">
        <f t="shared" si="63"/>
        <v>0</v>
      </c>
      <c r="F270" s="193">
        <f t="shared" si="62"/>
        <v>0</v>
      </c>
      <c r="G270" s="193">
        <f t="shared" si="62"/>
        <v>0</v>
      </c>
      <c r="H270" s="193">
        <f t="shared" si="62"/>
        <v>0</v>
      </c>
      <c r="I270" s="193">
        <f t="shared" si="62"/>
        <v>0</v>
      </c>
      <c r="J270" s="193">
        <f t="shared" si="62"/>
        <v>0</v>
      </c>
      <c r="K270" s="193">
        <f t="shared" si="62"/>
        <v>0</v>
      </c>
      <c r="L270" s="193">
        <f t="shared" si="62"/>
        <v>0</v>
      </c>
      <c r="M270" s="193">
        <f t="shared" si="62"/>
        <v>0</v>
      </c>
      <c r="N270" s="193">
        <f t="shared" si="62"/>
        <v>0</v>
      </c>
      <c r="O270" s="193">
        <f t="shared" si="62"/>
        <v>0</v>
      </c>
      <c r="P270" s="194">
        <f t="shared" si="62"/>
        <v>0</v>
      </c>
      <c r="R270" s="193">
        <f>IFERROR(VLOOKUP(B270,원재료!B:AC,28,FALSE),0)</f>
        <v>0</v>
      </c>
    </row>
    <row r="271" spans="1:18" x14ac:dyDescent="0.3">
      <c r="A271" s="216"/>
      <c r="B271" s="83" t="s">
        <v>332</v>
      </c>
      <c r="C271" s="83" t="s">
        <v>283</v>
      </c>
      <c r="D271" s="210">
        <v>5.0000000000000001E-3</v>
      </c>
      <c r="E271" s="193">
        <f t="shared" si="63"/>
        <v>0</v>
      </c>
      <c r="F271" s="193">
        <f t="shared" si="62"/>
        <v>0</v>
      </c>
      <c r="G271" s="193">
        <f t="shared" si="62"/>
        <v>0</v>
      </c>
      <c r="H271" s="193">
        <f t="shared" si="62"/>
        <v>0</v>
      </c>
      <c r="I271" s="193">
        <f t="shared" si="62"/>
        <v>0</v>
      </c>
      <c r="J271" s="193">
        <f t="shared" si="62"/>
        <v>0</v>
      </c>
      <c r="K271" s="193">
        <f t="shared" si="62"/>
        <v>0</v>
      </c>
      <c r="L271" s="193">
        <f t="shared" si="62"/>
        <v>0</v>
      </c>
      <c r="M271" s="193">
        <f t="shared" si="62"/>
        <v>0</v>
      </c>
      <c r="N271" s="193">
        <f t="shared" si="62"/>
        <v>0</v>
      </c>
      <c r="O271" s="193">
        <f t="shared" si="62"/>
        <v>0</v>
      </c>
      <c r="P271" s="194">
        <f t="shared" si="62"/>
        <v>0</v>
      </c>
      <c r="R271" s="193">
        <f>IFERROR(VLOOKUP(B271,원재료!B:AC,28,FALSE),0)</f>
        <v>0</v>
      </c>
    </row>
    <row r="272" spans="1:18" x14ac:dyDescent="0.3">
      <c r="A272" s="216"/>
      <c r="B272" s="83" t="s">
        <v>333</v>
      </c>
      <c r="C272" s="83" t="s">
        <v>227</v>
      </c>
      <c r="D272" s="210">
        <v>4.6999999999999993E-3</v>
      </c>
      <c r="E272" s="193">
        <f t="shared" si="63"/>
        <v>0</v>
      </c>
      <c r="F272" s="193">
        <f t="shared" si="62"/>
        <v>0</v>
      </c>
      <c r="G272" s="193">
        <f t="shared" si="62"/>
        <v>0</v>
      </c>
      <c r="H272" s="193">
        <f t="shared" si="62"/>
        <v>0</v>
      </c>
      <c r="I272" s="193">
        <f t="shared" si="62"/>
        <v>0</v>
      </c>
      <c r="J272" s="193">
        <f t="shared" si="62"/>
        <v>0</v>
      </c>
      <c r="K272" s="193">
        <f t="shared" si="62"/>
        <v>0</v>
      </c>
      <c r="L272" s="193">
        <f t="shared" si="62"/>
        <v>0</v>
      </c>
      <c r="M272" s="193">
        <f t="shared" si="62"/>
        <v>0</v>
      </c>
      <c r="N272" s="193">
        <f t="shared" si="62"/>
        <v>0</v>
      </c>
      <c r="O272" s="193">
        <f t="shared" si="62"/>
        <v>0</v>
      </c>
      <c r="P272" s="194">
        <f t="shared" si="62"/>
        <v>0</v>
      </c>
      <c r="R272" s="193">
        <f>IFERROR(VLOOKUP(B272,원재료!B:AC,28,FALSE),0)</f>
        <v>0</v>
      </c>
    </row>
    <row r="273" spans="1:18" x14ac:dyDescent="0.3">
      <c r="A273" s="216"/>
      <c r="B273" s="83" t="s">
        <v>381</v>
      </c>
      <c r="C273" s="83" t="s">
        <v>238</v>
      </c>
      <c r="D273" s="210">
        <v>1.0800000000000001E-2</v>
      </c>
      <c r="E273" s="193">
        <f t="shared" si="63"/>
        <v>0</v>
      </c>
      <c r="F273" s="193">
        <f t="shared" si="62"/>
        <v>0</v>
      </c>
      <c r="G273" s="193">
        <f t="shared" si="62"/>
        <v>0</v>
      </c>
      <c r="H273" s="193">
        <f t="shared" si="62"/>
        <v>0</v>
      </c>
      <c r="I273" s="193">
        <f t="shared" si="62"/>
        <v>0</v>
      </c>
      <c r="J273" s="193">
        <f t="shared" si="62"/>
        <v>0</v>
      </c>
      <c r="K273" s="193">
        <f t="shared" si="62"/>
        <v>0</v>
      </c>
      <c r="L273" s="193">
        <f t="shared" si="62"/>
        <v>0</v>
      </c>
      <c r="M273" s="193">
        <f t="shared" si="62"/>
        <v>0</v>
      </c>
      <c r="N273" s="193">
        <f t="shared" si="62"/>
        <v>0</v>
      </c>
      <c r="O273" s="193">
        <f t="shared" si="62"/>
        <v>0</v>
      </c>
      <c r="P273" s="194">
        <f t="shared" si="62"/>
        <v>0</v>
      </c>
      <c r="R273" s="193">
        <f>IFERROR(VLOOKUP(B273,원재료!B:AC,28,FALSE),0)</f>
        <v>0</v>
      </c>
    </row>
    <row r="274" spans="1:18" x14ac:dyDescent="0.3">
      <c r="A274" s="216"/>
      <c r="B274" s="83" t="s">
        <v>358</v>
      </c>
      <c r="C274" s="83" t="s">
        <v>212</v>
      </c>
      <c r="D274" s="210">
        <v>4.1999999999999997E-3</v>
      </c>
      <c r="E274" s="193">
        <f t="shared" si="63"/>
        <v>0</v>
      </c>
      <c r="F274" s="193">
        <f t="shared" si="62"/>
        <v>0</v>
      </c>
      <c r="G274" s="193">
        <f t="shared" si="62"/>
        <v>0</v>
      </c>
      <c r="H274" s="193">
        <f t="shared" si="62"/>
        <v>0</v>
      </c>
      <c r="I274" s="193">
        <f t="shared" si="62"/>
        <v>0</v>
      </c>
      <c r="J274" s="193">
        <f t="shared" si="62"/>
        <v>0</v>
      </c>
      <c r="K274" s="193">
        <f t="shared" si="62"/>
        <v>0</v>
      </c>
      <c r="L274" s="193">
        <f t="shared" si="62"/>
        <v>0</v>
      </c>
      <c r="M274" s="193">
        <f t="shared" si="62"/>
        <v>0</v>
      </c>
      <c r="N274" s="193">
        <f t="shared" si="62"/>
        <v>0</v>
      </c>
      <c r="O274" s="193">
        <f t="shared" si="62"/>
        <v>0</v>
      </c>
      <c r="P274" s="194">
        <f t="shared" si="62"/>
        <v>0</v>
      </c>
      <c r="R274" s="193">
        <f>IFERROR(VLOOKUP(B274,원재료!B:AC,28,FALSE),0)</f>
        <v>0</v>
      </c>
    </row>
    <row r="275" spans="1:18" x14ac:dyDescent="0.3">
      <c r="A275" s="216"/>
      <c r="B275" s="83" t="s">
        <v>348</v>
      </c>
      <c r="C275" s="83" t="s">
        <v>284</v>
      </c>
      <c r="D275" s="210">
        <v>6.0000000000000001E-3</v>
      </c>
      <c r="E275" s="193">
        <f t="shared" si="63"/>
        <v>0</v>
      </c>
      <c r="F275" s="193">
        <f t="shared" si="62"/>
        <v>0</v>
      </c>
      <c r="G275" s="193">
        <f t="shared" si="62"/>
        <v>0</v>
      </c>
      <c r="H275" s="193">
        <f t="shared" si="62"/>
        <v>0</v>
      </c>
      <c r="I275" s="193">
        <f t="shared" si="62"/>
        <v>0</v>
      </c>
      <c r="J275" s="193">
        <f t="shared" si="62"/>
        <v>0</v>
      </c>
      <c r="K275" s="193">
        <f t="shared" si="62"/>
        <v>0</v>
      </c>
      <c r="L275" s="193">
        <f t="shared" si="62"/>
        <v>0</v>
      </c>
      <c r="M275" s="193">
        <f t="shared" si="62"/>
        <v>0</v>
      </c>
      <c r="N275" s="193">
        <f t="shared" si="62"/>
        <v>0</v>
      </c>
      <c r="O275" s="193">
        <f t="shared" si="62"/>
        <v>0</v>
      </c>
      <c r="P275" s="194">
        <f t="shared" si="62"/>
        <v>0</v>
      </c>
      <c r="R275" s="193">
        <f>IFERROR(VLOOKUP(B275,원재료!B:AC,28,FALSE),0)</f>
        <v>0</v>
      </c>
    </row>
    <row r="276" spans="1:18" x14ac:dyDescent="0.3">
      <c r="A276" s="216"/>
      <c r="B276" s="83" t="s">
        <v>383</v>
      </c>
      <c r="C276" s="83" t="s">
        <v>285</v>
      </c>
      <c r="D276" s="210">
        <v>4.0000000000000001E-3</v>
      </c>
      <c r="E276" s="193">
        <f t="shared" si="63"/>
        <v>0</v>
      </c>
      <c r="F276" s="193">
        <f t="shared" si="62"/>
        <v>0</v>
      </c>
      <c r="G276" s="193">
        <f t="shared" si="62"/>
        <v>0</v>
      </c>
      <c r="H276" s="193">
        <f t="shared" si="62"/>
        <v>0</v>
      </c>
      <c r="I276" s="193">
        <f t="shared" si="62"/>
        <v>0</v>
      </c>
      <c r="J276" s="193">
        <f t="shared" si="62"/>
        <v>0</v>
      </c>
      <c r="K276" s="193">
        <f t="shared" si="62"/>
        <v>0</v>
      </c>
      <c r="L276" s="193">
        <f t="shared" si="62"/>
        <v>0</v>
      </c>
      <c r="M276" s="193">
        <f t="shared" si="62"/>
        <v>0</v>
      </c>
      <c r="N276" s="193">
        <f t="shared" si="62"/>
        <v>0</v>
      </c>
      <c r="O276" s="193">
        <f t="shared" si="62"/>
        <v>0</v>
      </c>
      <c r="P276" s="194">
        <f t="shared" si="62"/>
        <v>0</v>
      </c>
      <c r="R276" s="193">
        <f>IFERROR(VLOOKUP(B276,원재료!B:AC,28,FALSE),0)</f>
        <v>0</v>
      </c>
    </row>
    <row r="277" spans="1:18" x14ac:dyDescent="0.3">
      <c r="A277" s="216"/>
      <c r="B277" s="83" t="s">
        <v>404</v>
      </c>
      <c r="C277" s="83" t="s">
        <v>286</v>
      </c>
      <c r="D277" s="210">
        <v>4.0000000000000001E-3</v>
      </c>
      <c r="E277" s="193">
        <f t="shared" si="63"/>
        <v>0</v>
      </c>
      <c r="F277" s="193">
        <f t="shared" si="62"/>
        <v>0</v>
      </c>
      <c r="G277" s="193">
        <f t="shared" si="62"/>
        <v>0</v>
      </c>
      <c r="H277" s="193">
        <f t="shared" si="62"/>
        <v>0</v>
      </c>
      <c r="I277" s="193">
        <f t="shared" si="62"/>
        <v>0</v>
      </c>
      <c r="J277" s="193">
        <f t="shared" si="62"/>
        <v>0</v>
      </c>
      <c r="K277" s="193">
        <f t="shared" si="62"/>
        <v>0</v>
      </c>
      <c r="L277" s="193">
        <f t="shared" si="62"/>
        <v>0</v>
      </c>
      <c r="M277" s="193">
        <f t="shared" si="62"/>
        <v>0</v>
      </c>
      <c r="N277" s="193">
        <f t="shared" si="62"/>
        <v>0</v>
      </c>
      <c r="O277" s="193">
        <f t="shared" si="62"/>
        <v>0</v>
      </c>
      <c r="P277" s="194">
        <f t="shared" si="62"/>
        <v>0</v>
      </c>
      <c r="R277" s="193">
        <f>IFERROR(VLOOKUP(B277,원재료!B:AC,28,FALSE),0)</f>
        <v>0</v>
      </c>
    </row>
    <row r="278" spans="1:18" x14ac:dyDescent="0.3">
      <c r="A278" s="216"/>
      <c r="B278" s="83" t="s">
        <v>389</v>
      </c>
      <c r="C278" s="83" t="s">
        <v>256</v>
      </c>
      <c r="D278" s="210">
        <v>5.0000000000000001E-3</v>
      </c>
      <c r="E278" s="193">
        <f t="shared" si="63"/>
        <v>0</v>
      </c>
      <c r="F278" s="193">
        <f t="shared" si="62"/>
        <v>0</v>
      </c>
      <c r="G278" s="193">
        <f t="shared" si="62"/>
        <v>0</v>
      </c>
      <c r="H278" s="193">
        <f t="shared" si="62"/>
        <v>0</v>
      </c>
      <c r="I278" s="193">
        <f t="shared" si="62"/>
        <v>0</v>
      </c>
      <c r="J278" s="193">
        <f t="shared" si="62"/>
        <v>0</v>
      </c>
      <c r="K278" s="193">
        <f t="shared" si="62"/>
        <v>0</v>
      </c>
      <c r="L278" s="193">
        <f t="shared" si="62"/>
        <v>0</v>
      </c>
      <c r="M278" s="193">
        <f t="shared" si="62"/>
        <v>0</v>
      </c>
      <c r="N278" s="193">
        <f t="shared" si="62"/>
        <v>0</v>
      </c>
      <c r="O278" s="193">
        <f t="shared" si="62"/>
        <v>0</v>
      </c>
      <c r="P278" s="194">
        <f t="shared" si="62"/>
        <v>0</v>
      </c>
      <c r="R278" s="193">
        <f>IFERROR(VLOOKUP(B278,원재료!B:AC,28,FALSE),0)</f>
        <v>0</v>
      </c>
    </row>
    <row r="279" spans="1:18" x14ac:dyDescent="0.3">
      <c r="A279" s="216"/>
      <c r="B279" s="347" t="s">
        <v>405</v>
      </c>
      <c r="C279" s="347" t="s">
        <v>287</v>
      </c>
      <c r="D279" s="210">
        <v>5.9999999999999995E-4</v>
      </c>
      <c r="E279" s="193">
        <f t="shared" si="63"/>
        <v>0</v>
      </c>
      <c r="F279" s="193">
        <f t="shared" si="62"/>
        <v>0</v>
      </c>
      <c r="G279" s="193">
        <f t="shared" si="62"/>
        <v>0</v>
      </c>
      <c r="H279" s="193">
        <f t="shared" si="62"/>
        <v>0</v>
      </c>
      <c r="I279" s="193">
        <f t="shared" si="62"/>
        <v>0</v>
      </c>
      <c r="J279" s="193">
        <f t="shared" si="62"/>
        <v>0</v>
      </c>
      <c r="K279" s="193">
        <f t="shared" si="62"/>
        <v>0</v>
      </c>
      <c r="L279" s="193">
        <f t="shared" si="62"/>
        <v>0</v>
      </c>
      <c r="M279" s="193">
        <f t="shared" si="62"/>
        <v>0</v>
      </c>
      <c r="N279" s="193">
        <f t="shared" si="62"/>
        <v>0</v>
      </c>
      <c r="O279" s="193">
        <f t="shared" si="62"/>
        <v>0</v>
      </c>
      <c r="P279" s="194">
        <f t="shared" si="62"/>
        <v>0</v>
      </c>
      <c r="R279" s="193">
        <f>IFERROR(VLOOKUP(B279,원재료!B:AC,28,FALSE),0)</f>
        <v>0</v>
      </c>
    </row>
    <row r="280" spans="1:18" x14ac:dyDescent="0.3">
      <c r="A280" s="216"/>
      <c r="B280" s="83" t="s">
        <v>386</v>
      </c>
      <c r="C280" s="83" t="s">
        <v>288</v>
      </c>
      <c r="D280" s="210">
        <v>4.0000000000000001E-3</v>
      </c>
      <c r="E280" s="193">
        <f t="shared" si="63"/>
        <v>0</v>
      </c>
      <c r="F280" s="193">
        <f t="shared" ref="F280:P281" si="64">F$263*$D280</f>
        <v>0</v>
      </c>
      <c r="G280" s="193">
        <f t="shared" si="64"/>
        <v>0</v>
      </c>
      <c r="H280" s="193">
        <f t="shared" si="64"/>
        <v>0</v>
      </c>
      <c r="I280" s="193">
        <f t="shared" si="64"/>
        <v>0</v>
      </c>
      <c r="J280" s="193">
        <f t="shared" si="64"/>
        <v>0</v>
      </c>
      <c r="K280" s="193">
        <f t="shared" si="64"/>
        <v>0</v>
      </c>
      <c r="L280" s="193">
        <f t="shared" si="64"/>
        <v>0</v>
      </c>
      <c r="M280" s="193">
        <f t="shared" si="64"/>
        <v>0</v>
      </c>
      <c r="N280" s="193">
        <f t="shared" si="64"/>
        <v>0</v>
      </c>
      <c r="O280" s="193">
        <f t="shared" si="64"/>
        <v>0</v>
      </c>
      <c r="P280" s="194">
        <f t="shared" si="64"/>
        <v>0</v>
      </c>
      <c r="R280" s="193">
        <f>IFERROR(VLOOKUP(B280,원재료!B:AC,28,FALSE),0)</f>
        <v>0</v>
      </c>
    </row>
    <row r="281" spans="1:18" x14ac:dyDescent="0.3">
      <c r="A281" s="216"/>
      <c r="B281" s="347">
        <v>324581</v>
      </c>
      <c r="C281" s="347" t="s">
        <v>289</v>
      </c>
      <c r="D281" s="210">
        <v>1.18E-2</v>
      </c>
      <c r="E281" s="193">
        <f t="shared" si="63"/>
        <v>0</v>
      </c>
      <c r="F281" s="193">
        <f t="shared" si="64"/>
        <v>0</v>
      </c>
      <c r="G281" s="193">
        <f t="shared" si="64"/>
        <v>0</v>
      </c>
      <c r="H281" s="193">
        <f t="shared" si="64"/>
        <v>0</v>
      </c>
      <c r="I281" s="193">
        <f t="shared" si="64"/>
        <v>0</v>
      </c>
      <c r="J281" s="193">
        <f t="shared" si="64"/>
        <v>0</v>
      </c>
      <c r="K281" s="193">
        <f t="shared" si="64"/>
        <v>0</v>
      </c>
      <c r="L281" s="193">
        <f t="shared" si="64"/>
        <v>0</v>
      </c>
      <c r="M281" s="193">
        <f t="shared" si="64"/>
        <v>0</v>
      </c>
      <c r="N281" s="193">
        <f t="shared" si="64"/>
        <v>0</v>
      </c>
      <c r="O281" s="193">
        <f t="shared" si="64"/>
        <v>0</v>
      </c>
      <c r="P281" s="194">
        <f t="shared" si="64"/>
        <v>0</v>
      </c>
      <c r="R281" s="193">
        <f>IFERROR(VLOOKUP(B281,원재료!B:AC,28,FALSE),0)</f>
        <v>1</v>
      </c>
    </row>
    <row r="282" spans="1:18" x14ac:dyDescent="0.3">
      <c r="A282" s="216"/>
      <c r="B282" s="347">
        <v>324582</v>
      </c>
      <c r="C282" s="347" t="s">
        <v>290</v>
      </c>
      <c r="D282" s="210">
        <v>7.8000000000000005E-3</v>
      </c>
      <c r="E282" s="193">
        <f t="shared" ref="E282:P286" si="65">E$263*$D282</f>
        <v>0</v>
      </c>
      <c r="F282" s="193">
        <f t="shared" si="65"/>
        <v>0</v>
      </c>
      <c r="G282" s="193">
        <f t="shared" si="65"/>
        <v>0</v>
      </c>
      <c r="H282" s="193">
        <f t="shared" si="65"/>
        <v>0</v>
      </c>
      <c r="I282" s="193">
        <f t="shared" si="65"/>
        <v>0</v>
      </c>
      <c r="J282" s="193">
        <f t="shared" si="65"/>
        <v>0</v>
      </c>
      <c r="K282" s="193">
        <f t="shared" si="65"/>
        <v>0</v>
      </c>
      <c r="L282" s="193">
        <f t="shared" si="65"/>
        <v>0</v>
      </c>
      <c r="M282" s="193">
        <f t="shared" si="65"/>
        <v>0</v>
      </c>
      <c r="N282" s="193">
        <f t="shared" si="65"/>
        <v>0</v>
      </c>
      <c r="O282" s="193">
        <f t="shared" si="65"/>
        <v>0</v>
      </c>
      <c r="P282" s="194">
        <f t="shared" si="65"/>
        <v>0</v>
      </c>
      <c r="R282" s="193">
        <f>IFERROR(VLOOKUP(B282,원재료!B:AC,28,FALSE),0)</f>
        <v>1</v>
      </c>
    </row>
    <row r="283" spans="1:18" x14ac:dyDescent="0.3">
      <c r="A283" s="216"/>
      <c r="B283" s="83" t="s">
        <v>331</v>
      </c>
      <c r="C283" s="83" t="s">
        <v>213</v>
      </c>
      <c r="D283" s="210">
        <v>8.0000000000000002E-3</v>
      </c>
      <c r="E283" s="193">
        <f t="shared" si="65"/>
        <v>0</v>
      </c>
      <c r="F283" s="193">
        <f t="shared" si="65"/>
        <v>0</v>
      </c>
      <c r="G283" s="193">
        <f t="shared" si="65"/>
        <v>0</v>
      </c>
      <c r="H283" s="193">
        <f t="shared" si="65"/>
        <v>0</v>
      </c>
      <c r="I283" s="193">
        <f t="shared" si="65"/>
        <v>0</v>
      </c>
      <c r="J283" s="193">
        <f t="shared" si="65"/>
        <v>0</v>
      </c>
      <c r="K283" s="193">
        <f t="shared" si="65"/>
        <v>0</v>
      </c>
      <c r="L283" s="193">
        <f t="shared" si="65"/>
        <v>0</v>
      </c>
      <c r="M283" s="193">
        <f t="shared" si="65"/>
        <v>0</v>
      </c>
      <c r="N283" s="193">
        <f t="shared" si="65"/>
        <v>0</v>
      </c>
      <c r="O283" s="193">
        <f t="shared" si="65"/>
        <v>0</v>
      </c>
      <c r="P283" s="194">
        <f t="shared" si="65"/>
        <v>0</v>
      </c>
      <c r="R283" s="193">
        <f>IFERROR(VLOOKUP(B283,원재료!B:AC,28,FALSE),0)</f>
        <v>0</v>
      </c>
    </row>
    <row r="284" spans="1:18" x14ac:dyDescent="0.3">
      <c r="A284" s="216"/>
      <c r="B284" s="83" t="s">
        <v>406</v>
      </c>
      <c r="C284" s="83" t="s">
        <v>291</v>
      </c>
      <c r="D284" s="210">
        <v>0</v>
      </c>
      <c r="E284" s="193">
        <f t="shared" si="65"/>
        <v>0</v>
      </c>
      <c r="F284" s="193">
        <f t="shared" si="65"/>
        <v>0</v>
      </c>
      <c r="G284" s="193">
        <f t="shared" si="65"/>
        <v>0</v>
      </c>
      <c r="H284" s="193">
        <f t="shared" si="65"/>
        <v>0</v>
      </c>
      <c r="I284" s="193">
        <f t="shared" si="65"/>
        <v>0</v>
      </c>
      <c r="J284" s="193">
        <f t="shared" si="65"/>
        <v>0</v>
      </c>
      <c r="K284" s="193">
        <f t="shared" si="65"/>
        <v>0</v>
      </c>
      <c r="L284" s="193">
        <f t="shared" si="65"/>
        <v>0</v>
      </c>
      <c r="M284" s="193">
        <f t="shared" si="65"/>
        <v>0</v>
      </c>
      <c r="N284" s="193">
        <f t="shared" si="65"/>
        <v>0</v>
      </c>
      <c r="O284" s="193">
        <f t="shared" si="65"/>
        <v>0</v>
      </c>
      <c r="P284" s="194">
        <f t="shared" si="65"/>
        <v>0</v>
      </c>
      <c r="R284" s="193">
        <f>IFERROR(VLOOKUP(B284,원재료!B:AC,28,FALSE),0)</f>
        <v>0</v>
      </c>
    </row>
    <row r="285" spans="1:18" x14ac:dyDescent="0.3">
      <c r="A285" s="216"/>
      <c r="B285" s="83" t="s">
        <v>394</v>
      </c>
      <c r="C285" s="83" t="s">
        <v>264</v>
      </c>
      <c r="D285" s="210">
        <v>0</v>
      </c>
      <c r="E285" s="193">
        <f t="shared" si="65"/>
        <v>0</v>
      </c>
      <c r="F285" s="193">
        <f t="shared" si="65"/>
        <v>0</v>
      </c>
      <c r="G285" s="193">
        <f t="shared" si="65"/>
        <v>0</v>
      </c>
      <c r="H285" s="193">
        <f t="shared" si="65"/>
        <v>0</v>
      </c>
      <c r="I285" s="193">
        <f t="shared" si="65"/>
        <v>0</v>
      </c>
      <c r="J285" s="193">
        <f t="shared" si="65"/>
        <v>0</v>
      </c>
      <c r="K285" s="193">
        <f t="shared" si="65"/>
        <v>0</v>
      </c>
      <c r="L285" s="193">
        <f t="shared" si="65"/>
        <v>0</v>
      </c>
      <c r="M285" s="193">
        <f t="shared" si="65"/>
        <v>0</v>
      </c>
      <c r="N285" s="193">
        <f t="shared" si="65"/>
        <v>0</v>
      </c>
      <c r="O285" s="193">
        <f t="shared" si="65"/>
        <v>0</v>
      </c>
      <c r="P285" s="194">
        <f t="shared" si="65"/>
        <v>0</v>
      </c>
      <c r="R285" s="193">
        <f>IFERROR(VLOOKUP(B285,원재료!B:AC,28,FALSE),0)</f>
        <v>0</v>
      </c>
    </row>
    <row r="286" spans="1:18" ht="17.25" thickBot="1" x14ac:dyDescent="0.35">
      <c r="A286" s="217"/>
      <c r="B286" s="203" t="s">
        <v>407</v>
      </c>
      <c r="C286" s="203" t="s">
        <v>292</v>
      </c>
      <c r="D286" s="204">
        <v>0</v>
      </c>
      <c r="E286" s="201">
        <f t="shared" si="65"/>
        <v>0</v>
      </c>
      <c r="F286" s="201">
        <f t="shared" si="65"/>
        <v>0</v>
      </c>
      <c r="G286" s="201">
        <f t="shared" si="65"/>
        <v>0</v>
      </c>
      <c r="H286" s="201">
        <f t="shared" si="65"/>
        <v>0</v>
      </c>
      <c r="I286" s="201">
        <f t="shared" si="65"/>
        <v>0</v>
      </c>
      <c r="J286" s="201">
        <f t="shared" si="65"/>
        <v>0</v>
      </c>
      <c r="K286" s="201">
        <f t="shared" si="65"/>
        <v>0</v>
      </c>
      <c r="L286" s="201">
        <f t="shared" si="65"/>
        <v>0</v>
      </c>
      <c r="M286" s="201">
        <f t="shared" si="65"/>
        <v>0</v>
      </c>
      <c r="N286" s="201">
        <f t="shared" si="65"/>
        <v>0</v>
      </c>
      <c r="O286" s="201">
        <f t="shared" si="65"/>
        <v>0</v>
      </c>
      <c r="P286" s="202">
        <f t="shared" si="65"/>
        <v>0</v>
      </c>
      <c r="R286" s="193">
        <f>IFERROR(VLOOKUP(B286,원재료!B:AC,28,FALSE),0)</f>
        <v>0</v>
      </c>
    </row>
    <row r="287" spans="1:18" ht="17.25" thickBot="1" x14ac:dyDescent="0.35">
      <c r="A287" s="185">
        <v>326552</v>
      </c>
      <c r="B287" s="186"/>
      <c r="C287" s="187" t="s">
        <v>450</v>
      </c>
      <c r="D287" s="188">
        <f>SUM(D288:D294)</f>
        <v>1</v>
      </c>
      <c r="E287" s="189">
        <f>IFERROR(VLOOKUP($A287,완제품!$B:$CP,E$1,FALSE),0)</f>
        <v>0</v>
      </c>
      <c r="F287" s="189">
        <f>IFERROR(VLOOKUP($A287,완제품!$B:$CP,F$1,FALSE),0)</f>
        <v>0</v>
      </c>
      <c r="G287" s="189">
        <f>IFERROR(VLOOKUP($A287,완제품!$B:$CP,G$1,FALSE),0)</f>
        <v>0</v>
      </c>
      <c r="H287" s="189">
        <f>IFERROR(VLOOKUP($A287,완제품!$B:$CP,H$1,FALSE),0)</f>
        <v>0</v>
      </c>
      <c r="I287" s="189">
        <f>IFERROR(VLOOKUP($A287,완제품!$B:$CP,I$1,FALSE),0)</f>
        <v>0</v>
      </c>
      <c r="J287" s="189">
        <f>IFERROR(VLOOKUP($A287,완제품!$B:$CP,J$1,FALSE),0)</f>
        <v>0</v>
      </c>
      <c r="K287" s="189">
        <f>IFERROR(VLOOKUP($A287,완제품!$B:$CP,K$1,FALSE),0)</f>
        <v>0</v>
      </c>
      <c r="L287" s="189">
        <f>IFERROR(VLOOKUP($A287,완제품!$B:$CP,L$1,FALSE),0)</f>
        <v>0</v>
      </c>
      <c r="M287" s="189">
        <f>IFERROR(VLOOKUP($A287,완제품!$B:$CP,M$1,FALSE),0)</f>
        <v>0</v>
      </c>
      <c r="N287" s="189">
        <f>IFERROR(VLOOKUP($A287,완제품!$B:$CP,N$1,FALSE),0)</f>
        <v>0</v>
      </c>
      <c r="O287" s="189">
        <f>IFERROR(VLOOKUP($A287,완제품!$B:$CP,O$1,FALSE),0)</f>
        <v>0</v>
      </c>
      <c r="P287" s="189">
        <f>IFERROR(VLOOKUP($A287,완제품!$B:$CP,P$1,FALSE),0)</f>
        <v>0</v>
      </c>
    </row>
    <row r="288" spans="1:18" x14ac:dyDescent="0.3">
      <c r="A288" s="190"/>
      <c r="B288" s="191"/>
      <c r="C288" s="191" t="s">
        <v>451</v>
      </c>
      <c r="D288" s="192">
        <v>0.3826</v>
      </c>
      <c r="E288" s="193">
        <f>E$287*$D288</f>
        <v>0</v>
      </c>
      <c r="F288" s="193">
        <f t="shared" ref="F288:P296" si="66">F$287*$D288</f>
        <v>0</v>
      </c>
      <c r="G288" s="193">
        <f t="shared" si="66"/>
        <v>0</v>
      </c>
      <c r="H288" s="193">
        <f t="shared" si="66"/>
        <v>0</v>
      </c>
      <c r="I288" s="193">
        <f t="shared" si="66"/>
        <v>0</v>
      </c>
      <c r="J288" s="193">
        <f t="shared" si="66"/>
        <v>0</v>
      </c>
      <c r="K288" s="193">
        <f t="shared" si="66"/>
        <v>0</v>
      </c>
      <c r="L288" s="193">
        <f t="shared" si="66"/>
        <v>0</v>
      </c>
      <c r="M288" s="193">
        <f t="shared" si="66"/>
        <v>0</v>
      </c>
      <c r="N288" s="193">
        <f t="shared" si="66"/>
        <v>0</v>
      </c>
      <c r="O288" s="193">
        <f t="shared" si="66"/>
        <v>0</v>
      </c>
      <c r="P288" s="194">
        <f t="shared" si="66"/>
        <v>0</v>
      </c>
    </row>
    <row r="289" spans="1:16" x14ac:dyDescent="0.3">
      <c r="A289" s="195"/>
      <c r="B289" s="196"/>
      <c r="C289" s="196" t="s">
        <v>452</v>
      </c>
      <c r="D289" s="197">
        <v>0.15939999999999999</v>
      </c>
      <c r="E289" s="193">
        <f t="shared" ref="E289:E296" si="67">E$287*$D289</f>
        <v>0</v>
      </c>
      <c r="F289" s="193">
        <f t="shared" si="66"/>
        <v>0</v>
      </c>
      <c r="G289" s="193">
        <f t="shared" si="66"/>
        <v>0</v>
      </c>
      <c r="H289" s="193">
        <f t="shared" si="66"/>
        <v>0</v>
      </c>
      <c r="I289" s="193">
        <f t="shared" si="66"/>
        <v>0</v>
      </c>
      <c r="J289" s="193">
        <f t="shared" si="66"/>
        <v>0</v>
      </c>
      <c r="K289" s="193">
        <f t="shared" si="66"/>
        <v>0</v>
      </c>
      <c r="L289" s="193">
        <f t="shared" si="66"/>
        <v>0</v>
      </c>
      <c r="M289" s="193">
        <f t="shared" si="66"/>
        <v>0</v>
      </c>
      <c r="N289" s="193">
        <f t="shared" si="66"/>
        <v>0</v>
      </c>
      <c r="O289" s="193">
        <f t="shared" si="66"/>
        <v>0</v>
      </c>
      <c r="P289" s="194">
        <f t="shared" si="66"/>
        <v>0</v>
      </c>
    </row>
    <row r="290" spans="1:16" x14ac:dyDescent="0.3">
      <c r="A290" s="195"/>
      <c r="B290" s="196"/>
      <c r="C290" s="196" t="s">
        <v>453</v>
      </c>
      <c r="D290" s="197">
        <v>0.13389999999999999</v>
      </c>
      <c r="E290" s="193">
        <f t="shared" si="67"/>
        <v>0</v>
      </c>
      <c r="F290" s="193">
        <f t="shared" si="66"/>
        <v>0</v>
      </c>
      <c r="G290" s="193">
        <f t="shared" si="66"/>
        <v>0</v>
      </c>
      <c r="H290" s="193">
        <f t="shared" si="66"/>
        <v>0</v>
      </c>
      <c r="I290" s="193">
        <f t="shared" si="66"/>
        <v>0</v>
      </c>
      <c r="J290" s="193">
        <f t="shared" si="66"/>
        <v>0</v>
      </c>
      <c r="K290" s="193">
        <f t="shared" si="66"/>
        <v>0</v>
      </c>
      <c r="L290" s="193">
        <f t="shared" si="66"/>
        <v>0</v>
      </c>
      <c r="M290" s="193">
        <f t="shared" si="66"/>
        <v>0</v>
      </c>
      <c r="N290" s="193">
        <f t="shared" si="66"/>
        <v>0</v>
      </c>
      <c r="O290" s="193">
        <f t="shared" si="66"/>
        <v>0</v>
      </c>
      <c r="P290" s="194">
        <f t="shared" si="66"/>
        <v>0</v>
      </c>
    </row>
    <row r="291" spans="1:16" x14ac:dyDescent="0.3">
      <c r="A291" s="195"/>
      <c r="B291" s="196"/>
      <c r="C291" s="196" t="s">
        <v>454</v>
      </c>
      <c r="D291" s="197">
        <v>5.3E-3</v>
      </c>
      <c r="E291" s="193">
        <f t="shared" si="67"/>
        <v>0</v>
      </c>
      <c r="F291" s="193">
        <f t="shared" si="66"/>
        <v>0</v>
      </c>
      <c r="G291" s="193">
        <f t="shared" si="66"/>
        <v>0</v>
      </c>
      <c r="H291" s="193">
        <f t="shared" si="66"/>
        <v>0</v>
      </c>
      <c r="I291" s="193">
        <f t="shared" si="66"/>
        <v>0</v>
      </c>
      <c r="J291" s="193">
        <f t="shared" si="66"/>
        <v>0</v>
      </c>
      <c r="K291" s="193">
        <f t="shared" si="66"/>
        <v>0</v>
      </c>
      <c r="L291" s="193">
        <f t="shared" si="66"/>
        <v>0</v>
      </c>
      <c r="M291" s="193">
        <f t="shared" si="66"/>
        <v>0</v>
      </c>
      <c r="N291" s="193">
        <f t="shared" si="66"/>
        <v>0</v>
      </c>
      <c r="O291" s="193">
        <f t="shared" si="66"/>
        <v>0</v>
      </c>
      <c r="P291" s="194">
        <f t="shared" si="66"/>
        <v>0</v>
      </c>
    </row>
    <row r="292" spans="1:16" x14ac:dyDescent="0.3">
      <c r="A292" s="195"/>
      <c r="B292" s="196"/>
      <c r="C292" s="196" t="s">
        <v>455</v>
      </c>
      <c r="D292" s="197">
        <v>0.27100000000000002</v>
      </c>
      <c r="E292" s="193">
        <f t="shared" si="67"/>
        <v>0</v>
      </c>
      <c r="F292" s="193">
        <f t="shared" si="66"/>
        <v>0</v>
      </c>
      <c r="G292" s="193">
        <f t="shared" si="66"/>
        <v>0</v>
      </c>
      <c r="H292" s="193">
        <f t="shared" si="66"/>
        <v>0</v>
      </c>
      <c r="I292" s="193">
        <f t="shared" si="66"/>
        <v>0</v>
      </c>
      <c r="J292" s="193">
        <f t="shared" si="66"/>
        <v>0</v>
      </c>
      <c r="K292" s="193">
        <f t="shared" si="66"/>
        <v>0</v>
      </c>
      <c r="L292" s="193">
        <f t="shared" si="66"/>
        <v>0</v>
      </c>
      <c r="M292" s="193">
        <f t="shared" si="66"/>
        <v>0</v>
      </c>
      <c r="N292" s="193">
        <f t="shared" si="66"/>
        <v>0</v>
      </c>
      <c r="O292" s="193">
        <f t="shared" si="66"/>
        <v>0</v>
      </c>
      <c r="P292" s="194">
        <f t="shared" si="66"/>
        <v>0</v>
      </c>
    </row>
    <row r="293" spans="1:16" x14ac:dyDescent="0.3">
      <c r="A293" s="195"/>
      <c r="C293" s="83" t="s">
        <v>456</v>
      </c>
      <c r="D293" s="210">
        <v>3.0300000000000001E-2</v>
      </c>
      <c r="E293" s="193">
        <f t="shared" si="67"/>
        <v>0</v>
      </c>
      <c r="F293" s="193">
        <f t="shared" si="66"/>
        <v>0</v>
      </c>
      <c r="G293" s="193">
        <f t="shared" si="66"/>
        <v>0</v>
      </c>
      <c r="H293" s="193">
        <f t="shared" si="66"/>
        <v>0</v>
      </c>
      <c r="I293" s="193">
        <f t="shared" si="66"/>
        <v>0</v>
      </c>
      <c r="J293" s="193">
        <f t="shared" si="66"/>
        <v>0</v>
      </c>
      <c r="K293" s="193">
        <f t="shared" si="66"/>
        <v>0</v>
      </c>
      <c r="L293" s="193">
        <f t="shared" si="66"/>
        <v>0</v>
      </c>
      <c r="M293" s="193">
        <f t="shared" si="66"/>
        <v>0</v>
      </c>
      <c r="N293" s="193">
        <f t="shared" si="66"/>
        <v>0</v>
      </c>
      <c r="O293" s="193">
        <f t="shared" si="66"/>
        <v>0</v>
      </c>
      <c r="P293" s="194">
        <f t="shared" si="66"/>
        <v>0</v>
      </c>
    </row>
    <row r="294" spans="1:16" x14ac:dyDescent="0.3">
      <c r="A294" s="216"/>
      <c r="C294" s="83" t="s">
        <v>457</v>
      </c>
      <c r="D294" s="210">
        <v>1.7500000000000002E-2</v>
      </c>
      <c r="E294" s="193">
        <f t="shared" si="67"/>
        <v>0</v>
      </c>
      <c r="F294" s="193">
        <f t="shared" si="66"/>
        <v>0</v>
      </c>
      <c r="G294" s="193">
        <f t="shared" si="66"/>
        <v>0</v>
      </c>
      <c r="H294" s="193">
        <f t="shared" si="66"/>
        <v>0</v>
      </c>
      <c r="I294" s="193">
        <f t="shared" si="66"/>
        <v>0</v>
      </c>
      <c r="J294" s="193">
        <f t="shared" si="66"/>
        <v>0</v>
      </c>
      <c r="K294" s="193">
        <f t="shared" si="66"/>
        <v>0</v>
      </c>
      <c r="L294" s="193">
        <f t="shared" si="66"/>
        <v>0</v>
      </c>
      <c r="M294" s="193">
        <f t="shared" si="66"/>
        <v>0</v>
      </c>
      <c r="N294" s="193">
        <f t="shared" si="66"/>
        <v>0</v>
      </c>
      <c r="O294" s="193">
        <f t="shared" si="66"/>
        <v>0</v>
      </c>
      <c r="P294" s="194">
        <f t="shared" si="66"/>
        <v>0</v>
      </c>
    </row>
    <row r="295" spans="1:16" x14ac:dyDescent="0.3">
      <c r="A295" s="216"/>
      <c r="C295" s="83" t="s">
        <v>458</v>
      </c>
      <c r="D295" s="210">
        <v>0.01</v>
      </c>
      <c r="E295" s="193">
        <f t="shared" si="67"/>
        <v>0</v>
      </c>
      <c r="F295" s="193">
        <f t="shared" si="66"/>
        <v>0</v>
      </c>
      <c r="G295" s="193">
        <f t="shared" si="66"/>
        <v>0</v>
      </c>
      <c r="H295" s="193">
        <f t="shared" si="66"/>
        <v>0</v>
      </c>
      <c r="I295" s="193">
        <f t="shared" si="66"/>
        <v>0</v>
      </c>
      <c r="J295" s="193">
        <f t="shared" si="66"/>
        <v>0</v>
      </c>
      <c r="K295" s="193">
        <f t="shared" si="66"/>
        <v>0</v>
      </c>
      <c r="L295" s="193">
        <f t="shared" si="66"/>
        <v>0</v>
      </c>
      <c r="M295" s="193">
        <f t="shared" si="66"/>
        <v>0</v>
      </c>
      <c r="N295" s="193">
        <f t="shared" si="66"/>
        <v>0</v>
      </c>
      <c r="O295" s="193">
        <f t="shared" si="66"/>
        <v>0</v>
      </c>
      <c r="P295" s="194">
        <f t="shared" si="66"/>
        <v>0</v>
      </c>
    </row>
    <row r="296" spans="1:16" ht="17.25" thickBot="1" x14ac:dyDescent="0.35">
      <c r="A296" s="217"/>
      <c r="B296" s="203"/>
      <c r="C296" s="203" t="s">
        <v>459</v>
      </c>
      <c r="D296" s="204">
        <v>1E-3</v>
      </c>
      <c r="E296" s="201">
        <f t="shared" si="67"/>
        <v>0</v>
      </c>
      <c r="F296" s="201">
        <f t="shared" si="66"/>
        <v>0</v>
      </c>
      <c r="G296" s="201">
        <f t="shared" si="66"/>
        <v>0</v>
      </c>
      <c r="H296" s="201">
        <f t="shared" si="66"/>
        <v>0</v>
      </c>
      <c r="I296" s="201">
        <f t="shared" si="66"/>
        <v>0</v>
      </c>
      <c r="J296" s="201">
        <f t="shared" si="66"/>
        <v>0</v>
      </c>
      <c r="K296" s="201">
        <f t="shared" si="66"/>
        <v>0</v>
      </c>
      <c r="L296" s="201">
        <f t="shared" si="66"/>
        <v>0</v>
      </c>
      <c r="M296" s="201">
        <f t="shared" si="66"/>
        <v>0</v>
      </c>
      <c r="N296" s="201">
        <f t="shared" si="66"/>
        <v>0</v>
      </c>
      <c r="O296" s="201">
        <f t="shared" si="66"/>
        <v>0</v>
      </c>
      <c r="P296" s="202">
        <f t="shared" si="66"/>
        <v>0</v>
      </c>
    </row>
    <row r="297" spans="1:16" ht="17.25" thickBot="1" x14ac:dyDescent="0.35">
      <c r="A297" s="185">
        <v>326323</v>
      </c>
      <c r="B297" s="186"/>
      <c r="C297" s="187" t="s">
        <v>460</v>
      </c>
      <c r="D297" s="188">
        <f>SUM(D298:D322)</f>
        <v>1.0000000000000002</v>
      </c>
      <c r="E297" s="189">
        <f>IFERROR(VLOOKUP($A297,완제품!$B:$CP,E$1,FALSE),0)</f>
        <v>0</v>
      </c>
      <c r="F297" s="189">
        <f>IFERROR(VLOOKUP($A297,완제품!$B:$CP,F$1,FALSE),0)</f>
        <v>0</v>
      </c>
      <c r="G297" s="189">
        <f>IFERROR(VLOOKUP($A297,완제품!$B:$CP,G$1,FALSE),0)</f>
        <v>0</v>
      </c>
      <c r="H297" s="189">
        <f>IFERROR(VLOOKUP($A297,완제품!$B:$CP,H$1,FALSE),0)</f>
        <v>0</v>
      </c>
      <c r="I297" s="189">
        <f>IFERROR(VLOOKUP($A297,완제품!$B:$CP,I$1,FALSE),0)</f>
        <v>0</v>
      </c>
      <c r="J297" s="189">
        <f>IFERROR(VLOOKUP($A297,완제품!$B:$CP,J$1,FALSE),0)</f>
        <v>0</v>
      </c>
      <c r="K297" s="189">
        <f>IFERROR(VLOOKUP($A297,완제품!$B:$CP,K$1,FALSE),0)</f>
        <v>0</v>
      </c>
      <c r="L297" s="189">
        <f>IFERROR(VLOOKUP($A297,완제품!$B:$CP,L$1,FALSE),0)</f>
        <v>0</v>
      </c>
      <c r="M297" s="189">
        <f>IFERROR(VLOOKUP($A297,완제품!$B:$CP,M$1,FALSE),0)</f>
        <v>0</v>
      </c>
      <c r="N297" s="189">
        <f>IFERROR(VLOOKUP($A297,완제품!$B:$CP,N$1,FALSE),0)</f>
        <v>0</v>
      </c>
      <c r="O297" s="189">
        <f>IFERROR(VLOOKUP($A297,완제품!$B:$CP,O$1,FALSE),0)</f>
        <v>0</v>
      </c>
      <c r="P297" s="189">
        <f>IFERROR(VLOOKUP($A297,완제품!$B:$CP,P$1,FALSE),0)</f>
        <v>0</v>
      </c>
    </row>
    <row r="298" spans="1:16" x14ac:dyDescent="0.3">
      <c r="A298" s="190"/>
      <c r="B298" s="191" t="s">
        <v>325</v>
      </c>
      <c r="C298" s="191" t="s">
        <v>171</v>
      </c>
      <c r="D298" s="192">
        <v>0.16700000000000001</v>
      </c>
      <c r="E298" s="193">
        <f t="shared" ref="E298:E314" si="68">E$297*$D298</f>
        <v>0</v>
      </c>
      <c r="F298" s="193">
        <f t="shared" ref="F298:P313" si="69">F$297*$D298</f>
        <v>0</v>
      </c>
      <c r="G298" s="193">
        <f t="shared" si="69"/>
        <v>0</v>
      </c>
      <c r="H298" s="193">
        <f t="shared" si="69"/>
        <v>0</v>
      </c>
      <c r="I298" s="193">
        <f t="shared" si="69"/>
        <v>0</v>
      </c>
      <c r="J298" s="193">
        <f t="shared" si="69"/>
        <v>0</v>
      </c>
      <c r="K298" s="193">
        <f t="shared" si="69"/>
        <v>0</v>
      </c>
      <c r="L298" s="193">
        <f t="shared" si="69"/>
        <v>0</v>
      </c>
      <c r="M298" s="193">
        <f t="shared" si="69"/>
        <v>0</v>
      </c>
      <c r="N298" s="193">
        <f t="shared" si="69"/>
        <v>0</v>
      </c>
      <c r="O298" s="193">
        <f t="shared" si="69"/>
        <v>0</v>
      </c>
      <c r="P298" s="194">
        <f t="shared" si="69"/>
        <v>0</v>
      </c>
    </row>
    <row r="299" spans="1:16" x14ac:dyDescent="0.3">
      <c r="A299" s="195"/>
      <c r="B299" s="196" t="s">
        <v>361</v>
      </c>
      <c r="C299" s="196" t="s">
        <v>293</v>
      </c>
      <c r="D299" s="197">
        <v>7.8E-2</v>
      </c>
      <c r="E299" s="193">
        <f t="shared" si="68"/>
        <v>0</v>
      </c>
      <c r="F299" s="193">
        <f t="shared" si="69"/>
        <v>0</v>
      </c>
      <c r="G299" s="193">
        <f t="shared" si="69"/>
        <v>0</v>
      </c>
      <c r="H299" s="193">
        <f t="shared" si="69"/>
        <v>0</v>
      </c>
      <c r="I299" s="193">
        <f t="shared" si="69"/>
        <v>0</v>
      </c>
      <c r="J299" s="193">
        <f t="shared" si="69"/>
        <v>0</v>
      </c>
      <c r="K299" s="193">
        <f t="shared" si="69"/>
        <v>0</v>
      </c>
      <c r="L299" s="193">
        <f t="shared" si="69"/>
        <v>0</v>
      </c>
      <c r="M299" s="193">
        <f t="shared" si="69"/>
        <v>0</v>
      </c>
      <c r="N299" s="193">
        <f t="shared" si="69"/>
        <v>0</v>
      </c>
      <c r="O299" s="193">
        <f t="shared" si="69"/>
        <v>0</v>
      </c>
      <c r="P299" s="194">
        <f t="shared" si="69"/>
        <v>0</v>
      </c>
    </row>
    <row r="300" spans="1:16" x14ac:dyDescent="0.3">
      <c r="A300" s="195"/>
      <c r="B300" s="196" t="s">
        <v>354</v>
      </c>
      <c r="C300" s="196" t="s">
        <v>189</v>
      </c>
      <c r="D300" s="197">
        <v>7.6999999999999999E-2</v>
      </c>
      <c r="E300" s="193">
        <f t="shared" si="68"/>
        <v>0</v>
      </c>
      <c r="F300" s="193">
        <f t="shared" si="69"/>
        <v>0</v>
      </c>
      <c r="G300" s="193">
        <f t="shared" si="69"/>
        <v>0</v>
      </c>
      <c r="H300" s="193">
        <f t="shared" si="69"/>
        <v>0</v>
      </c>
      <c r="I300" s="193">
        <f t="shared" si="69"/>
        <v>0</v>
      </c>
      <c r="J300" s="193">
        <f t="shared" si="69"/>
        <v>0</v>
      </c>
      <c r="K300" s="193">
        <f t="shared" si="69"/>
        <v>0</v>
      </c>
      <c r="L300" s="193">
        <f t="shared" si="69"/>
        <v>0</v>
      </c>
      <c r="M300" s="193">
        <f t="shared" si="69"/>
        <v>0</v>
      </c>
      <c r="N300" s="193">
        <f t="shared" si="69"/>
        <v>0</v>
      </c>
      <c r="O300" s="193">
        <f t="shared" si="69"/>
        <v>0</v>
      </c>
      <c r="P300" s="194">
        <f t="shared" si="69"/>
        <v>0</v>
      </c>
    </row>
    <row r="301" spans="1:16" x14ac:dyDescent="0.3">
      <c r="A301" s="195"/>
      <c r="B301" s="196" t="s">
        <v>390</v>
      </c>
      <c r="C301" s="196" t="s">
        <v>257</v>
      </c>
      <c r="D301" s="197">
        <v>0.05</v>
      </c>
      <c r="E301" s="193">
        <f t="shared" si="68"/>
        <v>0</v>
      </c>
      <c r="F301" s="193">
        <f t="shared" si="69"/>
        <v>0</v>
      </c>
      <c r="G301" s="193">
        <f t="shared" si="69"/>
        <v>0</v>
      </c>
      <c r="H301" s="193">
        <f t="shared" si="69"/>
        <v>0</v>
      </c>
      <c r="I301" s="193">
        <f t="shared" si="69"/>
        <v>0</v>
      </c>
      <c r="J301" s="193">
        <f t="shared" si="69"/>
        <v>0</v>
      </c>
      <c r="K301" s="193">
        <f t="shared" si="69"/>
        <v>0</v>
      </c>
      <c r="L301" s="193">
        <f t="shared" si="69"/>
        <v>0</v>
      </c>
      <c r="M301" s="193">
        <f t="shared" si="69"/>
        <v>0</v>
      </c>
      <c r="N301" s="193">
        <f t="shared" si="69"/>
        <v>0</v>
      </c>
      <c r="O301" s="193">
        <f t="shared" si="69"/>
        <v>0</v>
      </c>
      <c r="P301" s="194">
        <f t="shared" si="69"/>
        <v>0</v>
      </c>
    </row>
    <row r="302" spans="1:16" x14ac:dyDescent="0.3">
      <c r="A302" s="195"/>
      <c r="B302" s="196" t="s">
        <v>408</v>
      </c>
      <c r="C302" s="196" t="s">
        <v>294</v>
      </c>
      <c r="D302" s="197">
        <v>4.0000000000000001E-3</v>
      </c>
      <c r="E302" s="193">
        <f t="shared" si="68"/>
        <v>0</v>
      </c>
      <c r="F302" s="193">
        <f t="shared" si="69"/>
        <v>0</v>
      </c>
      <c r="G302" s="193">
        <f t="shared" si="69"/>
        <v>0</v>
      </c>
      <c r="H302" s="193">
        <f t="shared" si="69"/>
        <v>0</v>
      </c>
      <c r="I302" s="193">
        <f t="shared" si="69"/>
        <v>0</v>
      </c>
      <c r="J302" s="193">
        <f t="shared" si="69"/>
        <v>0</v>
      </c>
      <c r="K302" s="193">
        <f t="shared" si="69"/>
        <v>0</v>
      </c>
      <c r="L302" s="193">
        <f t="shared" si="69"/>
        <v>0</v>
      </c>
      <c r="M302" s="193">
        <f t="shared" si="69"/>
        <v>0</v>
      </c>
      <c r="N302" s="193">
        <f t="shared" si="69"/>
        <v>0</v>
      </c>
      <c r="O302" s="193">
        <f t="shared" si="69"/>
        <v>0</v>
      </c>
      <c r="P302" s="194">
        <f t="shared" si="69"/>
        <v>0</v>
      </c>
    </row>
    <row r="303" spans="1:16" x14ac:dyDescent="0.3">
      <c r="A303" s="195"/>
      <c r="B303" s="83" t="s">
        <v>409</v>
      </c>
      <c r="C303" s="83" t="s">
        <v>295</v>
      </c>
      <c r="D303" s="210">
        <v>2E-3</v>
      </c>
      <c r="E303" s="193">
        <f t="shared" si="68"/>
        <v>0</v>
      </c>
      <c r="F303" s="193">
        <f t="shared" si="69"/>
        <v>0</v>
      </c>
      <c r="G303" s="193">
        <f t="shared" si="69"/>
        <v>0</v>
      </c>
      <c r="H303" s="193">
        <f t="shared" si="69"/>
        <v>0</v>
      </c>
      <c r="I303" s="193">
        <f t="shared" si="69"/>
        <v>0</v>
      </c>
      <c r="J303" s="193">
        <f t="shared" si="69"/>
        <v>0</v>
      </c>
      <c r="K303" s="193">
        <f t="shared" si="69"/>
        <v>0</v>
      </c>
      <c r="L303" s="193">
        <f t="shared" si="69"/>
        <v>0</v>
      </c>
      <c r="M303" s="193">
        <f t="shared" si="69"/>
        <v>0</v>
      </c>
      <c r="N303" s="193">
        <f t="shared" si="69"/>
        <v>0</v>
      </c>
      <c r="O303" s="193">
        <f t="shared" si="69"/>
        <v>0</v>
      </c>
      <c r="P303" s="194">
        <f t="shared" si="69"/>
        <v>0</v>
      </c>
    </row>
    <row r="304" spans="1:16" x14ac:dyDescent="0.3">
      <c r="A304" s="216"/>
      <c r="B304" s="83" t="s">
        <v>385</v>
      </c>
      <c r="C304" s="83" t="s">
        <v>268</v>
      </c>
      <c r="D304" s="210">
        <v>0.08</v>
      </c>
      <c r="E304" s="193">
        <f t="shared" si="68"/>
        <v>0</v>
      </c>
      <c r="F304" s="193">
        <f t="shared" si="69"/>
        <v>0</v>
      </c>
      <c r="G304" s="193">
        <f t="shared" si="69"/>
        <v>0</v>
      </c>
      <c r="H304" s="193">
        <f t="shared" si="69"/>
        <v>0</v>
      </c>
      <c r="I304" s="193">
        <f t="shared" si="69"/>
        <v>0</v>
      </c>
      <c r="J304" s="193">
        <f t="shared" si="69"/>
        <v>0</v>
      </c>
      <c r="K304" s="193">
        <f t="shared" si="69"/>
        <v>0</v>
      </c>
      <c r="L304" s="193">
        <f t="shared" si="69"/>
        <v>0</v>
      </c>
      <c r="M304" s="193">
        <f t="shared" si="69"/>
        <v>0</v>
      </c>
      <c r="N304" s="193">
        <f t="shared" si="69"/>
        <v>0</v>
      </c>
      <c r="O304" s="193">
        <f t="shared" si="69"/>
        <v>0</v>
      </c>
      <c r="P304" s="194">
        <f t="shared" si="69"/>
        <v>0</v>
      </c>
    </row>
    <row r="305" spans="1:16" x14ac:dyDescent="0.3">
      <c r="A305" s="216"/>
      <c r="B305" s="83" t="s">
        <v>380</v>
      </c>
      <c r="C305" s="83" t="s">
        <v>78</v>
      </c>
      <c r="D305" s="210">
        <v>1.6E-2</v>
      </c>
      <c r="E305" s="193">
        <f t="shared" si="68"/>
        <v>0</v>
      </c>
      <c r="F305" s="193">
        <f t="shared" si="69"/>
        <v>0</v>
      </c>
      <c r="G305" s="193">
        <f t="shared" si="69"/>
        <v>0</v>
      </c>
      <c r="H305" s="193">
        <f t="shared" si="69"/>
        <v>0</v>
      </c>
      <c r="I305" s="193">
        <f t="shared" si="69"/>
        <v>0</v>
      </c>
      <c r="J305" s="193">
        <f t="shared" si="69"/>
        <v>0</v>
      </c>
      <c r="K305" s="193">
        <f t="shared" si="69"/>
        <v>0</v>
      </c>
      <c r="L305" s="193">
        <f t="shared" si="69"/>
        <v>0</v>
      </c>
      <c r="M305" s="193">
        <f t="shared" si="69"/>
        <v>0</v>
      </c>
      <c r="N305" s="193">
        <f t="shared" si="69"/>
        <v>0</v>
      </c>
      <c r="O305" s="193">
        <f t="shared" si="69"/>
        <v>0</v>
      </c>
      <c r="P305" s="194">
        <f t="shared" si="69"/>
        <v>0</v>
      </c>
    </row>
    <row r="306" spans="1:16" x14ac:dyDescent="0.3">
      <c r="A306" s="216"/>
      <c r="B306" s="83" t="s">
        <v>410</v>
      </c>
      <c r="C306" s="83" t="s">
        <v>296</v>
      </c>
      <c r="D306" s="210">
        <v>0.08</v>
      </c>
      <c r="E306" s="193">
        <f t="shared" si="68"/>
        <v>0</v>
      </c>
      <c r="F306" s="193">
        <f t="shared" si="69"/>
        <v>0</v>
      </c>
      <c r="G306" s="193">
        <f t="shared" si="69"/>
        <v>0</v>
      </c>
      <c r="H306" s="193">
        <f t="shared" si="69"/>
        <v>0</v>
      </c>
      <c r="I306" s="193">
        <f t="shared" si="69"/>
        <v>0</v>
      </c>
      <c r="J306" s="193">
        <f t="shared" si="69"/>
        <v>0</v>
      </c>
      <c r="K306" s="193">
        <f t="shared" si="69"/>
        <v>0</v>
      </c>
      <c r="L306" s="193">
        <f t="shared" si="69"/>
        <v>0</v>
      </c>
      <c r="M306" s="193">
        <f t="shared" si="69"/>
        <v>0</v>
      </c>
      <c r="N306" s="193">
        <f t="shared" si="69"/>
        <v>0</v>
      </c>
      <c r="O306" s="193">
        <f t="shared" si="69"/>
        <v>0</v>
      </c>
      <c r="P306" s="194">
        <f t="shared" si="69"/>
        <v>0</v>
      </c>
    </row>
    <row r="307" spans="1:16" x14ac:dyDescent="0.3">
      <c r="A307" s="216"/>
      <c r="B307" s="83" t="s">
        <v>325</v>
      </c>
      <c r="C307" s="83" t="s">
        <v>171</v>
      </c>
      <c r="D307" s="210">
        <v>0.35160000000000002</v>
      </c>
      <c r="E307" s="193">
        <f t="shared" si="68"/>
        <v>0</v>
      </c>
      <c r="F307" s="193">
        <f t="shared" si="69"/>
        <v>0</v>
      </c>
      <c r="G307" s="193">
        <f t="shared" si="69"/>
        <v>0</v>
      </c>
      <c r="H307" s="193">
        <f t="shared" si="69"/>
        <v>0</v>
      </c>
      <c r="I307" s="193">
        <f t="shared" si="69"/>
        <v>0</v>
      </c>
      <c r="J307" s="193">
        <f t="shared" si="69"/>
        <v>0</v>
      </c>
      <c r="K307" s="193">
        <f t="shared" si="69"/>
        <v>0</v>
      </c>
      <c r="L307" s="193">
        <f t="shared" si="69"/>
        <v>0</v>
      </c>
      <c r="M307" s="193">
        <f t="shared" si="69"/>
        <v>0</v>
      </c>
      <c r="N307" s="193">
        <f t="shared" si="69"/>
        <v>0</v>
      </c>
      <c r="O307" s="193">
        <f t="shared" si="69"/>
        <v>0</v>
      </c>
      <c r="P307" s="194">
        <f t="shared" si="69"/>
        <v>0</v>
      </c>
    </row>
    <row r="308" spans="1:16" x14ac:dyDescent="0.3">
      <c r="A308" s="216"/>
      <c r="B308" s="83" t="s">
        <v>411</v>
      </c>
      <c r="C308" s="83" t="s">
        <v>80</v>
      </c>
      <c r="D308" s="210">
        <v>0.01</v>
      </c>
      <c r="E308" s="193">
        <f t="shared" si="68"/>
        <v>0</v>
      </c>
      <c r="F308" s="193">
        <f t="shared" si="69"/>
        <v>0</v>
      </c>
      <c r="G308" s="193">
        <f t="shared" si="69"/>
        <v>0</v>
      </c>
      <c r="H308" s="193">
        <f t="shared" si="69"/>
        <v>0</v>
      </c>
      <c r="I308" s="193">
        <f t="shared" si="69"/>
        <v>0</v>
      </c>
      <c r="J308" s="193">
        <f t="shared" si="69"/>
        <v>0</v>
      </c>
      <c r="K308" s="193">
        <f t="shared" si="69"/>
        <v>0</v>
      </c>
      <c r="L308" s="193">
        <f t="shared" si="69"/>
        <v>0</v>
      </c>
      <c r="M308" s="193">
        <f t="shared" si="69"/>
        <v>0</v>
      </c>
      <c r="N308" s="193">
        <f t="shared" si="69"/>
        <v>0</v>
      </c>
      <c r="O308" s="193">
        <f t="shared" si="69"/>
        <v>0</v>
      </c>
      <c r="P308" s="194">
        <f t="shared" si="69"/>
        <v>0</v>
      </c>
    </row>
    <row r="309" spans="1:16" x14ac:dyDescent="0.3">
      <c r="A309" s="216"/>
      <c r="B309" s="83" t="s">
        <v>381</v>
      </c>
      <c r="C309" s="83" t="s">
        <v>297</v>
      </c>
      <c r="D309" s="210">
        <v>1.7999999999999999E-2</v>
      </c>
      <c r="E309" s="193">
        <f t="shared" si="68"/>
        <v>0</v>
      </c>
      <c r="F309" s="193">
        <f t="shared" si="69"/>
        <v>0</v>
      </c>
      <c r="G309" s="193">
        <f t="shared" si="69"/>
        <v>0</v>
      </c>
      <c r="H309" s="193">
        <f t="shared" si="69"/>
        <v>0</v>
      </c>
      <c r="I309" s="193">
        <f t="shared" si="69"/>
        <v>0</v>
      </c>
      <c r="J309" s="193">
        <f t="shared" si="69"/>
        <v>0</v>
      </c>
      <c r="K309" s="193">
        <f t="shared" si="69"/>
        <v>0</v>
      </c>
      <c r="L309" s="193">
        <f t="shared" si="69"/>
        <v>0</v>
      </c>
      <c r="M309" s="193">
        <f t="shared" si="69"/>
        <v>0</v>
      </c>
      <c r="N309" s="193">
        <f t="shared" si="69"/>
        <v>0</v>
      </c>
      <c r="O309" s="193">
        <f t="shared" si="69"/>
        <v>0</v>
      </c>
      <c r="P309" s="194">
        <f t="shared" si="69"/>
        <v>0</v>
      </c>
    </row>
    <row r="310" spans="1:16" x14ac:dyDescent="0.3">
      <c r="A310" s="216"/>
      <c r="B310" s="83" t="s">
        <v>358</v>
      </c>
      <c r="C310" s="83" t="s">
        <v>212</v>
      </c>
      <c r="D310" s="210">
        <v>1.4000000000000002E-2</v>
      </c>
      <c r="E310" s="193">
        <f t="shared" si="68"/>
        <v>0</v>
      </c>
      <c r="F310" s="193">
        <f t="shared" si="69"/>
        <v>0</v>
      </c>
      <c r="G310" s="193">
        <f t="shared" si="69"/>
        <v>0</v>
      </c>
      <c r="H310" s="193">
        <f t="shared" si="69"/>
        <v>0</v>
      </c>
      <c r="I310" s="193">
        <f t="shared" si="69"/>
        <v>0</v>
      </c>
      <c r="J310" s="193">
        <f t="shared" si="69"/>
        <v>0</v>
      </c>
      <c r="K310" s="193">
        <f t="shared" si="69"/>
        <v>0</v>
      </c>
      <c r="L310" s="193">
        <f t="shared" si="69"/>
        <v>0</v>
      </c>
      <c r="M310" s="193">
        <f t="shared" si="69"/>
        <v>0</v>
      </c>
      <c r="N310" s="193">
        <f t="shared" si="69"/>
        <v>0</v>
      </c>
      <c r="O310" s="193">
        <f t="shared" si="69"/>
        <v>0</v>
      </c>
      <c r="P310" s="194">
        <f t="shared" si="69"/>
        <v>0</v>
      </c>
    </row>
    <row r="311" spans="1:16" x14ac:dyDescent="0.3">
      <c r="A311" s="216"/>
      <c r="B311" s="83" t="s">
        <v>344</v>
      </c>
      <c r="C311" s="83" t="s">
        <v>70</v>
      </c>
      <c r="D311" s="210">
        <v>1.0999999999999999E-2</v>
      </c>
      <c r="E311" s="193">
        <f t="shared" si="68"/>
        <v>0</v>
      </c>
      <c r="F311" s="193">
        <f t="shared" si="69"/>
        <v>0</v>
      </c>
      <c r="G311" s="193">
        <f t="shared" si="69"/>
        <v>0</v>
      </c>
      <c r="H311" s="193">
        <f t="shared" si="69"/>
        <v>0</v>
      </c>
      <c r="I311" s="193">
        <f t="shared" si="69"/>
        <v>0</v>
      </c>
      <c r="J311" s="193">
        <f t="shared" si="69"/>
        <v>0</v>
      </c>
      <c r="K311" s="193">
        <f t="shared" si="69"/>
        <v>0</v>
      </c>
      <c r="L311" s="193">
        <f t="shared" si="69"/>
        <v>0</v>
      </c>
      <c r="M311" s="193">
        <f t="shared" si="69"/>
        <v>0</v>
      </c>
      <c r="N311" s="193">
        <f t="shared" si="69"/>
        <v>0</v>
      </c>
      <c r="O311" s="193">
        <f t="shared" si="69"/>
        <v>0</v>
      </c>
      <c r="P311" s="194">
        <f t="shared" si="69"/>
        <v>0</v>
      </c>
    </row>
    <row r="312" spans="1:16" x14ac:dyDescent="0.3">
      <c r="A312" s="216"/>
      <c r="B312" s="83" t="s">
        <v>386</v>
      </c>
      <c r="C312" s="83" t="s">
        <v>298</v>
      </c>
      <c r="D312" s="210">
        <v>0.01</v>
      </c>
      <c r="E312" s="193">
        <f t="shared" si="68"/>
        <v>0</v>
      </c>
      <c r="F312" s="193">
        <f t="shared" si="69"/>
        <v>0</v>
      </c>
      <c r="G312" s="193">
        <f t="shared" si="69"/>
        <v>0</v>
      </c>
      <c r="H312" s="193">
        <f t="shared" si="69"/>
        <v>0</v>
      </c>
      <c r="I312" s="193">
        <f t="shared" si="69"/>
        <v>0</v>
      </c>
      <c r="J312" s="193">
        <f t="shared" si="69"/>
        <v>0</v>
      </c>
      <c r="K312" s="193">
        <f t="shared" si="69"/>
        <v>0</v>
      </c>
      <c r="L312" s="193">
        <f t="shared" si="69"/>
        <v>0</v>
      </c>
      <c r="M312" s="193">
        <f t="shared" si="69"/>
        <v>0</v>
      </c>
      <c r="N312" s="193">
        <f t="shared" si="69"/>
        <v>0</v>
      </c>
      <c r="O312" s="193">
        <f t="shared" si="69"/>
        <v>0</v>
      </c>
      <c r="P312" s="194">
        <f t="shared" si="69"/>
        <v>0</v>
      </c>
    </row>
    <row r="313" spans="1:16" x14ac:dyDescent="0.3">
      <c r="A313" s="216"/>
      <c r="B313" s="83" t="s">
        <v>412</v>
      </c>
      <c r="C313" s="83" t="s">
        <v>299</v>
      </c>
      <c r="D313" s="210">
        <v>8.0000000000000002E-3</v>
      </c>
      <c r="E313" s="193">
        <f t="shared" si="68"/>
        <v>0</v>
      </c>
      <c r="F313" s="193">
        <f t="shared" si="69"/>
        <v>0</v>
      </c>
      <c r="G313" s="193">
        <f t="shared" si="69"/>
        <v>0</v>
      </c>
      <c r="H313" s="193">
        <f t="shared" si="69"/>
        <v>0</v>
      </c>
      <c r="I313" s="193">
        <f t="shared" si="69"/>
        <v>0</v>
      </c>
      <c r="J313" s="193">
        <f t="shared" si="69"/>
        <v>0</v>
      </c>
      <c r="K313" s="193">
        <f t="shared" si="69"/>
        <v>0</v>
      </c>
      <c r="L313" s="193">
        <f t="shared" si="69"/>
        <v>0</v>
      </c>
      <c r="M313" s="193">
        <f t="shared" si="69"/>
        <v>0</v>
      </c>
      <c r="N313" s="193">
        <f t="shared" si="69"/>
        <v>0</v>
      </c>
      <c r="O313" s="193">
        <f t="shared" si="69"/>
        <v>0</v>
      </c>
      <c r="P313" s="194">
        <f t="shared" si="69"/>
        <v>0</v>
      </c>
    </row>
    <row r="314" spans="1:16" x14ac:dyDescent="0.3">
      <c r="A314" s="216"/>
      <c r="B314" s="83" t="s">
        <v>367</v>
      </c>
      <c r="C314" s="83" t="s">
        <v>76</v>
      </c>
      <c r="D314" s="210">
        <v>5.0000000000000001E-3</v>
      </c>
      <c r="E314" s="193">
        <f t="shared" si="68"/>
        <v>0</v>
      </c>
      <c r="F314" s="193">
        <f t="shared" ref="F314:P314" si="70">F$297*$D314</f>
        <v>0</v>
      </c>
      <c r="G314" s="193">
        <f t="shared" si="70"/>
        <v>0</v>
      </c>
      <c r="H314" s="193">
        <f t="shared" si="70"/>
        <v>0</v>
      </c>
      <c r="I314" s="193">
        <f t="shared" si="70"/>
        <v>0</v>
      </c>
      <c r="J314" s="193">
        <f t="shared" si="70"/>
        <v>0</v>
      </c>
      <c r="K314" s="193">
        <f t="shared" si="70"/>
        <v>0</v>
      </c>
      <c r="L314" s="193">
        <f t="shared" si="70"/>
        <v>0</v>
      </c>
      <c r="M314" s="193">
        <f t="shared" si="70"/>
        <v>0</v>
      </c>
      <c r="N314" s="193">
        <f t="shared" si="70"/>
        <v>0</v>
      </c>
      <c r="O314" s="193">
        <f t="shared" si="70"/>
        <v>0</v>
      </c>
      <c r="P314" s="194">
        <f t="shared" si="70"/>
        <v>0</v>
      </c>
    </row>
    <row r="315" spans="1:16" x14ac:dyDescent="0.3">
      <c r="A315" s="216"/>
      <c r="B315" s="83" t="s">
        <v>331</v>
      </c>
      <c r="C315" s="83" t="s">
        <v>213</v>
      </c>
      <c r="D315" s="210">
        <v>4.0000000000000001E-3</v>
      </c>
      <c r="E315" s="193">
        <f t="shared" ref="E315:P322" si="71">E$297*$D315</f>
        <v>0</v>
      </c>
      <c r="F315" s="193">
        <f t="shared" si="71"/>
        <v>0</v>
      </c>
      <c r="G315" s="193">
        <f t="shared" si="71"/>
        <v>0</v>
      </c>
      <c r="H315" s="193">
        <f t="shared" si="71"/>
        <v>0</v>
      </c>
      <c r="I315" s="193">
        <f t="shared" si="71"/>
        <v>0</v>
      </c>
      <c r="J315" s="193">
        <f t="shared" si="71"/>
        <v>0</v>
      </c>
      <c r="K315" s="193">
        <f t="shared" si="71"/>
        <v>0</v>
      </c>
      <c r="L315" s="193">
        <f t="shared" si="71"/>
        <v>0</v>
      </c>
      <c r="M315" s="193">
        <f t="shared" si="71"/>
        <v>0</v>
      </c>
      <c r="N315" s="193">
        <f t="shared" si="71"/>
        <v>0</v>
      </c>
      <c r="O315" s="193">
        <f t="shared" si="71"/>
        <v>0</v>
      </c>
      <c r="P315" s="194">
        <f t="shared" si="71"/>
        <v>0</v>
      </c>
    </row>
    <row r="316" spans="1:16" x14ac:dyDescent="0.3">
      <c r="A316" s="216"/>
      <c r="B316" s="83" t="s">
        <v>413</v>
      </c>
      <c r="C316" s="83" t="s">
        <v>300</v>
      </c>
      <c r="D316" s="210">
        <v>3.0000000000000001E-3</v>
      </c>
      <c r="E316" s="193">
        <f t="shared" si="71"/>
        <v>0</v>
      </c>
      <c r="F316" s="193">
        <f t="shared" si="71"/>
        <v>0</v>
      </c>
      <c r="G316" s="193">
        <f t="shared" si="71"/>
        <v>0</v>
      </c>
      <c r="H316" s="193">
        <f t="shared" si="71"/>
        <v>0</v>
      </c>
      <c r="I316" s="193">
        <f t="shared" si="71"/>
        <v>0</v>
      </c>
      <c r="J316" s="193">
        <f t="shared" si="71"/>
        <v>0</v>
      </c>
      <c r="K316" s="193">
        <f t="shared" si="71"/>
        <v>0</v>
      </c>
      <c r="L316" s="193">
        <f t="shared" si="71"/>
        <v>0</v>
      </c>
      <c r="M316" s="193">
        <f t="shared" si="71"/>
        <v>0</v>
      </c>
      <c r="N316" s="193">
        <f t="shared" si="71"/>
        <v>0</v>
      </c>
      <c r="O316" s="193">
        <f t="shared" si="71"/>
        <v>0</v>
      </c>
      <c r="P316" s="194">
        <f t="shared" si="71"/>
        <v>0</v>
      </c>
    </row>
    <row r="317" spans="1:16" x14ac:dyDescent="0.3">
      <c r="A317" s="216"/>
      <c r="B317" s="83" t="s">
        <v>346</v>
      </c>
      <c r="C317" s="83" t="s">
        <v>301</v>
      </c>
      <c r="D317" s="210">
        <v>3.0000000000000001E-3</v>
      </c>
      <c r="E317" s="193">
        <f t="shared" si="71"/>
        <v>0</v>
      </c>
      <c r="F317" s="193">
        <f t="shared" si="71"/>
        <v>0</v>
      </c>
      <c r="G317" s="193">
        <f t="shared" si="71"/>
        <v>0</v>
      </c>
      <c r="H317" s="193">
        <f t="shared" si="71"/>
        <v>0</v>
      </c>
      <c r="I317" s="193">
        <f t="shared" si="71"/>
        <v>0</v>
      </c>
      <c r="J317" s="193">
        <f t="shared" si="71"/>
        <v>0</v>
      </c>
      <c r="K317" s="193">
        <f t="shared" si="71"/>
        <v>0</v>
      </c>
      <c r="L317" s="193">
        <f t="shared" si="71"/>
        <v>0</v>
      </c>
      <c r="M317" s="193">
        <f t="shared" si="71"/>
        <v>0</v>
      </c>
      <c r="N317" s="193">
        <f t="shared" si="71"/>
        <v>0</v>
      </c>
      <c r="O317" s="193">
        <f t="shared" si="71"/>
        <v>0</v>
      </c>
      <c r="P317" s="194">
        <f t="shared" si="71"/>
        <v>0</v>
      </c>
    </row>
    <row r="318" spans="1:16" x14ac:dyDescent="0.3">
      <c r="A318" s="216"/>
      <c r="B318" s="83" t="s">
        <v>414</v>
      </c>
      <c r="C318" s="83" t="s">
        <v>302</v>
      </c>
      <c r="D318" s="210">
        <v>2E-3</v>
      </c>
      <c r="E318" s="193">
        <f t="shared" si="71"/>
        <v>0</v>
      </c>
      <c r="F318" s="193">
        <f t="shared" si="71"/>
        <v>0</v>
      </c>
      <c r="G318" s="193">
        <f t="shared" si="71"/>
        <v>0</v>
      </c>
      <c r="H318" s="193">
        <f t="shared" si="71"/>
        <v>0</v>
      </c>
      <c r="I318" s="193">
        <f t="shared" si="71"/>
        <v>0</v>
      </c>
      <c r="J318" s="193">
        <f t="shared" si="71"/>
        <v>0</v>
      </c>
      <c r="K318" s="193">
        <f t="shared" si="71"/>
        <v>0</v>
      </c>
      <c r="L318" s="193">
        <f t="shared" si="71"/>
        <v>0</v>
      </c>
      <c r="M318" s="193">
        <f t="shared" si="71"/>
        <v>0</v>
      </c>
      <c r="N318" s="193">
        <f t="shared" si="71"/>
        <v>0</v>
      </c>
      <c r="O318" s="193">
        <f t="shared" si="71"/>
        <v>0</v>
      </c>
      <c r="P318" s="194">
        <f t="shared" si="71"/>
        <v>0</v>
      </c>
    </row>
    <row r="319" spans="1:16" x14ac:dyDescent="0.3">
      <c r="A319" s="216"/>
      <c r="B319" s="83" t="s">
        <v>415</v>
      </c>
      <c r="C319" s="83" t="s">
        <v>303</v>
      </c>
      <c r="D319" s="210">
        <v>2E-3</v>
      </c>
      <c r="E319" s="193">
        <f t="shared" si="71"/>
        <v>0</v>
      </c>
      <c r="F319" s="193">
        <f t="shared" si="71"/>
        <v>0</v>
      </c>
      <c r="G319" s="193">
        <f t="shared" si="71"/>
        <v>0</v>
      </c>
      <c r="H319" s="193">
        <f t="shared" si="71"/>
        <v>0</v>
      </c>
      <c r="I319" s="193">
        <f t="shared" si="71"/>
        <v>0</v>
      </c>
      <c r="J319" s="193">
        <f t="shared" si="71"/>
        <v>0</v>
      </c>
      <c r="K319" s="193">
        <f t="shared" si="71"/>
        <v>0</v>
      </c>
      <c r="L319" s="193">
        <f t="shared" si="71"/>
        <v>0</v>
      </c>
      <c r="M319" s="193">
        <f t="shared" si="71"/>
        <v>0</v>
      </c>
      <c r="N319" s="193">
        <f t="shared" si="71"/>
        <v>0</v>
      </c>
      <c r="O319" s="193">
        <f t="shared" si="71"/>
        <v>0</v>
      </c>
      <c r="P319" s="194">
        <f t="shared" si="71"/>
        <v>0</v>
      </c>
    </row>
    <row r="320" spans="1:16" x14ac:dyDescent="0.3">
      <c r="A320" s="216"/>
      <c r="B320" s="83" t="s">
        <v>416</v>
      </c>
      <c r="C320" s="83" t="s">
        <v>304</v>
      </c>
      <c r="D320" s="210">
        <v>2E-3</v>
      </c>
      <c r="E320" s="193">
        <f t="shared" si="71"/>
        <v>0</v>
      </c>
      <c r="F320" s="193">
        <f t="shared" si="71"/>
        <v>0</v>
      </c>
      <c r="G320" s="193">
        <f t="shared" si="71"/>
        <v>0</v>
      </c>
      <c r="H320" s="193">
        <f t="shared" si="71"/>
        <v>0</v>
      </c>
      <c r="I320" s="193">
        <f t="shared" si="71"/>
        <v>0</v>
      </c>
      <c r="J320" s="193">
        <f t="shared" si="71"/>
        <v>0</v>
      </c>
      <c r="K320" s="193">
        <f t="shared" si="71"/>
        <v>0</v>
      </c>
      <c r="L320" s="193">
        <f t="shared" si="71"/>
        <v>0</v>
      </c>
      <c r="M320" s="193">
        <f t="shared" si="71"/>
        <v>0</v>
      </c>
      <c r="N320" s="193">
        <f t="shared" si="71"/>
        <v>0</v>
      </c>
      <c r="O320" s="193">
        <f t="shared" si="71"/>
        <v>0</v>
      </c>
      <c r="P320" s="194">
        <f t="shared" si="71"/>
        <v>0</v>
      </c>
    </row>
    <row r="321" spans="1:16" x14ac:dyDescent="0.3">
      <c r="A321" s="216"/>
      <c r="B321" s="83" t="s">
        <v>417</v>
      </c>
      <c r="C321" s="83" t="s">
        <v>143</v>
      </c>
      <c r="D321" s="210">
        <v>2E-3</v>
      </c>
      <c r="E321" s="193">
        <f t="shared" si="71"/>
        <v>0</v>
      </c>
      <c r="F321" s="193">
        <f t="shared" si="71"/>
        <v>0</v>
      </c>
      <c r="G321" s="193">
        <f t="shared" si="71"/>
        <v>0</v>
      </c>
      <c r="H321" s="193">
        <f t="shared" si="71"/>
        <v>0</v>
      </c>
      <c r="I321" s="193">
        <f t="shared" si="71"/>
        <v>0</v>
      </c>
      <c r="J321" s="193">
        <f t="shared" si="71"/>
        <v>0</v>
      </c>
      <c r="K321" s="193">
        <f t="shared" si="71"/>
        <v>0</v>
      </c>
      <c r="L321" s="193">
        <f t="shared" si="71"/>
        <v>0</v>
      </c>
      <c r="M321" s="193">
        <f t="shared" si="71"/>
        <v>0</v>
      </c>
      <c r="N321" s="193">
        <f t="shared" si="71"/>
        <v>0</v>
      </c>
      <c r="O321" s="193">
        <f t="shared" si="71"/>
        <v>0</v>
      </c>
      <c r="P321" s="194">
        <f t="shared" si="71"/>
        <v>0</v>
      </c>
    </row>
    <row r="322" spans="1:16" ht="17.25" thickBot="1" x14ac:dyDescent="0.35">
      <c r="A322" s="217"/>
      <c r="B322" s="203" t="s">
        <v>418</v>
      </c>
      <c r="C322" s="203" t="s">
        <v>305</v>
      </c>
      <c r="D322" s="204">
        <v>4.0000000000000002E-4</v>
      </c>
      <c r="E322" s="201">
        <f t="shared" si="71"/>
        <v>0</v>
      </c>
      <c r="F322" s="201">
        <f t="shared" si="71"/>
        <v>0</v>
      </c>
      <c r="G322" s="201">
        <f t="shared" si="71"/>
        <v>0</v>
      </c>
      <c r="H322" s="201">
        <f t="shared" si="71"/>
        <v>0</v>
      </c>
      <c r="I322" s="201">
        <f t="shared" si="71"/>
        <v>0</v>
      </c>
      <c r="J322" s="201">
        <f t="shared" si="71"/>
        <v>0</v>
      </c>
      <c r="K322" s="201">
        <f t="shared" si="71"/>
        <v>0</v>
      </c>
      <c r="L322" s="201">
        <f t="shared" si="71"/>
        <v>0</v>
      </c>
      <c r="M322" s="201">
        <f t="shared" si="71"/>
        <v>0</v>
      </c>
      <c r="N322" s="201">
        <f t="shared" si="71"/>
        <v>0</v>
      </c>
      <c r="O322" s="201">
        <f t="shared" si="71"/>
        <v>0</v>
      </c>
      <c r="P322" s="202">
        <f t="shared" si="71"/>
        <v>0</v>
      </c>
    </row>
    <row r="323" spans="1:16" ht="17.25" thickBot="1" x14ac:dyDescent="0.35">
      <c r="A323" s="185">
        <v>333524</v>
      </c>
      <c r="B323" s="186"/>
      <c r="C323" s="187" t="s">
        <v>461</v>
      </c>
      <c r="D323" s="188">
        <f>SUM(D324:D342)</f>
        <v>1</v>
      </c>
      <c r="E323" s="189">
        <f>IFERROR(VLOOKUP($A323,완제품!$B:$CP,E$1,FALSE),0)*73%</f>
        <v>0</v>
      </c>
      <c r="F323" s="189">
        <f>IFERROR(VLOOKUP($A323,완제품!$B:$CP,F$1,FALSE),0)*73%</f>
        <v>0</v>
      </c>
      <c r="G323" s="189">
        <f>IFERROR(VLOOKUP($A323,완제품!$B:$CP,G$1,FALSE),0)*73%</f>
        <v>0</v>
      </c>
      <c r="H323" s="189">
        <f>IFERROR(VLOOKUP($A323,완제품!$B:$CP,H$1,FALSE),0)*73%</f>
        <v>0</v>
      </c>
      <c r="I323" s="189">
        <f>IFERROR(VLOOKUP($A323,완제품!$B:$CP,I$1,FALSE),0)*73%</f>
        <v>0</v>
      </c>
      <c r="J323" s="189">
        <f>IFERROR(VLOOKUP($A323,완제품!$B:$CP,J$1,FALSE),0)*73%</f>
        <v>0</v>
      </c>
      <c r="K323" s="189">
        <f>IFERROR(VLOOKUP($A323,완제품!$B:$CP,K$1,FALSE),0)*73%</f>
        <v>0</v>
      </c>
      <c r="L323" s="189">
        <f>IFERROR(VLOOKUP($A323,완제품!$B:$CP,L$1,FALSE),0)*73%</f>
        <v>0</v>
      </c>
      <c r="M323" s="189">
        <f>IFERROR(VLOOKUP($A323,완제품!$B:$CP,M$1,FALSE),0)*73%</f>
        <v>0</v>
      </c>
      <c r="N323" s="189">
        <f>IFERROR(VLOOKUP($A323,완제품!$B:$CP,N$1,FALSE),0)*73%</f>
        <v>0</v>
      </c>
      <c r="O323" s="189">
        <f>IFERROR(VLOOKUP($A323,완제품!$B:$CP,O$1,FALSE),0)*73%</f>
        <v>0</v>
      </c>
      <c r="P323" s="189">
        <f>IFERROR(VLOOKUP($A323,완제품!$B:$CP,P$1,FALSE),0)*73%</f>
        <v>0</v>
      </c>
    </row>
    <row r="324" spans="1:16" x14ac:dyDescent="0.3">
      <c r="A324" s="190"/>
      <c r="B324" s="191" t="s">
        <v>342</v>
      </c>
      <c r="C324" s="191" t="s">
        <v>267</v>
      </c>
      <c r="D324" s="192">
        <v>0.1585</v>
      </c>
      <c r="E324" s="193">
        <f t="shared" ref="E324:E340" si="72">E$323*$D324</f>
        <v>0</v>
      </c>
      <c r="F324" s="193">
        <f t="shared" ref="F324:P339" si="73">F$323*$D324</f>
        <v>0</v>
      </c>
      <c r="G324" s="193">
        <f t="shared" si="73"/>
        <v>0</v>
      </c>
      <c r="H324" s="193">
        <f t="shared" si="73"/>
        <v>0</v>
      </c>
      <c r="I324" s="193">
        <f t="shared" si="73"/>
        <v>0</v>
      </c>
      <c r="J324" s="193">
        <f t="shared" si="73"/>
        <v>0</v>
      </c>
      <c r="K324" s="193">
        <f t="shared" si="73"/>
        <v>0</v>
      </c>
      <c r="L324" s="193">
        <f t="shared" si="73"/>
        <v>0</v>
      </c>
      <c r="M324" s="193">
        <f t="shared" si="73"/>
        <v>0</v>
      </c>
      <c r="N324" s="193">
        <f t="shared" si="73"/>
        <v>0</v>
      </c>
      <c r="O324" s="193">
        <f t="shared" si="73"/>
        <v>0</v>
      </c>
      <c r="P324" s="194">
        <f t="shared" si="73"/>
        <v>0</v>
      </c>
    </row>
    <row r="325" spans="1:16" x14ac:dyDescent="0.3">
      <c r="A325" s="195"/>
      <c r="B325" s="196" t="s">
        <v>418</v>
      </c>
      <c r="C325" s="196" t="s">
        <v>305</v>
      </c>
      <c r="D325" s="197">
        <v>2E-3</v>
      </c>
      <c r="E325" s="193">
        <f t="shared" si="72"/>
        <v>0</v>
      </c>
      <c r="F325" s="193">
        <f t="shared" si="73"/>
        <v>0</v>
      </c>
      <c r="G325" s="193">
        <f t="shared" si="73"/>
        <v>0</v>
      </c>
      <c r="H325" s="193">
        <f t="shared" si="73"/>
        <v>0</v>
      </c>
      <c r="I325" s="193">
        <f t="shared" si="73"/>
        <v>0</v>
      </c>
      <c r="J325" s="193">
        <f t="shared" si="73"/>
        <v>0</v>
      </c>
      <c r="K325" s="193">
        <f t="shared" si="73"/>
        <v>0</v>
      </c>
      <c r="L325" s="193">
        <f t="shared" si="73"/>
        <v>0</v>
      </c>
      <c r="M325" s="193">
        <f t="shared" si="73"/>
        <v>0</v>
      </c>
      <c r="N325" s="193">
        <f t="shared" si="73"/>
        <v>0</v>
      </c>
      <c r="O325" s="193">
        <f t="shared" si="73"/>
        <v>0</v>
      </c>
      <c r="P325" s="194">
        <f t="shared" si="73"/>
        <v>0</v>
      </c>
    </row>
    <row r="326" spans="1:16" x14ac:dyDescent="0.3">
      <c r="A326" s="195"/>
      <c r="B326" s="196" t="s">
        <v>416</v>
      </c>
      <c r="C326" s="196" t="s">
        <v>304</v>
      </c>
      <c r="D326" s="197">
        <v>3.0000000000000001E-3</v>
      </c>
      <c r="E326" s="193">
        <f t="shared" si="72"/>
        <v>0</v>
      </c>
      <c r="F326" s="193">
        <f t="shared" si="73"/>
        <v>0</v>
      </c>
      <c r="G326" s="193">
        <f t="shared" si="73"/>
        <v>0</v>
      </c>
      <c r="H326" s="193">
        <f t="shared" si="73"/>
        <v>0</v>
      </c>
      <c r="I326" s="193">
        <f t="shared" si="73"/>
        <v>0</v>
      </c>
      <c r="J326" s="193">
        <f t="shared" si="73"/>
        <v>0</v>
      </c>
      <c r="K326" s="193">
        <f t="shared" si="73"/>
        <v>0</v>
      </c>
      <c r="L326" s="193">
        <f t="shared" si="73"/>
        <v>0</v>
      </c>
      <c r="M326" s="193">
        <f t="shared" si="73"/>
        <v>0</v>
      </c>
      <c r="N326" s="193">
        <f t="shared" si="73"/>
        <v>0</v>
      </c>
      <c r="O326" s="193">
        <f t="shared" si="73"/>
        <v>0</v>
      </c>
      <c r="P326" s="194">
        <f t="shared" si="73"/>
        <v>0</v>
      </c>
    </row>
    <row r="327" spans="1:16" x14ac:dyDescent="0.3">
      <c r="A327" s="195"/>
      <c r="B327" s="196" t="s">
        <v>411</v>
      </c>
      <c r="C327" s="196" t="s">
        <v>80</v>
      </c>
      <c r="D327" s="197">
        <v>1.06E-2</v>
      </c>
      <c r="E327" s="193">
        <f t="shared" si="72"/>
        <v>0</v>
      </c>
      <c r="F327" s="193">
        <f t="shared" si="73"/>
        <v>0</v>
      </c>
      <c r="G327" s="193">
        <f t="shared" si="73"/>
        <v>0</v>
      </c>
      <c r="H327" s="193">
        <f t="shared" si="73"/>
        <v>0</v>
      </c>
      <c r="I327" s="193">
        <f t="shared" si="73"/>
        <v>0</v>
      </c>
      <c r="J327" s="193">
        <f t="shared" si="73"/>
        <v>0</v>
      </c>
      <c r="K327" s="193">
        <f t="shared" si="73"/>
        <v>0</v>
      </c>
      <c r="L327" s="193">
        <f t="shared" si="73"/>
        <v>0</v>
      </c>
      <c r="M327" s="193">
        <f t="shared" si="73"/>
        <v>0</v>
      </c>
      <c r="N327" s="193">
        <f t="shared" si="73"/>
        <v>0</v>
      </c>
      <c r="O327" s="193">
        <f t="shared" si="73"/>
        <v>0</v>
      </c>
      <c r="P327" s="194">
        <f t="shared" si="73"/>
        <v>0</v>
      </c>
    </row>
    <row r="328" spans="1:16" x14ac:dyDescent="0.3">
      <c r="A328" s="195"/>
      <c r="B328" s="196">
        <v>326953</v>
      </c>
      <c r="C328" s="196" t="s">
        <v>306</v>
      </c>
      <c r="D328" s="197">
        <v>2.7000000000000001E-3</v>
      </c>
      <c r="E328" s="193">
        <f t="shared" si="72"/>
        <v>0</v>
      </c>
      <c r="F328" s="193">
        <f t="shared" si="73"/>
        <v>0</v>
      </c>
      <c r="G328" s="193">
        <f t="shared" si="73"/>
        <v>0</v>
      </c>
      <c r="H328" s="193">
        <f t="shared" si="73"/>
        <v>0</v>
      </c>
      <c r="I328" s="193">
        <f t="shared" si="73"/>
        <v>0</v>
      </c>
      <c r="J328" s="193">
        <f t="shared" si="73"/>
        <v>0</v>
      </c>
      <c r="K328" s="193">
        <f t="shared" si="73"/>
        <v>0</v>
      </c>
      <c r="L328" s="193">
        <f t="shared" si="73"/>
        <v>0</v>
      </c>
      <c r="M328" s="193">
        <f t="shared" si="73"/>
        <v>0</v>
      </c>
      <c r="N328" s="193">
        <f t="shared" si="73"/>
        <v>0</v>
      </c>
      <c r="O328" s="193">
        <f t="shared" si="73"/>
        <v>0</v>
      </c>
      <c r="P328" s="194">
        <f t="shared" si="73"/>
        <v>0</v>
      </c>
    </row>
    <row r="329" spans="1:16" x14ac:dyDescent="0.3">
      <c r="A329" s="195"/>
      <c r="B329" s="83" t="s">
        <v>419</v>
      </c>
      <c r="C329" s="83" t="s">
        <v>307</v>
      </c>
      <c r="D329" s="210">
        <v>3.4999999999999996E-3</v>
      </c>
      <c r="E329" s="193">
        <f t="shared" si="72"/>
        <v>0</v>
      </c>
      <c r="F329" s="193">
        <f t="shared" si="73"/>
        <v>0</v>
      </c>
      <c r="G329" s="193">
        <f t="shared" si="73"/>
        <v>0</v>
      </c>
      <c r="H329" s="193">
        <f t="shared" si="73"/>
        <v>0</v>
      </c>
      <c r="I329" s="193">
        <f t="shared" si="73"/>
        <v>0</v>
      </c>
      <c r="J329" s="193">
        <f t="shared" si="73"/>
        <v>0</v>
      </c>
      <c r="K329" s="193">
        <f t="shared" si="73"/>
        <v>0</v>
      </c>
      <c r="L329" s="193">
        <f t="shared" si="73"/>
        <v>0</v>
      </c>
      <c r="M329" s="193">
        <f t="shared" si="73"/>
        <v>0</v>
      </c>
      <c r="N329" s="193">
        <f t="shared" si="73"/>
        <v>0</v>
      </c>
      <c r="O329" s="193">
        <f t="shared" si="73"/>
        <v>0</v>
      </c>
      <c r="P329" s="194">
        <f t="shared" si="73"/>
        <v>0</v>
      </c>
    </row>
    <row r="330" spans="1:16" x14ac:dyDescent="0.3">
      <c r="A330" s="216"/>
      <c r="B330" s="83" t="s">
        <v>420</v>
      </c>
      <c r="C330" s="83" t="s">
        <v>308</v>
      </c>
      <c r="D330" s="210">
        <v>2E-3</v>
      </c>
      <c r="E330" s="193">
        <f t="shared" si="72"/>
        <v>0</v>
      </c>
      <c r="F330" s="193">
        <f t="shared" si="73"/>
        <v>0</v>
      </c>
      <c r="G330" s="193">
        <f t="shared" si="73"/>
        <v>0</v>
      </c>
      <c r="H330" s="193">
        <f t="shared" si="73"/>
        <v>0</v>
      </c>
      <c r="I330" s="193">
        <f t="shared" si="73"/>
        <v>0</v>
      </c>
      <c r="J330" s="193">
        <f t="shared" si="73"/>
        <v>0</v>
      </c>
      <c r="K330" s="193">
        <f t="shared" si="73"/>
        <v>0</v>
      </c>
      <c r="L330" s="193">
        <f t="shared" si="73"/>
        <v>0</v>
      </c>
      <c r="M330" s="193">
        <f t="shared" si="73"/>
        <v>0</v>
      </c>
      <c r="N330" s="193">
        <f t="shared" si="73"/>
        <v>0</v>
      </c>
      <c r="O330" s="193">
        <f t="shared" si="73"/>
        <v>0</v>
      </c>
      <c r="P330" s="194">
        <f t="shared" si="73"/>
        <v>0</v>
      </c>
    </row>
    <row r="331" spans="1:16" x14ac:dyDescent="0.3">
      <c r="A331" s="216"/>
      <c r="B331" s="83" t="s">
        <v>325</v>
      </c>
      <c r="C331" s="83" t="s">
        <v>148</v>
      </c>
      <c r="D331" s="210">
        <v>0.62060000000000004</v>
      </c>
      <c r="E331" s="193">
        <f t="shared" si="72"/>
        <v>0</v>
      </c>
      <c r="F331" s="193">
        <f t="shared" si="73"/>
        <v>0</v>
      </c>
      <c r="G331" s="193">
        <f t="shared" si="73"/>
        <v>0</v>
      </c>
      <c r="H331" s="193">
        <f t="shared" si="73"/>
        <v>0</v>
      </c>
      <c r="I331" s="193">
        <f t="shared" si="73"/>
        <v>0</v>
      </c>
      <c r="J331" s="193">
        <f t="shared" si="73"/>
        <v>0</v>
      </c>
      <c r="K331" s="193">
        <f t="shared" si="73"/>
        <v>0</v>
      </c>
      <c r="L331" s="193">
        <f t="shared" si="73"/>
        <v>0</v>
      </c>
      <c r="M331" s="193">
        <f t="shared" si="73"/>
        <v>0</v>
      </c>
      <c r="N331" s="193">
        <f t="shared" si="73"/>
        <v>0</v>
      </c>
      <c r="O331" s="193">
        <f t="shared" si="73"/>
        <v>0</v>
      </c>
      <c r="P331" s="194">
        <f t="shared" si="73"/>
        <v>0</v>
      </c>
    </row>
    <row r="332" spans="1:16" x14ac:dyDescent="0.3">
      <c r="A332" s="216"/>
      <c r="B332" s="83" t="s">
        <v>380</v>
      </c>
      <c r="C332" s="83" t="s">
        <v>78</v>
      </c>
      <c r="D332" s="210">
        <v>1.9E-2</v>
      </c>
      <c r="E332" s="193">
        <f t="shared" si="72"/>
        <v>0</v>
      </c>
      <c r="F332" s="193">
        <f t="shared" si="73"/>
        <v>0</v>
      </c>
      <c r="G332" s="193">
        <f t="shared" si="73"/>
        <v>0</v>
      </c>
      <c r="H332" s="193">
        <f t="shared" si="73"/>
        <v>0</v>
      </c>
      <c r="I332" s="193">
        <f t="shared" si="73"/>
        <v>0</v>
      </c>
      <c r="J332" s="193">
        <f t="shared" si="73"/>
        <v>0</v>
      </c>
      <c r="K332" s="193">
        <f t="shared" si="73"/>
        <v>0</v>
      </c>
      <c r="L332" s="193">
        <f t="shared" si="73"/>
        <v>0</v>
      </c>
      <c r="M332" s="193">
        <f t="shared" si="73"/>
        <v>0</v>
      </c>
      <c r="N332" s="193">
        <f t="shared" si="73"/>
        <v>0</v>
      </c>
      <c r="O332" s="193">
        <f t="shared" si="73"/>
        <v>0</v>
      </c>
      <c r="P332" s="194">
        <f t="shared" si="73"/>
        <v>0</v>
      </c>
    </row>
    <row r="333" spans="1:16" x14ac:dyDescent="0.3">
      <c r="A333" s="216"/>
      <c r="B333" s="83" t="s">
        <v>421</v>
      </c>
      <c r="C333" s="83" t="s">
        <v>309</v>
      </c>
      <c r="D333" s="210">
        <v>1E-4</v>
      </c>
      <c r="E333" s="193">
        <f t="shared" si="72"/>
        <v>0</v>
      </c>
      <c r="F333" s="193">
        <f t="shared" si="73"/>
        <v>0</v>
      </c>
      <c r="G333" s="193">
        <f t="shared" si="73"/>
        <v>0</v>
      </c>
      <c r="H333" s="193">
        <f t="shared" si="73"/>
        <v>0</v>
      </c>
      <c r="I333" s="193">
        <f t="shared" si="73"/>
        <v>0</v>
      </c>
      <c r="J333" s="193">
        <f t="shared" si="73"/>
        <v>0</v>
      </c>
      <c r="K333" s="193">
        <f t="shared" si="73"/>
        <v>0</v>
      </c>
      <c r="L333" s="193">
        <f t="shared" si="73"/>
        <v>0</v>
      </c>
      <c r="M333" s="193">
        <f t="shared" si="73"/>
        <v>0</v>
      </c>
      <c r="N333" s="193">
        <f t="shared" si="73"/>
        <v>0</v>
      </c>
      <c r="O333" s="193">
        <f t="shared" si="73"/>
        <v>0</v>
      </c>
      <c r="P333" s="194">
        <f t="shared" si="73"/>
        <v>0</v>
      </c>
    </row>
    <row r="334" spans="1:16" x14ac:dyDescent="0.3">
      <c r="A334" s="216"/>
      <c r="B334" s="83" t="s">
        <v>422</v>
      </c>
      <c r="C334" s="83" t="s">
        <v>310</v>
      </c>
      <c r="D334" s="210">
        <v>6.7900000000000002E-2</v>
      </c>
      <c r="E334" s="193">
        <f t="shared" si="72"/>
        <v>0</v>
      </c>
      <c r="F334" s="193">
        <f t="shared" si="73"/>
        <v>0</v>
      </c>
      <c r="G334" s="193">
        <f t="shared" si="73"/>
        <v>0</v>
      </c>
      <c r="H334" s="193">
        <f t="shared" si="73"/>
        <v>0</v>
      </c>
      <c r="I334" s="193">
        <f t="shared" si="73"/>
        <v>0</v>
      </c>
      <c r="J334" s="193">
        <f t="shared" si="73"/>
        <v>0</v>
      </c>
      <c r="K334" s="193">
        <f t="shared" si="73"/>
        <v>0</v>
      </c>
      <c r="L334" s="193">
        <f t="shared" si="73"/>
        <v>0</v>
      </c>
      <c r="M334" s="193">
        <f t="shared" si="73"/>
        <v>0</v>
      </c>
      <c r="N334" s="193">
        <f t="shared" si="73"/>
        <v>0</v>
      </c>
      <c r="O334" s="193">
        <f t="shared" si="73"/>
        <v>0</v>
      </c>
      <c r="P334" s="194">
        <f t="shared" si="73"/>
        <v>0</v>
      </c>
    </row>
    <row r="335" spans="1:16" x14ac:dyDescent="0.3">
      <c r="A335" s="216"/>
      <c r="B335" s="83" t="s">
        <v>330</v>
      </c>
      <c r="C335" s="83" t="s">
        <v>211</v>
      </c>
      <c r="D335" s="210">
        <v>2.2700000000000001E-2</v>
      </c>
      <c r="E335" s="193">
        <f t="shared" si="72"/>
        <v>0</v>
      </c>
      <c r="F335" s="193">
        <f t="shared" si="73"/>
        <v>0</v>
      </c>
      <c r="G335" s="193">
        <f t="shared" si="73"/>
        <v>0</v>
      </c>
      <c r="H335" s="193">
        <f t="shared" si="73"/>
        <v>0</v>
      </c>
      <c r="I335" s="193">
        <f t="shared" si="73"/>
        <v>0</v>
      </c>
      <c r="J335" s="193">
        <f t="shared" si="73"/>
        <v>0</v>
      </c>
      <c r="K335" s="193">
        <f t="shared" si="73"/>
        <v>0</v>
      </c>
      <c r="L335" s="193">
        <f t="shared" si="73"/>
        <v>0</v>
      </c>
      <c r="M335" s="193">
        <f t="shared" si="73"/>
        <v>0</v>
      </c>
      <c r="N335" s="193">
        <f t="shared" si="73"/>
        <v>0</v>
      </c>
      <c r="O335" s="193">
        <f t="shared" si="73"/>
        <v>0</v>
      </c>
      <c r="P335" s="194">
        <f t="shared" si="73"/>
        <v>0</v>
      </c>
    </row>
    <row r="336" spans="1:16" x14ac:dyDescent="0.3">
      <c r="A336" s="216"/>
      <c r="B336" s="83" t="s">
        <v>344</v>
      </c>
      <c r="C336" s="83" t="s">
        <v>70</v>
      </c>
      <c r="D336" s="210">
        <v>2.12E-2</v>
      </c>
      <c r="E336" s="193">
        <f t="shared" si="72"/>
        <v>0</v>
      </c>
      <c r="F336" s="193">
        <f t="shared" si="73"/>
        <v>0</v>
      </c>
      <c r="G336" s="193">
        <f t="shared" si="73"/>
        <v>0</v>
      </c>
      <c r="H336" s="193">
        <f t="shared" si="73"/>
        <v>0</v>
      </c>
      <c r="I336" s="193">
        <f t="shared" si="73"/>
        <v>0</v>
      </c>
      <c r="J336" s="193">
        <f t="shared" si="73"/>
        <v>0</v>
      </c>
      <c r="K336" s="193">
        <f t="shared" si="73"/>
        <v>0</v>
      </c>
      <c r="L336" s="193">
        <f t="shared" si="73"/>
        <v>0</v>
      </c>
      <c r="M336" s="193">
        <f t="shared" si="73"/>
        <v>0</v>
      </c>
      <c r="N336" s="193">
        <f t="shared" si="73"/>
        <v>0</v>
      </c>
      <c r="O336" s="193">
        <f t="shared" si="73"/>
        <v>0</v>
      </c>
      <c r="P336" s="194">
        <f t="shared" si="73"/>
        <v>0</v>
      </c>
    </row>
    <row r="337" spans="1:16" x14ac:dyDescent="0.3">
      <c r="A337" s="216"/>
      <c r="B337" s="83" t="s">
        <v>381</v>
      </c>
      <c r="C337" s="83" t="s">
        <v>238</v>
      </c>
      <c r="D337" s="210">
        <v>2.5000000000000001E-2</v>
      </c>
      <c r="E337" s="193">
        <f t="shared" si="72"/>
        <v>0</v>
      </c>
      <c r="F337" s="193">
        <f t="shared" si="73"/>
        <v>0</v>
      </c>
      <c r="G337" s="193">
        <f t="shared" si="73"/>
        <v>0</v>
      </c>
      <c r="H337" s="193">
        <f t="shared" si="73"/>
        <v>0</v>
      </c>
      <c r="I337" s="193">
        <f t="shared" si="73"/>
        <v>0</v>
      </c>
      <c r="J337" s="193">
        <f t="shared" si="73"/>
        <v>0</v>
      </c>
      <c r="K337" s="193">
        <f t="shared" si="73"/>
        <v>0</v>
      </c>
      <c r="L337" s="193">
        <f t="shared" si="73"/>
        <v>0</v>
      </c>
      <c r="M337" s="193">
        <f t="shared" si="73"/>
        <v>0</v>
      </c>
      <c r="N337" s="193">
        <f t="shared" si="73"/>
        <v>0</v>
      </c>
      <c r="O337" s="193">
        <f t="shared" si="73"/>
        <v>0</v>
      </c>
      <c r="P337" s="194">
        <f t="shared" si="73"/>
        <v>0</v>
      </c>
    </row>
    <row r="338" spans="1:16" x14ac:dyDescent="0.3">
      <c r="A338" s="216"/>
      <c r="B338" s="83" t="s">
        <v>327</v>
      </c>
      <c r="C338" s="83" t="s">
        <v>151</v>
      </c>
      <c r="D338" s="210">
        <v>8.5000000000000006E-3</v>
      </c>
      <c r="E338" s="193">
        <f t="shared" si="72"/>
        <v>0</v>
      </c>
      <c r="F338" s="193">
        <f t="shared" si="73"/>
        <v>0</v>
      </c>
      <c r="G338" s="193">
        <f t="shared" si="73"/>
        <v>0</v>
      </c>
      <c r="H338" s="193">
        <f t="shared" si="73"/>
        <v>0</v>
      </c>
      <c r="I338" s="193">
        <f t="shared" si="73"/>
        <v>0</v>
      </c>
      <c r="J338" s="193">
        <f t="shared" si="73"/>
        <v>0</v>
      </c>
      <c r="K338" s="193">
        <f t="shared" si="73"/>
        <v>0</v>
      </c>
      <c r="L338" s="193">
        <f t="shared" si="73"/>
        <v>0</v>
      </c>
      <c r="M338" s="193">
        <f t="shared" si="73"/>
        <v>0</v>
      </c>
      <c r="N338" s="193">
        <f t="shared" si="73"/>
        <v>0</v>
      </c>
      <c r="O338" s="193">
        <f t="shared" si="73"/>
        <v>0</v>
      </c>
      <c r="P338" s="194">
        <f t="shared" si="73"/>
        <v>0</v>
      </c>
    </row>
    <row r="339" spans="1:16" x14ac:dyDescent="0.3">
      <c r="A339" s="216"/>
      <c r="B339" s="83" t="s">
        <v>386</v>
      </c>
      <c r="C339" s="83" t="s">
        <v>288</v>
      </c>
      <c r="D339" s="210">
        <v>2.1499999999999998E-2</v>
      </c>
      <c r="E339" s="193">
        <f t="shared" si="72"/>
        <v>0</v>
      </c>
      <c r="F339" s="193">
        <f t="shared" si="73"/>
        <v>0</v>
      </c>
      <c r="G339" s="193">
        <f t="shared" si="73"/>
        <v>0</v>
      </c>
      <c r="H339" s="193">
        <f t="shared" si="73"/>
        <v>0</v>
      </c>
      <c r="I339" s="193">
        <f t="shared" si="73"/>
        <v>0</v>
      </c>
      <c r="J339" s="193">
        <f t="shared" si="73"/>
        <v>0</v>
      </c>
      <c r="K339" s="193">
        <f t="shared" si="73"/>
        <v>0</v>
      </c>
      <c r="L339" s="193">
        <f t="shared" si="73"/>
        <v>0</v>
      </c>
      <c r="M339" s="193">
        <f t="shared" si="73"/>
        <v>0</v>
      </c>
      <c r="N339" s="193">
        <f t="shared" si="73"/>
        <v>0</v>
      </c>
      <c r="O339" s="193">
        <f t="shared" si="73"/>
        <v>0</v>
      </c>
      <c r="P339" s="194">
        <f t="shared" si="73"/>
        <v>0</v>
      </c>
    </row>
    <row r="340" spans="1:16" x14ac:dyDescent="0.3">
      <c r="A340" s="216"/>
      <c r="B340" s="83" t="s">
        <v>423</v>
      </c>
      <c r="C340" s="83" t="s">
        <v>311</v>
      </c>
      <c r="D340" s="210">
        <v>1.7000000000000001E-3</v>
      </c>
      <c r="E340" s="193">
        <f t="shared" si="72"/>
        <v>0</v>
      </c>
      <c r="F340" s="193">
        <f t="shared" ref="F340:P340" si="74">F$323*$D340</f>
        <v>0</v>
      </c>
      <c r="G340" s="193">
        <f t="shared" si="74"/>
        <v>0</v>
      </c>
      <c r="H340" s="193">
        <f t="shared" si="74"/>
        <v>0</v>
      </c>
      <c r="I340" s="193">
        <f t="shared" si="74"/>
        <v>0</v>
      </c>
      <c r="J340" s="193">
        <f t="shared" si="74"/>
        <v>0</v>
      </c>
      <c r="K340" s="193">
        <f t="shared" si="74"/>
        <v>0</v>
      </c>
      <c r="L340" s="193">
        <f t="shared" si="74"/>
        <v>0</v>
      </c>
      <c r="M340" s="193">
        <f t="shared" si="74"/>
        <v>0</v>
      </c>
      <c r="N340" s="193">
        <f t="shared" si="74"/>
        <v>0</v>
      </c>
      <c r="O340" s="193">
        <f t="shared" si="74"/>
        <v>0</v>
      </c>
      <c r="P340" s="194">
        <f t="shared" si="74"/>
        <v>0</v>
      </c>
    </row>
    <row r="341" spans="1:16" x14ac:dyDescent="0.3">
      <c r="A341" s="216"/>
      <c r="B341" s="83" t="s">
        <v>424</v>
      </c>
      <c r="C341" s="83" t="s">
        <v>312</v>
      </c>
      <c r="D341" s="210">
        <v>5.0000000000000001E-3</v>
      </c>
      <c r="E341" s="193">
        <f t="shared" ref="E341:P348" si="75">E$323*$D341</f>
        <v>0</v>
      </c>
      <c r="F341" s="193">
        <f t="shared" si="75"/>
        <v>0</v>
      </c>
      <c r="G341" s="193">
        <f t="shared" si="75"/>
        <v>0</v>
      </c>
      <c r="H341" s="193">
        <f t="shared" si="75"/>
        <v>0</v>
      </c>
      <c r="I341" s="193">
        <f t="shared" si="75"/>
        <v>0</v>
      </c>
      <c r="J341" s="193">
        <f t="shared" si="75"/>
        <v>0</v>
      </c>
      <c r="K341" s="193">
        <f t="shared" si="75"/>
        <v>0</v>
      </c>
      <c r="L341" s="193">
        <f t="shared" si="75"/>
        <v>0</v>
      </c>
      <c r="M341" s="193">
        <f t="shared" si="75"/>
        <v>0</v>
      </c>
      <c r="N341" s="193">
        <f t="shared" si="75"/>
        <v>0</v>
      </c>
      <c r="O341" s="193">
        <f t="shared" si="75"/>
        <v>0</v>
      </c>
      <c r="P341" s="194">
        <f t="shared" si="75"/>
        <v>0</v>
      </c>
    </row>
    <row r="342" spans="1:16" x14ac:dyDescent="0.3">
      <c r="A342" s="216"/>
      <c r="B342" s="83" t="s">
        <v>417</v>
      </c>
      <c r="C342" s="83" t="s">
        <v>313</v>
      </c>
      <c r="D342" s="210">
        <v>4.5000000000000005E-3</v>
      </c>
      <c r="E342" s="193">
        <f t="shared" si="75"/>
        <v>0</v>
      </c>
      <c r="F342" s="193">
        <f t="shared" si="75"/>
        <v>0</v>
      </c>
      <c r="G342" s="193">
        <f t="shared" si="75"/>
        <v>0</v>
      </c>
      <c r="H342" s="193">
        <f t="shared" si="75"/>
        <v>0</v>
      </c>
      <c r="I342" s="193">
        <f t="shared" si="75"/>
        <v>0</v>
      </c>
      <c r="J342" s="193">
        <f t="shared" si="75"/>
        <v>0</v>
      </c>
      <c r="K342" s="193">
        <f t="shared" si="75"/>
        <v>0</v>
      </c>
      <c r="L342" s="193">
        <f t="shared" si="75"/>
        <v>0</v>
      </c>
      <c r="M342" s="193">
        <f t="shared" si="75"/>
        <v>0</v>
      </c>
      <c r="N342" s="193">
        <f t="shared" si="75"/>
        <v>0</v>
      </c>
      <c r="O342" s="193">
        <f t="shared" si="75"/>
        <v>0</v>
      </c>
      <c r="P342" s="194">
        <f t="shared" si="75"/>
        <v>0</v>
      </c>
    </row>
    <row r="343" spans="1:16" x14ac:dyDescent="0.3">
      <c r="A343" s="216"/>
      <c r="B343" s="267">
        <v>333459</v>
      </c>
      <c r="C343" s="266" t="s">
        <v>767</v>
      </c>
      <c r="D343" s="269">
        <v>0.1089</v>
      </c>
      <c r="E343" s="270">
        <f>E$323*$D343/73%</f>
        <v>0</v>
      </c>
      <c r="F343" s="270">
        <f t="shared" ref="F343:P344" si="76">F$323*$D343/73%</f>
        <v>0</v>
      </c>
      <c r="G343" s="270">
        <f t="shared" si="76"/>
        <v>0</v>
      </c>
      <c r="H343" s="270">
        <f t="shared" si="76"/>
        <v>0</v>
      </c>
      <c r="I343" s="270">
        <f t="shared" si="76"/>
        <v>0</v>
      </c>
      <c r="J343" s="270">
        <f t="shared" si="76"/>
        <v>0</v>
      </c>
      <c r="K343" s="270">
        <f t="shared" si="76"/>
        <v>0</v>
      </c>
      <c r="L343" s="270">
        <f t="shared" si="76"/>
        <v>0</v>
      </c>
      <c r="M343" s="270">
        <f t="shared" si="76"/>
        <v>0</v>
      </c>
      <c r="N343" s="270">
        <f t="shared" si="76"/>
        <v>0</v>
      </c>
      <c r="O343" s="270">
        <f t="shared" si="76"/>
        <v>0</v>
      </c>
      <c r="P343" s="268">
        <f t="shared" si="76"/>
        <v>0</v>
      </c>
    </row>
    <row r="344" spans="1:16" x14ac:dyDescent="0.3">
      <c r="A344" s="216"/>
      <c r="B344" s="267">
        <v>145021</v>
      </c>
      <c r="C344" s="266" t="s">
        <v>770</v>
      </c>
      <c r="D344" s="269">
        <v>1.9800000000000002E-2</v>
      </c>
      <c r="E344" s="270">
        <f t="shared" ref="E344" si="77">E$323*$D344/73%</f>
        <v>0</v>
      </c>
      <c r="F344" s="270">
        <f t="shared" si="76"/>
        <v>0</v>
      </c>
      <c r="G344" s="270">
        <f t="shared" si="76"/>
        <v>0</v>
      </c>
      <c r="H344" s="270">
        <f t="shared" si="76"/>
        <v>0</v>
      </c>
      <c r="I344" s="270">
        <f t="shared" si="76"/>
        <v>0</v>
      </c>
      <c r="J344" s="270">
        <f t="shared" si="76"/>
        <v>0</v>
      </c>
      <c r="K344" s="270">
        <f t="shared" si="76"/>
        <v>0</v>
      </c>
      <c r="L344" s="270">
        <f t="shared" si="76"/>
        <v>0</v>
      </c>
      <c r="M344" s="270">
        <f t="shared" si="76"/>
        <v>0</v>
      </c>
      <c r="N344" s="270">
        <f t="shared" si="76"/>
        <v>0</v>
      </c>
      <c r="O344" s="270">
        <f t="shared" si="76"/>
        <v>0</v>
      </c>
      <c r="P344" s="268">
        <f t="shared" si="76"/>
        <v>0</v>
      </c>
    </row>
    <row r="345" spans="1:16" x14ac:dyDescent="0.3">
      <c r="A345" s="216"/>
      <c r="B345" s="83" t="s">
        <v>406</v>
      </c>
      <c r="C345" s="83" t="s">
        <v>291</v>
      </c>
      <c r="D345" s="210">
        <v>2E-3</v>
      </c>
      <c r="E345" s="193">
        <f t="shared" si="75"/>
        <v>0</v>
      </c>
      <c r="F345" s="193">
        <f t="shared" si="75"/>
        <v>0</v>
      </c>
      <c r="G345" s="193">
        <f t="shared" si="75"/>
        <v>0</v>
      </c>
      <c r="H345" s="193">
        <f t="shared" si="75"/>
        <v>0</v>
      </c>
      <c r="I345" s="193">
        <f t="shared" si="75"/>
        <v>0</v>
      </c>
      <c r="J345" s="193">
        <f t="shared" si="75"/>
        <v>0</v>
      </c>
      <c r="K345" s="193">
        <f t="shared" si="75"/>
        <v>0</v>
      </c>
      <c r="L345" s="193">
        <f t="shared" si="75"/>
        <v>0</v>
      </c>
      <c r="M345" s="193">
        <f t="shared" si="75"/>
        <v>0</v>
      </c>
      <c r="N345" s="193">
        <f t="shared" si="75"/>
        <v>0</v>
      </c>
      <c r="O345" s="193">
        <f t="shared" si="75"/>
        <v>0</v>
      </c>
      <c r="P345" s="194">
        <f t="shared" si="75"/>
        <v>0</v>
      </c>
    </row>
    <row r="346" spans="1:16" x14ac:dyDescent="0.3">
      <c r="A346" s="216"/>
      <c r="B346" s="83" t="s">
        <v>394</v>
      </c>
      <c r="C346" s="83" t="s">
        <v>264</v>
      </c>
      <c r="D346" s="210">
        <v>2E-3</v>
      </c>
      <c r="E346" s="193">
        <f t="shared" si="75"/>
        <v>0</v>
      </c>
      <c r="F346" s="193">
        <f t="shared" si="75"/>
        <v>0</v>
      </c>
      <c r="G346" s="193">
        <f t="shared" si="75"/>
        <v>0</v>
      </c>
      <c r="H346" s="193">
        <f t="shared" si="75"/>
        <v>0</v>
      </c>
      <c r="I346" s="193">
        <f t="shared" si="75"/>
        <v>0</v>
      </c>
      <c r="J346" s="193">
        <f t="shared" si="75"/>
        <v>0</v>
      </c>
      <c r="K346" s="193">
        <f t="shared" si="75"/>
        <v>0</v>
      </c>
      <c r="L346" s="193">
        <f t="shared" si="75"/>
        <v>0</v>
      </c>
      <c r="M346" s="193">
        <f t="shared" si="75"/>
        <v>0</v>
      </c>
      <c r="N346" s="193">
        <f t="shared" si="75"/>
        <v>0</v>
      </c>
      <c r="O346" s="193">
        <f t="shared" si="75"/>
        <v>0</v>
      </c>
      <c r="P346" s="194">
        <f t="shared" si="75"/>
        <v>0</v>
      </c>
    </row>
    <row r="347" spans="1:16" x14ac:dyDescent="0.3">
      <c r="A347" s="216"/>
      <c r="B347" s="83" t="s">
        <v>407</v>
      </c>
      <c r="C347" s="83" t="s">
        <v>292</v>
      </c>
      <c r="D347" s="210">
        <v>0.9</v>
      </c>
      <c r="E347" s="193">
        <f t="shared" si="75"/>
        <v>0</v>
      </c>
      <c r="F347" s="193">
        <f t="shared" si="75"/>
        <v>0</v>
      </c>
      <c r="G347" s="193">
        <f t="shared" si="75"/>
        <v>0</v>
      </c>
      <c r="H347" s="193">
        <f t="shared" si="75"/>
        <v>0</v>
      </c>
      <c r="I347" s="193">
        <f t="shared" si="75"/>
        <v>0</v>
      </c>
      <c r="J347" s="193">
        <f t="shared" si="75"/>
        <v>0</v>
      </c>
      <c r="K347" s="193">
        <f t="shared" si="75"/>
        <v>0</v>
      </c>
      <c r="L347" s="193">
        <f t="shared" si="75"/>
        <v>0</v>
      </c>
      <c r="M347" s="193">
        <f t="shared" si="75"/>
        <v>0</v>
      </c>
      <c r="N347" s="193">
        <f t="shared" si="75"/>
        <v>0</v>
      </c>
      <c r="O347" s="193">
        <f t="shared" si="75"/>
        <v>0</v>
      </c>
      <c r="P347" s="194">
        <f t="shared" si="75"/>
        <v>0</v>
      </c>
    </row>
    <row r="348" spans="1:16" ht="17.25" thickBot="1" x14ac:dyDescent="0.35">
      <c r="A348" s="217"/>
      <c r="B348" s="203" t="s">
        <v>395</v>
      </c>
      <c r="C348" s="203" t="s">
        <v>265</v>
      </c>
      <c r="D348" s="204">
        <v>0.36</v>
      </c>
      <c r="E348" s="201">
        <f t="shared" si="75"/>
        <v>0</v>
      </c>
      <c r="F348" s="201">
        <f t="shared" si="75"/>
        <v>0</v>
      </c>
      <c r="G348" s="201">
        <f t="shared" si="75"/>
        <v>0</v>
      </c>
      <c r="H348" s="201">
        <f t="shared" si="75"/>
        <v>0</v>
      </c>
      <c r="I348" s="201">
        <f t="shared" si="75"/>
        <v>0</v>
      </c>
      <c r="J348" s="201">
        <f t="shared" si="75"/>
        <v>0</v>
      </c>
      <c r="K348" s="201">
        <f t="shared" si="75"/>
        <v>0</v>
      </c>
      <c r="L348" s="201">
        <f t="shared" si="75"/>
        <v>0</v>
      </c>
      <c r="M348" s="201">
        <f t="shared" si="75"/>
        <v>0</v>
      </c>
      <c r="N348" s="201">
        <f t="shared" si="75"/>
        <v>0</v>
      </c>
      <c r="O348" s="201">
        <f t="shared" si="75"/>
        <v>0</v>
      </c>
      <c r="P348" s="202">
        <f t="shared" si="75"/>
        <v>0</v>
      </c>
    </row>
    <row r="349" spans="1:16" ht="17.25" thickBot="1" x14ac:dyDescent="0.35">
      <c r="A349" s="185">
        <v>334659</v>
      </c>
      <c r="B349" s="186"/>
      <c r="C349" s="187" t="s">
        <v>12</v>
      </c>
      <c r="D349" s="188">
        <f>SUM(D350:D355)</f>
        <v>0.99999999999999978</v>
      </c>
      <c r="E349" s="189">
        <f>IFERROR(VLOOKUP($A349,완제품!$B:$CP,E$1,FALSE),0)</f>
        <v>0</v>
      </c>
      <c r="F349" s="189">
        <f>IFERROR(VLOOKUP($A349,완제품!$B:$CP,F$1,FALSE),0)</f>
        <v>0</v>
      </c>
      <c r="G349" s="189">
        <f>IFERROR(VLOOKUP($A349,완제품!$B:$CP,G$1,FALSE),0)</f>
        <v>0</v>
      </c>
      <c r="H349" s="189">
        <f>IFERROR(VLOOKUP($A349,완제품!$B:$CP,H$1,FALSE),0)</f>
        <v>0</v>
      </c>
      <c r="I349" s="189">
        <f>IFERROR(VLOOKUP($A349,완제품!$B:$CP,I$1,FALSE),0)</f>
        <v>0</v>
      </c>
      <c r="J349" s="189">
        <f>IFERROR(VLOOKUP($A349,완제품!$B:$CP,J$1,FALSE),0)</f>
        <v>0</v>
      </c>
      <c r="K349" s="189">
        <f>IFERROR(VLOOKUP($A349,완제품!$B:$CP,K$1,FALSE),0)</f>
        <v>0</v>
      </c>
      <c r="L349" s="189">
        <f>IFERROR(VLOOKUP($A349,완제품!$B:$CP,L$1,FALSE),0)</f>
        <v>0</v>
      </c>
      <c r="M349" s="189">
        <f>IFERROR(VLOOKUP($A349,완제품!$B:$CP,M$1,FALSE),0)</f>
        <v>0</v>
      </c>
      <c r="N349" s="189">
        <f>IFERROR(VLOOKUP($A349,완제품!$B:$CP,N$1,FALSE),0)</f>
        <v>0</v>
      </c>
      <c r="O349" s="189">
        <f>IFERROR(VLOOKUP($A349,완제품!$B:$CP,O$1,FALSE),0)</f>
        <v>0</v>
      </c>
      <c r="P349" s="189">
        <f>IFERROR(VLOOKUP($A349,완제품!$B:$CP,P$1,FALSE),0)</f>
        <v>0</v>
      </c>
    </row>
    <row r="350" spans="1:16" x14ac:dyDescent="0.3">
      <c r="A350" s="190"/>
      <c r="B350" s="191" t="s">
        <v>425</v>
      </c>
      <c r="C350" s="191" t="s">
        <v>82</v>
      </c>
      <c r="D350" s="218">
        <v>0.72674418604651148</v>
      </c>
      <c r="E350" s="193">
        <f t="shared" ref="E350:E355" si="78">E$349*$D350</f>
        <v>0</v>
      </c>
      <c r="F350" s="193">
        <f t="shared" ref="F350:P355" si="79">F$349*$D350</f>
        <v>0</v>
      </c>
      <c r="G350" s="193">
        <f t="shared" si="79"/>
        <v>0</v>
      </c>
      <c r="H350" s="193">
        <f t="shared" si="79"/>
        <v>0</v>
      </c>
      <c r="I350" s="193">
        <f t="shared" si="79"/>
        <v>0</v>
      </c>
      <c r="J350" s="193">
        <f t="shared" si="79"/>
        <v>0</v>
      </c>
      <c r="K350" s="193">
        <f t="shared" si="79"/>
        <v>0</v>
      </c>
      <c r="L350" s="193">
        <f t="shared" si="79"/>
        <v>0</v>
      </c>
      <c r="M350" s="193">
        <f t="shared" si="79"/>
        <v>0</v>
      </c>
      <c r="N350" s="193">
        <f t="shared" si="79"/>
        <v>0</v>
      </c>
      <c r="O350" s="193">
        <f t="shared" si="79"/>
        <v>0</v>
      </c>
      <c r="P350" s="194">
        <f t="shared" si="79"/>
        <v>0</v>
      </c>
    </row>
    <row r="351" spans="1:16" x14ac:dyDescent="0.3">
      <c r="A351" s="195"/>
      <c r="B351" s="196" t="s">
        <v>426</v>
      </c>
      <c r="C351" s="196" t="s">
        <v>83</v>
      </c>
      <c r="D351" s="207">
        <v>7.2674418604651162E-3</v>
      </c>
      <c r="E351" s="193">
        <f t="shared" si="78"/>
        <v>0</v>
      </c>
      <c r="F351" s="193">
        <f t="shared" si="79"/>
        <v>0</v>
      </c>
      <c r="G351" s="193">
        <f t="shared" si="79"/>
        <v>0</v>
      </c>
      <c r="H351" s="193">
        <f t="shared" si="79"/>
        <v>0</v>
      </c>
      <c r="I351" s="193">
        <f t="shared" si="79"/>
        <v>0</v>
      </c>
      <c r="J351" s="193">
        <f t="shared" si="79"/>
        <v>0</v>
      </c>
      <c r="K351" s="193">
        <f t="shared" si="79"/>
        <v>0</v>
      </c>
      <c r="L351" s="193">
        <f t="shared" si="79"/>
        <v>0</v>
      </c>
      <c r="M351" s="193">
        <f t="shared" si="79"/>
        <v>0</v>
      </c>
      <c r="N351" s="193">
        <f t="shared" si="79"/>
        <v>0</v>
      </c>
      <c r="O351" s="193">
        <f t="shared" si="79"/>
        <v>0</v>
      </c>
      <c r="P351" s="194">
        <f t="shared" si="79"/>
        <v>0</v>
      </c>
    </row>
    <row r="352" spans="1:16" x14ac:dyDescent="0.3">
      <c r="A352" s="195"/>
      <c r="B352" s="196" t="s">
        <v>419</v>
      </c>
      <c r="C352" s="196" t="s">
        <v>314</v>
      </c>
      <c r="D352" s="207">
        <v>5.08720930232558E-3</v>
      </c>
      <c r="E352" s="193">
        <f t="shared" si="78"/>
        <v>0</v>
      </c>
      <c r="F352" s="193">
        <f t="shared" si="79"/>
        <v>0</v>
      </c>
      <c r="G352" s="193">
        <f t="shared" si="79"/>
        <v>0</v>
      </c>
      <c r="H352" s="193">
        <f t="shared" si="79"/>
        <v>0</v>
      </c>
      <c r="I352" s="193">
        <f t="shared" si="79"/>
        <v>0</v>
      </c>
      <c r="J352" s="193">
        <f t="shared" si="79"/>
        <v>0</v>
      </c>
      <c r="K352" s="193">
        <f t="shared" si="79"/>
        <v>0</v>
      </c>
      <c r="L352" s="193">
        <f t="shared" si="79"/>
        <v>0</v>
      </c>
      <c r="M352" s="193">
        <f t="shared" si="79"/>
        <v>0</v>
      </c>
      <c r="N352" s="193">
        <f t="shared" si="79"/>
        <v>0</v>
      </c>
      <c r="O352" s="193">
        <f t="shared" si="79"/>
        <v>0</v>
      </c>
      <c r="P352" s="194">
        <f t="shared" si="79"/>
        <v>0</v>
      </c>
    </row>
    <row r="353" spans="1:16" x14ac:dyDescent="0.3">
      <c r="A353" s="195"/>
      <c r="B353" s="196" t="s">
        <v>367</v>
      </c>
      <c r="C353" s="196" t="s">
        <v>315</v>
      </c>
      <c r="D353" s="207">
        <v>6.5406976744186041E-3</v>
      </c>
      <c r="E353" s="193">
        <f t="shared" si="78"/>
        <v>0</v>
      </c>
      <c r="F353" s="193">
        <f t="shared" si="79"/>
        <v>0</v>
      </c>
      <c r="G353" s="193">
        <f t="shared" si="79"/>
        <v>0</v>
      </c>
      <c r="H353" s="193">
        <f t="shared" si="79"/>
        <v>0</v>
      </c>
      <c r="I353" s="193">
        <f t="shared" si="79"/>
        <v>0</v>
      </c>
      <c r="J353" s="193">
        <f t="shared" si="79"/>
        <v>0</v>
      </c>
      <c r="K353" s="193">
        <f t="shared" si="79"/>
        <v>0</v>
      </c>
      <c r="L353" s="193">
        <f t="shared" si="79"/>
        <v>0</v>
      </c>
      <c r="M353" s="193">
        <f t="shared" si="79"/>
        <v>0</v>
      </c>
      <c r="N353" s="193">
        <f t="shared" si="79"/>
        <v>0</v>
      </c>
      <c r="O353" s="193">
        <f t="shared" si="79"/>
        <v>0</v>
      </c>
      <c r="P353" s="194">
        <f t="shared" si="79"/>
        <v>0</v>
      </c>
    </row>
    <row r="354" spans="1:16" x14ac:dyDescent="0.3">
      <c r="A354" s="195"/>
      <c r="B354" s="196" t="s">
        <v>427</v>
      </c>
      <c r="C354" s="196" t="s">
        <v>316</v>
      </c>
      <c r="D354" s="207">
        <v>7.2674418604651153E-2</v>
      </c>
      <c r="E354" s="193">
        <f t="shared" si="78"/>
        <v>0</v>
      </c>
      <c r="F354" s="193">
        <f t="shared" si="79"/>
        <v>0</v>
      </c>
      <c r="G354" s="193">
        <f t="shared" si="79"/>
        <v>0</v>
      </c>
      <c r="H354" s="193">
        <f t="shared" si="79"/>
        <v>0</v>
      </c>
      <c r="I354" s="193">
        <f t="shared" si="79"/>
        <v>0</v>
      </c>
      <c r="J354" s="193">
        <f t="shared" si="79"/>
        <v>0</v>
      </c>
      <c r="K354" s="193">
        <f t="shared" si="79"/>
        <v>0</v>
      </c>
      <c r="L354" s="193">
        <f t="shared" si="79"/>
        <v>0</v>
      </c>
      <c r="M354" s="193">
        <f t="shared" si="79"/>
        <v>0</v>
      </c>
      <c r="N354" s="193">
        <f t="shared" si="79"/>
        <v>0</v>
      </c>
      <c r="O354" s="193">
        <f t="shared" si="79"/>
        <v>0</v>
      </c>
      <c r="P354" s="194">
        <f t="shared" si="79"/>
        <v>0</v>
      </c>
    </row>
    <row r="355" spans="1:16" ht="17.25" thickBot="1" x14ac:dyDescent="0.35">
      <c r="A355" s="195"/>
      <c r="B355" s="83" t="s">
        <v>225</v>
      </c>
      <c r="C355" s="83" t="s">
        <v>148</v>
      </c>
      <c r="D355" s="219">
        <v>0.18168604651162787</v>
      </c>
      <c r="E355" s="193">
        <f t="shared" si="78"/>
        <v>0</v>
      </c>
      <c r="F355" s="193">
        <f t="shared" si="79"/>
        <v>0</v>
      </c>
      <c r="G355" s="193">
        <f t="shared" si="79"/>
        <v>0</v>
      </c>
      <c r="H355" s="193">
        <f t="shared" si="79"/>
        <v>0</v>
      </c>
      <c r="I355" s="193">
        <f t="shared" si="79"/>
        <v>0</v>
      </c>
      <c r="J355" s="193">
        <f t="shared" si="79"/>
        <v>0</v>
      </c>
      <c r="K355" s="193">
        <f t="shared" si="79"/>
        <v>0</v>
      </c>
      <c r="L355" s="193">
        <f t="shared" si="79"/>
        <v>0</v>
      </c>
      <c r="M355" s="193">
        <f t="shared" si="79"/>
        <v>0</v>
      </c>
      <c r="N355" s="193">
        <f t="shared" si="79"/>
        <v>0</v>
      </c>
      <c r="O355" s="193">
        <f t="shared" si="79"/>
        <v>0</v>
      </c>
      <c r="P355" s="194">
        <f t="shared" si="79"/>
        <v>0</v>
      </c>
    </row>
    <row r="356" spans="1:16" ht="17.25" thickBot="1" x14ac:dyDescent="0.35">
      <c r="A356" s="185">
        <v>334969</v>
      </c>
      <c r="B356" s="186"/>
      <c r="C356" s="187" t="s">
        <v>856</v>
      </c>
      <c r="D356" s="188">
        <f>SUM(D357:D365)</f>
        <v>0.99999999999999989</v>
      </c>
      <c r="E356" s="189">
        <f>IFERROR(VLOOKUP($A356,완제품!$B:$CP,E$1,FALSE),0)</f>
        <v>77.489999999999995</v>
      </c>
      <c r="F356" s="189">
        <f>IFERROR(VLOOKUP($A356,완제품!$B:$CP,F$1,FALSE),0)</f>
        <v>0</v>
      </c>
      <c r="G356" s="189">
        <f>IFERROR(VLOOKUP($A356,완제품!$B:$CP,G$1,FALSE),0)</f>
        <v>0</v>
      </c>
      <c r="H356" s="189">
        <f>IFERROR(VLOOKUP($A356,완제품!$B:$CP,H$1,FALSE),0)</f>
        <v>0</v>
      </c>
      <c r="I356" s="189">
        <f>IFERROR(VLOOKUP($A356,완제품!$B:$CP,I$1,FALSE),0)</f>
        <v>0</v>
      </c>
      <c r="J356" s="189">
        <f>IFERROR(VLOOKUP($A356,완제품!$B:$CP,J$1,FALSE),0)</f>
        <v>0</v>
      </c>
      <c r="K356" s="189">
        <f>IFERROR(VLOOKUP($A356,완제품!$B:$CP,K$1,FALSE),0)</f>
        <v>0</v>
      </c>
      <c r="L356" s="189">
        <f>IFERROR(VLOOKUP($A356,완제품!$B:$CP,L$1,FALSE),0)</f>
        <v>0</v>
      </c>
      <c r="M356" s="189">
        <f>IFERROR(VLOOKUP($A356,완제품!$B:$CP,M$1,FALSE),0)</f>
        <v>0</v>
      </c>
      <c r="N356" s="189">
        <f>IFERROR(VLOOKUP($A356,완제품!$B:$CP,N$1,FALSE),0)</f>
        <v>0</v>
      </c>
      <c r="O356" s="189">
        <f>IFERROR(VLOOKUP($A356,완제품!$B:$CP,O$1,FALSE),0)</f>
        <v>0</v>
      </c>
      <c r="P356" s="189">
        <f>IFERROR(VLOOKUP($A356,완제품!$B:$CP,P$1,FALSE),0)</f>
        <v>0</v>
      </c>
    </row>
    <row r="357" spans="1:16" x14ac:dyDescent="0.3">
      <c r="A357" s="190"/>
      <c r="B357" s="191" t="s">
        <v>330</v>
      </c>
      <c r="C357" s="191" t="s">
        <v>174</v>
      </c>
      <c r="D357" s="218">
        <v>0.27629999999999999</v>
      </c>
      <c r="E357" s="193">
        <f>E$356*$D357</f>
        <v>21.410486999999996</v>
      </c>
      <c r="F357" s="193">
        <f t="shared" ref="F357:P365" si="80">F$356*$D357</f>
        <v>0</v>
      </c>
      <c r="G357" s="193">
        <f t="shared" si="80"/>
        <v>0</v>
      </c>
      <c r="H357" s="193">
        <f t="shared" si="80"/>
        <v>0</v>
      </c>
      <c r="I357" s="193">
        <f t="shared" si="80"/>
        <v>0</v>
      </c>
      <c r="J357" s="193">
        <f t="shared" si="80"/>
        <v>0</v>
      </c>
      <c r="K357" s="193">
        <f t="shared" si="80"/>
        <v>0</v>
      </c>
      <c r="L357" s="193">
        <f t="shared" si="80"/>
        <v>0</v>
      </c>
      <c r="M357" s="193">
        <f t="shared" si="80"/>
        <v>0</v>
      </c>
      <c r="N357" s="193">
        <f t="shared" si="80"/>
        <v>0</v>
      </c>
      <c r="O357" s="193">
        <f t="shared" si="80"/>
        <v>0</v>
      </c>
      <c r="P357" s="194">
        <f t="shared" si="80"/>
        <v>0</v>
      </c>
    </row>
    <row r="358" spans="1:16" x14ac:dyDescent="0.3">
      <c r="A358" s="195"/>
      <c r="B358" s="196" t="s">
        <v>343</v>
      </c>
      <c r="C358" s="196" t="s">
        <v>175</v>
      </c>
      <c r="D358" s="207">
        <v>0.25</v>
      </c>
      <c r="E358" s="193">
        <f t="shared" ref="E358:E365" si="81">E$356*$D358</f>
        <v>19.372499999999999</v>
      </c>
      <c r="F358" s="193">
        <f t="shared" si="80"/>
        <v>0</v>
      </c>
      <c r="G358" s="193">
        <f t="shared" si="80"/>
        <v>0</v>
      </c>
      <c r="H358" s="193">
        <f t="shared" si="80"/>
        <v>0</v>
      </c>
      <c r="I358" s="193">
        <f t="shared" si="80"/>
        <v>0</v>
      </c>
      <c r="J358" s="193">
        <f t="shared" si="80"/>
        <v>0</v>
      </c>
      <c r="K358" s="193">
        <f t="shared" si="80"/>
        <v>0</v>
      </c>
      <c r="L358" s="193">
        <f t="shared" si="80"/>
        <v>0</v>
      </c>
      <c r="M358" s="193">
        <f t="shared" si="80"/>
        <v>0</v>
      </c>
      <c r="N358" s="193">
        <f t="shared" si="80"/>
        <v>0</v>
      </c>
      <c r="O358" s="193">
        <f t="shared" si="80"/>
        <v>0</v>
      </c>
      <c r="P358" s="194">
        <f t="shared" si="80"/>
        <v>0</v>
      </c>
    </row>
    <row r="359" spans="1:16" x14ac:dyDescent="0.3">
      <c r="A359" s="195"/>
      <c r="B359" s="196" t="s">
        <v>419</v>
      </c>
      <c r="C359" s="196" t="s">
        <v>317</v>
      </c>
      <c r="D359" s="207">
        <v>0.158</v>
      </c>
      <c r="E359" s="193">
        <f t="shared" si="81"/>
        <v>12.243419999999999</v>
      </c>
      <c r="F359" s="193">
        <f t="shared" si="80"/>
        <v>0</v>
      </c>
      <c r="G359" s="193">
        <f t="shared" si="80"/>
        <v>0</v>
      </c>
      <c r="H359" s="193">
        <f t="shared" si="80"/>
        <v>0</v>
      </c>
      <c r="I359" s="193">
        <f t="shared" si="80"/>
        <v>0</v>
      </c>
      <c r="J359" s="193">
        <f t="shared" si="80"/>
        <v>0</v>
      </c>
      <c r="K359" s="193">
        <f t="shared" si="80"/>
        <v>0</v>
      </c>
      <c r="L359" s="193">
        <f t="shared" si="80"/>
        <v>0</v>
      </c>
      <c r="M359" s="193">
        <f t="shared" si="80"/>
        <v>0</v>
      </c>
      <c r="N359" s="193">
        <f t="shared" si="80"/>
        <v>0</v>
      </c>
      <c r="O359" s="193">
        <f t="shared" si="80"/>
        <v>0</v>
      </c>
      <c r="P359" s="194">
        <f t="shared" si="80"/>
        <v>0</v>
      </c>
    </row>
    <row r="360" spans="1:16" x14ac:dyDescent="0.3">
      <c r="A360" s="195"/>
      <c r="B360" s="196" t="s">
        <v>337</v>
      </c>
      <c r="C360" s="196" t="s">
        <v>318</v>
      </c>
      <c r="D360" s="207">
        <v>0.1447</v>
      </c>
      <c r="E360" s="193">
        <f t="shared" si="81"/>
        <v>11.212802999999999</v>
      </c>
      <c r="F360" s="193">
        <f t="shared" si="80"/>
        <v>0</v>
      </c>
      <c r="G360" s="193">
        <f t="shared" si="80"/>
        <v>0</v>
      </c>
      <c r="H360" s="193">
        <f t="shared" si="80"/>
        <v>0</v>
      </c>
      <c r="I360" s="193">
        <f t="shared" si="80"/>
        <v>0</v>
      </c>
      <c r="J360" s="193">
        <f t="shared" si="80"/>
        <v>0</v>
      </c>
      <c r="K360" s="193">
        <f t="shared" si="80"/>
        <v>0</v>
      </c>
      <c r="L360" s="193">
        <f t="shared" si="80"/>
        <v>0</v>
      </c>
      <c r="M360" s="193">
        <f t="shared" si="80"/>
        <v>0</v>
      </c>
      <c r="N360" s="193">
        <f t="shared" si="80"/>
        <v>0</v>
      </c>
      <c r="O360" s="193">
        <f t="shared" si="80"/>
        <v>0</v>
      </c>
      <c r="P360" s="194">
        <f t="shared" si="80"/>
        <v>0</v>
      </c>
    </row>
    <row r="361" spans="1:16" x14ac:dyDescent="0.3">
      <c r="A361" s="195"/>
      <c r="B361" s="196" t="s">
        <v>346</v>
      </c>
      <c r="C361" s="196" t="s">
        <v>201</v>
      </c>
      <c r="D361" s="207">
        <v>5.2600000000000001E-2</v>
      </c>
      <c r="E361" s="193">
        <f t="shared" si="81"/>
        <v>4.0759739999999995</v>
      </c>
      <c r="F361" s="193">
        <f t="shared" si="80"/>
        <v>0</v>
      </c>
      <c r="G361" s="193">
        <f t="shared" si="80"/>
        <v>0</v>
      </c>
      <c r="H361" s="193">
        <f t="shared" si="80"/>
        <v>0</v>
      </c>
      <c r="I361" s="193">
        <f t="shared" si="80"/>
        <v>0</v>
      </c>
      <c r="J361" s="193">
        <f t="shared" si="80"/>
        <v>0</v>
      </c>
      <c r="K361" s="193">
        <f t="shared" si="80"/>
        <v>0</v>
      </c>
      <c r="L361" s="193">
        <f t="shared" si="80"/>
        <v>0</v>
      </c>
      <c r="M361" s="193">
        <f t="shared" si="80"/>
        <v>0</v>
      </c>
      <c r="N361" s="193">
        <f t="shared" si="80"/>
        <v>0</v>
      </c>
      <c r="O361" s="193">
        <f t="shared" si="80"/>
        <v>0</v>
      </c>
      <c r="P361" s="194">
        <f t="shared" si="80"/>
        <v>0</v>
      </c>
    </row>
    <row r="362" spans="1:16" x14ac:dyDescent="0.3">
      <c r="A362" s="195"/>
      <c r="B362" s="83" t="s">
        <v>348</v>
      </c>
      <c r="C362" s="83" t="s">
        <v>182</v>
      </c>
      <c r="D362" s="207">
        <v>3.95E-2</v>
      </c>
      <c r="E362" s="193">
        <f t="shared" si="81"/>
        <v>3.0608549999999997</v>
      </c>
      <c r="F362" s="193">
        <f t="shared" si="80"/>
        <v>0</v>
      </c>
      <c r="G362" s="193">
        <f t="shared" si="80"/>
        <v>0</v>
      </c>
      <c r="H362" s="193">
        <f t="shared" si="80"/>
        <v>0</v>
      </c>
      <c r="I362" s="193">
        <f t="shared" si="80"/>
        <v>0</v>
      </c>
      <c r="J362" s="193">
        <f t="shared" si="80"/>
        <v>0</v>
      </c>
      <c r="K362" s="193">
        <f t="shared" si="80"/>
        <v>0</v>
      </c>
      <c r="L362" s="193">
        <f t="shared" si="80"/>
        <v>0</v>
      </c>
      <c r="M362" s="193">
        <f t="shared" si="80"/>
        <v>0</v>
      </c>
      <c r="N362" s="193">
        <f t="shared" si="80"/>
        <v>0</v>
      </c>
      <c r="O362" s="193">
        <f t="shared" si="80"/>
        <v>0</v>
      </c>
      <c r="P362" s="194">
        <f t="shared" si="80"/>
        <v>0</v>
      </c>
    </row>
    <row r="363" spans="1:16" x14ac:dyDescent="0.3">
      <c r="A363" s="195"/>
      <c r="B363" s="83" t="s">
        <v>345</v>
      </c>
      <c r="C363" s="83" t="s">
        <v>203</v>
      </c>
      <c r="D363" s="207">
        <v>2.63E-2</v>
      </c>
      <c r="E363" s="193">
        <f t="shared" si="81"/>
        <v>2.0379869999999998</v>
      </c>
      <c r="F363" s="193">
        <f t="shared" si="80"/>
        <v>0</v>
      </c>
      <c r="G363" s="193">
        <f t="shared" si="80"/>
        <v>0</v>
      </c>
      <c r="H363" s="193">
        <f t="shared" si="80"/>
        <v>0</v>
      </c>
      <c r="I363" s="193">
        <f t="shared" si="80"/>
        <v>0</v>
      </c>
      <c r="J363" s="193">
        <f t="shared" si="80"/>
        <v>0</v>
      </c>
      <c r="K363" s="193">
        <f t="shared" si="80"/>
        <v>0</v>
      </c>
      <c r="L363" s="193">
        <f t="shared" si="80"/>
        <v>0</v>
      </c>
      <c r="M363" s="193">
        <f t="shared" si="80"/>
        <v>0</v>
      </c>
      <c r="N363" s="193">
        <f t="shared" si="80"/>
        <v>0</v>
      </c>
      <c r="O363" s="193">
        <f t="shared" si="80"/>
        <v>0</v>
      </c>
      <c r="P363" s="194">
        <f t="shared" si="80"/>
        <v>0</v>
      </c>
    </row>
    <row r="364" spans="1:16" x14ac:dyDescent="0.3">
      <c r="A364" s="195"/>
      <c r="B364" s="83" t="s">
        <v>347</v>
      </c>
      <c r="C364" s="83" t="s">
        <v>181</v>
      </c>
      <c r="D364" s="207">
        <v>2.63E-2</v>
      </c>
      <c r="E364" s="193">
        <f t="shared" si="81"/>
        <v>2.0379869999999998</v>
      </c>
      <c r="F364" s="193">
        <f t="shared" si="80"/>
        <v>0</v>
      </c>
      <c r="G364" s="193">
        <f t="shared" si="80"/>
        <v>0</v>
      </c>
      <c r="H364" s="193">
        <f t="shared" si="80"/>
        <v>0</v>
      </c>
      <c r="I364" s="193">
        <f t="shared" si="80"/>
        <v>0</v>
      </c>
      <c r="J364" s="193">
        <f t="shared" si="80"/>
        <v>0</v>
      </c>
      <c r="K364" s="193">
        <f t="shared" si="80"/>
        <v>0</v>
      </c>
      <c r="L364" s="193">
        <f t="shared" si="80"/>
        <v>0</v>
      </c>
      <c r="M364" s="193">
        <f t="shared" si="80"/>
        <v>0</v>
      </c>
      <c r="N364" s="193">
        <f t="shared" si="80"/>
        <v>0</v>
      </c>
      <c r="O364" s="193">
        <f t="shared" si="80"/>
        <v>0</v>
      </c>
      <c r="P364" s="194">
        <f t="shared" si="80"/>
        <v>0</v>
      </c>
    </row>
    <row r="365" spans="1:16" x14ac:dyDescent="0.3">
      <c r="A365" s="195"/>
      <c r="B365" s="83" t="s">
        <v>349</v>
      </c>
      <c r="C365" s="83" t="s">
        <v>202</v>
      </c>
      <c r="D365" s="207">
        <v>2.63E-2</v>
      </c>
      <c r="E365" s="193">
        <f t="shared" si="81"/>
        <v>2.0379869999999998</v>
      </c>
      <c r="F365" s="193">
        <f t="shared" si="80"/>
        <v>0</v>
      </c>
      <c r="G365" s="193">
        <f t="shared" si="80"/>
        <v>0</v>
      </c>
      <c r="H365" s="193">
        <f t="shared" si="80"/>
        <v>0</v>
      </c>
      <c r="I365" s="193">
        <f t="shared" si="80"/>
        <v>0</v>
      </c>
      <c r="J365" s="193">
        <f t="shared" si="80"/>
        <v>0</v>
      </c>
      <c r="K365" s="193">
        <f t="shared" si="80"/>
        <v>0</v>
      </c>
      <c r="L365" s="193">
        <f t="shared" si="80"/>
        <v>0</v>
      </c>
      <c r="M365" s="193">
        <f t="shared" si="80"/>
        <v>0</v>
      </c>
      <c r="N365" s="193">
        <f t="shared" si="80"/>
        <v>0</v>
      </c>
      <c r="O365" s="193">
        <f t="shared" si="80"/>
        <v>0</v>
      </c>
      <c r="P365" s="194">
        <f t="shared" si="80"/>
        <v>0</v>
      </c>
    </row>
    <row r="366" spans="1:16" x14ac:dyDescent="0.3">
      <c r="A366" s="216"/>
      <c r="B366" s="83" t="s">
        <v>428</v>
      </c>
      <c r="C366" s="83" t="s">
        <v>319</v>
      </c>
      <c r="D366" s="210" t="s">
        <v>430</v>
      </c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4"/>
    </row>
    <row r="367" spans="1:16" x14ac:dyDescent="0.3">
      <c r="A367" s="216"/>
      <c r="B367" s="83" t="s">
        <v>429</v>
      </c>
      <c r="C367" s="83" t="s">
        <v>320</v>
      </c>
      <c r="D367" s="210" t="s">
        <v>431</v>
      </c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4"/>
    </row>
    <row r="368" spans="1:16" x14ac:dyDescent="0.3">
      <c r="A368" s="216"/>
      <c r="B368" s="83" t="s">
        <v>362</v>
      </c>
      <c r="C368" s="83" t="s">
        <v>204</v>
      </c>
      <c r="D368" s="210" t="s">
        <v>430</v>
      </c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4"/>
    </row>
    <row r="369" spans="1:22" ht="17.25" thickBot="1" x14ac:dyDescent="0.35">
      <c r="A369" s="217"/>
      <c r="B369" s="203" t="s">
        <v>363</v>
      </c>
      <c r="C369" s="203" t="s">
        <v>205</v>
      </c>
      <c r="D369" s="204" t="s">
        <v>431</v>
      </c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2"/>
    </row>
    <row r="370" spans="1:22" ht="17.25" thickBot="1" x14ac:dyDescent="0.35">
      <c r="A370" s="185">
        <v>326263</v>
      </c>
      <c r="B370" s="186"/>
      <c r="C370" s="187" t="s">
        <v>772</v>
      </c>
      <c r="D370" s="188">
        <f>+D371</f>
        <v>1</v>
      </c>
      <c r="E370" s="189">
        <f>IFERROR(VLOOKUP($A370,완제품!$B:$CP,E$1,FALSE),0)</f>
        <v>15000</v>
      </c>
      <c r="F370" s="189">
        <f>IFERROR(VLOOKUP($A370,완제품!$B:$CP,F$1,FALSE),0)</f>
        <v>20000</v>
      </c>
      <c r="G370" s="189">
        <f>IFERROR(VLOOKUP($A370,완제품!$B:$CP,G$1,FALSE),0)</f>
        <v>20000</v>
      </c>
      <c r="H370" s="189">
        <f>IFERROR(VLOOKUP($A370,완제품!$B:$CP,H$1,FALSE),0)</f>
        <v>0</v>
      </c>
      <c r="I370" s="189">
        <f>IFERROR(VLOOKUP($A370,완제품!$B:$CP,I$1,FALSE),0)</f>
        <v>0</v>
      </c>
      <c r="J370" s="189">
        <f>IFERROR(VLOOKUP($A370,완제품!$B:$CP,J$1,FALSE),0)</f>
        <v>0</v>
      </c>
      <c r="K370" s="189">
        <f>IFERROR(VLOOKUP($A370,완제품!$B:$CP,K$1,FALSE),0)</f>
        <v>0</v>
      </c>
      <c r="L370" s="189">
        <f>IFERROR(VLOOKUP($A370,완제품!$B:$CP,L$1,FALSE),0)</f>
        <v>0</v>
      </c>
      <c r="M370" s="189">
        <f>IFERROR(VLOOKUP($A370,완제품!$B:$CP,M$1,FALSE),0)</f>
        <v>0</v>
      </c>
      <c r="N370" s="189">
        <f>IFERROR(VLOOKUP($A370,완제품!$B:$CP,N$1,FALSE),0)</f>
        <v>0</v>
      </c>
      <c r="O370" s="189">
        <f>IFERROR(VLOOKUP($A370,완제품!$B:$CP,O$1,FALSE),0)</f>
        <v>0</v>
      </c>
      <c r="P370" s="189">
        <f>IFERROR(VLOOKUP($A370,완제품!$B:$CP,P$1,FALSE),0)</f>
        <v>0</v>
      </c>
    </row>
    <row r="371" spans="1:22" ht="17.25" thickBot="1" x14ac:dyDescent="0.35">
      <c r="A371" s="217"/>
      <c r="B371" s="203">
        <v>3262631</v>
      </c>
      <c r="C371" s="203" t="s">
        <v>773</v>
      </c>
      <c r="D371" s="204">
        <v>1</v>
      </c>
      <c r="E371" s="201">
        <f>E$370*$D371</f>
        <v>15000</v>
      </c>
      <c r="F371" s="201">
        <f t="shared" ref="F371:P371" si="82">F$370*$D371</f>
        <v>20000</v>
      </c>
      <c r="G371" s="201">
        <f t="shared" si="82"/>
        <v>20000</v>
      </c>
      <c r="H371" s="201">
        <f t="shared" si="82"/>
        <v>0</v>
      </c>
      <c r="I371" s="201">
        <f t="shared" si="82"/>
        <v>0</v>
      </c>
      <c r="J371" s="201">
        <f t="shared" si="82"/>
        <v>0</v>
      </c>
      <c r="K371" s="201">
        <f t="shared" si="82"/>
        <v>0</v>
      </c>
      <c r="L371" s="201">
        <f t="shared" si="82"/>
        <v>0</v>
      </c>
      <c r="M371" s="201">
        <f t="shared" si="82"/>
        <v>0</v>
      </c>
      <c r="N371" s="201">
        <f t="shared" si="82"/>
        <v>0</v>
      </c>
      <c r="O371" s="201">
        <f t="shared" si="82"/>
        <v>0</v>
      </c>
      <c r="P371" s="202">
        <f t="shared" si="82"/>
        <v>0</v>
      </c>
    </row>
    <row r="372" spans="1:22" ht="17.25" thickBot="1" x14ac:dyDescent="0.35">
      <c r="A372" s="185">
        <v>336755</v>
      </c>
      <c r="B372" s="186"/>
      <c r="C372" s="187" t="s">
        <v>774</v>
      </c>
      <c r="D372" s="188">
        <f>+D373</f>
        <v>0.1</v>
      </c>
      <c r="E372" s="189">
        <f>IFERROR(VLOOKUP($A372,완제품!$B:$CP,E$1,FALSE),0)</f>
        <v>15000</v>
      </c>
      <c r="F372" s="189">
        <f>IFERROR(VLOOKUP($A372,완제품!$B:$CP,F$1,FALSE),0)</f>
        <v>20000</v>
      </c>
      <c r="G372" s="189">
        <f>IFERROR(VLOOKUP($A372,완제품!$B:$CP,G$1,FALSE),0)</f>
        <v>0</v>
      </c>
      <c r="H372" s="189">
        <f>IFERROR(VLOOKUP($A372,완제품!$B:$CP,H$1,FALSE),0)</f>
        <v>20000</v>
      </c>
      <c r="I372" s="189">
        <f>IFERROR(VLOOKUP($A372,완제품!$B:$CP,I$1,FALSE),0)</f>
        <v>0</v>
      </c>
      <c r="J372" s="189">
        <f>IFERROR(VLOOKUP($A372,완제품!$B:$CP,J$1,FALSE),0)</f>
        <v>0</v>
      </c>
      <c r="K372" s="189">
        <f>IFERROR(VLOOKUP($A372,완제품!$B:$CP,K$1,FALSE),0)</f>
        <v>0</v>
      </c>
      <c r="L372" s="189">
        <f>IFERROR(VLOOKUP($A372,완제품!$B:$CP,L$1,FALSE),0)</f>
        <v>0</v>
      </c>
      <c r="M372" s="189">
        <f>IFERROR(VLOOKUP($A372,완제품!$B:$CP,M$1,FALSE),0)</f>
        <v>0</v>
      </c>
      <c r="N372" s="189">
        <f>IFERROR(VLOOKUP($A372,완제품!$B:$CP,N$1,FALSE),0)</f>
        <v>0</v>
      </c>
      <c r="O372" s="189">
        <f>IFERROR(VLOOKUP($A372,완제품!$B:$CP,O$1,FALSE),0)</f>
        <v>0</v>
      </c>
      <c r="P372" s="189">
        <f>IFERROR(VLOOKUP($A372,완제품!$B:$CP,P$1,FALSE),0)</f>
        <v>0</v>
      </c>
    </row>
    <row r="373" spans="1:22" ht="17.25" thickBot="1" x14ac:dyDescent="0.35">
      <c r="A373" s="217"/>
      <c r="B373" s="203">
        <v>3367551</v>
      </c>
      <c r="C373" s="203" t="s">
        <v>775</v>
      </c>
      <c r="D373" s="204">
        <v>0.1</v>
      </c>
      <c r="E373" s="201">
        <f>E$372*$D373</f>
        <v>1500</v>
      </c>
      <c r="F373" s="201">
        <f t="shared" ref="F373:P373" si="83">F$372*$D373</f>
        <v>2000</v>
      </c>
      <c r="G373" s="201">
        <f t="shared" si="83"/>
        <v>0</v>
      </c>
      <c r="H373" s="201">
        <f t="shared" si="83"/>
        <v>2000</v>
      </c>
      <c r="I373" s="201">
        <f t="shared" si="83"/>
        <v>0</v>
      </c>
      <c r="J373" s="201">
        <f t="shared" si="83"/>
        <v>0</v>
      </c>
      <c r="K373" s="201">
        <f t="shared" si="83"/>
        <v>0</v>
      </c>
      <c r="L373" s="201">
        <f t="shared" si="83"/>
        <v>0</v>
      </c>
      <c r="M373" s="201">
        <f t="shared" si="83"/>
        <v>0</v>
      </c>
      <c r="N373" s="201">
        <f t="shared" si="83"/>
        <v>0</v>
      </c>
      <c r="O373" s="201">
        <f t="shared" si="83"/>
        <v>0</v>
      </c>
      <c r="P373" s="202">
        <f t="shared" si="83"/>
        <v>0</v>
      </c>
    </row>
    <row r="374" spans="1:22" ht="17.25" thickBot="1" x14ac:dyDescent="0.35">
      <c r="A374" s="185">
        <v>332805</v>
      </c>
      <c r="B374" s="186"/>
      <c r="C374" s="187" t="s">
        <v>776</v>
      </c>
      <c r="D374" s="188">
        <f>+D375</f>
        <v>1</v>
      </c>
      <c r="E374" s="189">
        <f>IFERROR(VLOOKUP($A374,완제품!$B:$CP,E$1,FALSE),0)</f>
        <v>0</v>
      </c>
      <c r="F374" s="189">
        <f>IFERROR(VLOOKUP($A374,완제품!$B:$CP,F$1,FALSE),0)</f>
        <v>0</v>
      </c>
      <c r="G374" s="189">
        <f>IFERROR(VLOOKUP($A374,완제품!$B:$CP,G$1,FALSE),0)</f>
        <v>0</v>
      </c>
      <c r="H374" s="189">
        <f>IFERROR(VLOOKUP($A374,완제품!$B:$CP,H$1,FALSE),0)</f>
        <v>15000</v>
      </c>
      <c r="I374" s="189">
        <f>IFERROR(VLOOKUP($A374,완제품!$B:$CP,I$1,FALSE),0)</f>
        <v>0</v>
      </c>
      <c r="J374" s="189">
        <f>IFERROR(VLOOKUP($A374,완제품!$B:$CP,J$1,FALSE),0)</f>
        <v>0</v>
      </c>
      <c r="K374" s="189">
        <f>IFERROR(VLOOKUP($A374,완제품!$B:$CP,K$1,FALSE),0)</f>
        <v>0</v>
      </c>
      <c r="L374" s="189">
        <f>IFERROR(VLOOKUP($A374,완제품!$B:$CP,L$1,FALSE),0)</f>
        <v>0</v>
      </c>
      <c r="M374" s="189">
        <f>IFERROR(VLOOKUP($A374,완제품!$B:$CP,M$1,FALSE),0)</f>
        <v>0</v>
      </c>
      <c r="N374" s="189">
        <f>IFERROR(VLOOKUP($A374,완제품!$B:$CP,N$1,FALSE),0)</f>
        <v>0</v>
      </c>
      <c r="O374" s="189">
        <f>IFERROR(VLOOKUP($A374,완제품!$B:$CP,O$1,FALSE),0)</f>
        <v>0</v>
      </c>
      <c r="P374" s="189">
        <f>IFERROR(VLOOKUP($A374,완제품!$B:$CP,P$1,FALSE),0)</f>
        <v>0</v>
      </c>
    </row>
    <row r="375" spans="1:22" ht="17.25" thickBot="1" x14ac:dyDescent="0.35">
      <c r="A375" s="217"/>
      <c r="B375" s="203">
        <v>3328051</v>
      </c>
      <c r="C375" s="203" t="s">
        <v>23</v>
      </c>
      <c r="D375" s="204">
        <v>1</v>
      </c>
      <c r="E375" s="201">
        <f>E$374*$D375/0.2</f>
        <v>0</v>
      </c>
      <c r="F375" s="201">
        <f t="shared" ref="F375:P375" si="84">F$374*$D375/0.2</f>
        <v>0</v>
      </c>
      <c r="G375" s="201">
        <f t="shared" si="84"/>
        <v>0</v>
      </c>
      <c r="H375" s="201">
        <f t="shared" si="84"/>
        <v>75000</v>
      </c>
      <c r="I375" s="201">
        <f t="shared" si="84"/>
        <v>0</v>
      </c>
      <c r="J375" s="201">
        <f t="shared" si="84"/>
        <v>0</v>
      </c>
      <c r="K375" s="201">
        <f t="shared" si="84"/>
        <v>0</v>
      </c>
      <c r="L375" s="201">
        <f t="shared" si="84"/>
        <v>0</v>
      </c>
      <c r="M375" s="201">
        <f t="shared" si="84"/>
        <v>0</v>
      </c>
      <c r="N375" s="201">
        <f t="shared" si="84"/>
        <v>0</v>
      </c>
      <c r="O375" s="201">
        <f t="shared" si="84"/>
        <v>0</v>
      </c>
      <c r="P375" s="202">
        <f t="shared" si="84"/>
        <v>0</v>
      </c>
    </row>
    <row r="376" spans="1:22" ht="17.25" thickBot="1" x14ac:dyDescent="0.35">
      <c r="A376" s="185">
        <v>321093</v>
      </c>
      <c r="B376" s="186"/>
      <c r="C376" s="187" t="s">
        <v>19</v>
      </c>
      <c r="D376" s="188">
        <f>SUM(D377:D389)</f>
        <v>1</v>
      </c>
      <c r="E376" s="189">
        <f>IFERROR(VLOOKUP($A376,완제품!$B:$CP,E$1,FALSE),0)</f>
        <v>0</v>
      </c>
      <c r="F376" s="189">
        <f>IFERROR(VLOOKUP($A376,완제품!$B:$CP,F$1,FALSE),0)</f>
        <v>0</v>
      </c>
      <c r="G376" s="189">
        <f>IFERROR(VLOOKUP($A376,완제품!$B:$CP,G$1,FALSE),0)</f>
        <v>0</v>
      </c>
      <c r="H376" s="189">
        <f>IFERROR(VLOOKUP($A376,완제품!$B:$CP,H$1,FALSE),0)</f>
        <v>0</v>
      </c>
      <c r="I376" s="189">
        <f>IFERROR(VLOOKUP($A376,완제품!$B:$CP,I$1,FALSE),0)</f>
        <v>0</v>
      </c>
      <c r="J376" s="189">
        <f>IFERROR(VLOOKUP($A376,완제품!$B:$CP,J$1,FALSE),0)</f>
        <v>0</v>
      </c>
      <c r="K376" s="189">
        <f>IFERROR(VLOOKUP($A376,완제품!$B:$CP,K$1,FALSE),0)</f>
        <v>0</v>
      </c>
      <c r="L376" s="189">
        <f>IFERROR(VLOOKUP($A376,완제품!$B:$CP,L$1,FALSE),0)</f>
        <v>0</v>
      </c>
      <c r="M376" s="189">
        <f>IFERROR(VLOOKUP($A376,완제품!$B:$CP,M$1,FALSE),0)</f>
        <v>0</v>
      </c>
      <c r="N376" s="189">
        <f>IFERROR(VLOOKUP($A376,완제품!$B:$CP,N$1,FALSE),0)</f>
        <v>0</v>
      </c>
      <c r="O376" s="189">
        <f>IFERROR(VLOOKUP($A376,완제품!$B:$CP,O$1,FALSE),0)</f>
        <v>0</v>
      </c>
      <c r="P376" s="189">
        <f>IFERROR(VLOOKUP($A376,완제품!$B:$CP,P$1,FALSE),0)</f>
        <v>0</v>
      </c>
    </row>
    <row r="377" spans="1:22" x14ac:dyDescent="0.3">
      <c r="A377" s="190"/>
      <c r="B377" s="191">
        <v>1205371</v>
      </c>
      <c r="C377" s="191" t="s">
        <v>95</v>
      </c>
      <c r="D377" s="218">
        <v>5.0000000000000001E-3</v>
      </c>
      <c r="E377" s="193">
        <f>E$376*$D377</f>
        <v>0</v>
      </c>
      <c r="F377" s="193">
        <f t="shared" ref="F377:P391" si="85">F$376*$D377</f>
        <v>0</v>
      </c>
      <c r="G377" s="193">
        <f t="shared" si="85"/>
        <v>0</v>
      </c>
      <c r="H377" s="193">
        <f t="shared" si="85"/>
        <v>0</v>
      </c>
      <c r="I377" s="193">
        <f t="shared" si="85"/>
        <v>0</v>
      </c>
      <c r="J377" s="193">
        <f t="shared" si="85"/>
        <v>0</v>
      </c>
      <c r="K377" s="193">
        <f t="shared" si="85"/>
        <v>0</v>
      </c>
      <c r="L377" s="193">
        <f t="shared" si="85"/>
        <v>0</v>
      </c>
      <c r="M377" s="193">
        <f t="shared" si="85"/>
        <v>0</v>
      </c>
      <c r="N377" s="193">
        <f t="shared" si="85"/>
        <v>0</v>
      </c>
      <c r="O377" s="193">
        <f t="shared" si="85"/>
        <v>0</v>
      </c>
      <c r="P377" s="194">
        <f t="shared" si="85"/>
        <v>0</v>
      </c>
    </row>
    <row r="378" spans="1:22" x14ac:dyDescent="0.3">
      <c r="A378" s="195"/>
      <c r="B378" s="196">
        <v>1205369</v>
      </c>
      <c r="C378" s="196" t="s">
        <v>96</v>
      </c>
      <c r="D378" s="207">
        <v>2.0000000000000001E-4</v>
      </c>
      <c r="E378" s="193">
        <f t="shared" ref="E378:E391" si="86">E$376*$D378</f>
        <v>0</v>
      </c>
      <c r="F378" s="193">
        <f t="shared" si="85"/>
        <v>0</v>
      </c>
      <c r="G378" s="193">
        <f t="shared" si="85"/>
        <v>0</v>
      </c>
      <c r="H378" s="193">
        <f t="shared" si="85"/>
        <v>0</v>
      </c>
      <c r="I378" s="193">
        <f t="shared" si="85"/>
        <v>0</v>
      </c>
      <c r="J378" s="193">
        <f t="shared" si="85"/>
        <v>0</v>
      </c>
      <c r="K378" s="193">
        <f t="shared" si="85"/>
        <v>0</v>
      </c>
      <c r="L378" s="193">
        <f t="shared" si="85"/>
        <v>0</v>
      </c>
      <c r="M378" s="193">
        <f t="shared" si="85"/>
        <v>0</v>
      </c>
      <c r="N378" s="193">
        <f t="shared" si="85"/>
        <v>0</v>
      </c>
      <c r="O378" s="193">
        <f t="shared" si="85"/>
        <v>0</v>
      </c>
      <c r="P378" s="194">
        <f t="shared" si="85"/>
        <v>0</v>
      </c>
    </row>
    <row r="379" spans="1:22" x14ac:dyDescent="0.3">
      <c r="A379" s="195"/>
      <c r="B379" s="196">
        <v>1205372</v>
      </c>
      <c r="C379" s="196" t="s">
        <v>97</v>
      </c>
      <c r="D379" s="207">
        <v>1.4E-3</v>
      </c>
      <c r="E379" s="193">
        <f t="shared" si="86"/>
        <v>0</v>
      </c>
      <c r="F379" s="193">
        <f t="shared" si="85"/>
        <v>0</v>
      </c>
      <c r="G379" s="193">
        <f t="shared" si="85"/>
        <v>0</v>
      </c>
      <c r="H379" s="193">
        <f t="shared" si="85"/>
        <v>0</v>
      </c>
      <c r="I379" s="193">
        <f t="shared" si="85"/>
        <v>0</v>
      </c>
      <c r="J379" s="193">
        <f t="shared" si="85"/>
        <v>0</v>
      </c>
      <c r="K379" s="193">
        <f t="shared" si="85"/>
        <v>0</v>
      </c>
      <c r="L379" s="193">
        <f t="shared" si="85"/>
        <v>0</v>
      </c>
      <c r="M379" s="193">
        <f t="shared" si="85"/>
        <v>0</v>
      </c>
      <c r="N379" s="193">
        <f t="shared" si="85"/>
        <v>0</v>
      </c>
      <c r="O379" s="193">
        <f t="shared" si="85"/>
        <v>0</v>
      </c>
      <c r="P379" s="194">
        <f t="shared" si="85"/>
        <v>0</v>
      </c>
    </row>
    <row r="380" spans="1:22" x14ac:dyDescent="0.3">
      <c r="A380" s="195"/>
      <c r="B380" s="196">
        <v>1205367</v>
      </c>
      <c r="C380" s="196" t="s">
        <v>98</v>
      </c>
      <c r="D380" s="207">
        <v>0.126</v>
      </c>
      <c r="E380" s="193">
        <f t="shared" si="86"/>
        <v>0</v>
      </c>
      <c r="F380" s="193">
        <f t="shared" si="85"/>
        <v>0</v>
      </c>
      <c r="G380" s="193">
        <f t="shared" si="85"/>
        <v>0</v>
      </c>
      <c r="H380" s="193">
        <f t="shared" si="85"/>
        <v>0</v>
      </c>
      <c r="I380" s="193">
        <f t="shared" si="85"/>
        <v>0</v>
      </c>
      <c r="J380" s="193">
        <f t="shared" si="85"/>
        <v>0</v>
      </c>
      <c r="K380" s="193">
        <f t="shared" si="85"/>
        <v>0</v>
      </c>
      <c r="L380" s="193">
        <f t="shared" si="85"/>
        <v>0</v>
      </c>
      <c r="M380" s="193">
        <f t="shared" si="85"/>
        <v>0</v>
      </c>
      <c r="N380" s="193">
        <f t="shared" si="85"/>
        <v>0</v>
      </c>
      <c r="O380" s="193">
        <f t="shared" si="85"/>
        <v>0</v>
      </c>
      <c r="P380" s="194">
        <f t="shared" si="85"/>
        <v>0</v>
      </c>
    </row>
    <row r="381" spans="1:22" x14ac:dyDescent="0.3">
      <c r="A381" s="195"/>
      <c r="B381" s="196">
        <v>1205373</v>
      </c>
      <c r="C381" s="196" t="s">
        <v>99</v>
      </c>
      <c r="D381" s="207">
        <v>2.5000000000000001E-2</v>
      </c>
      <c r="E381" s="193">
        <f t="shared" si="86"/>
        <v>0</v>
      </c>
      <c r="F381" s="193">
        <f t="shared" si="85"/>
        <v>0</v>
      </c>
      <c r="G381" s="193">
        <f t="shared" si="85"/>
        <v>0</v>
      </c>
      <c r="H381" s="193">
        <f t="shared" si="85"/>
        <v>0</v>
      </c>
      <c r="I381" s="193">
        <f t="shared" si="85"/>
        <v>0</v>
      </c>
      <c r="J381" s="193">
        <f t="shared" si="85"/>
        <v>0</v>
      </c>
      <c r="K381" s="193">
        <f t="shared" si="85"/>
        <v>0</v>
      </c>
      <c r="L381" s="193">
        <f t="shared" si="85"/>
        <v>0</v>
      </c>
      <c r="M381" s="193">
        <f t="shared" si="85"/>
        <v>0</v>
      </c>
      <c r="N381" s="193">
        <f t="shared" si="85"/>
        <v>0</v>
      </c>
      <c r="O381" s="193">
        <f t="shared" si="85"/>
        <v>0</v>
      </c>
      <c r="P381" s="194">
        <f t="shared" si="85"/>
        <v>0</v>
      </c>
    </row>
    <row r="382" spans="1:22" x14ac:dyDescent="0.3">
      <c r="B382" s="83">
        <v>1205368</v>
      </c>
      <c r="C382" s="83" t="s">
        <v>100</v>
      </c>
      <c r="D382" s="220">
        <v>0.03</v>
      </c>
      <c r="E382" s="181">
        <f t="shared" si="86"/>
        <v>0</v>
      </c>
      <c r="F382" s="181">
        <f t="shared" si="85"/>
        <v>0</v>
      </c>
      <c r="G382" s="181">
        <f t="shared" si="85"/>
        <v>0</v>
      </c>
      <c r="H382" s="181">
        <f t="shared" si="85"/>
        <v>0</v>
      </c>
      <c r="I382" s="181">
        <f t="shared" si="85"/>
        <v>0</v>
      </c>
      <c r="J382" s="181">
        <f t="shared" si="85"/>
        <v>0</v>
      </c>
      <c r="K382" s="181">
        <f t="shared" si="85"/>
        <v>0</v>
      </c>
      <c r="L382" s="181">
        <f t="shared" si="85"/>
        <v>0</v>
      </c>
      <c r="M382" s="181">
        <f t="shared" si="85"/>
        <v>0</v>
      </c>
      <c r="N382" s="181">
        <f t="shared" si="85"/>
        <v>0</v>
      </c>
      <c r="O382" s="181">
        <f t="shared" si="85"/>
        <v>0</v>
      </c>
      <c r="P382" s="194">
        <f t="shared" si="85"/>
        <v>0</v>
      </c>
    </row>
    <row r="383" spans="1:22" x14ac:dyDescent="0.3">
      <c r="B383" s="83">
        <v>1205374</v>
      </c>
      <c r="C383" s="83" t="s">
        <v>101</v>
      </c>
      <c r="D383" s="220">
        <v>0.1</v>
      </c>
      <c r="E383" s="181">
        <f t="shared" si="86"/>
        <v>0</v>
      </c>
      <c r="F383" s="181">
        <f t="shared" si="85"/>
        <v>0</v>
      </c>
      <c r="G383" s="181">
        <f t="shared" si="85"/>
        <v>0</v>
      </c>
      <c r="H383" s="181">
        <f t="shared" si="85"/>
        <v>0</v>
      </c>
      <c r="I383" s="181">
        <f t="shared" si="85"/>
        <v>0</v>
      </c>
      <c r="J383" s="181">
        <f t="shared" si="85"/>
        <v>0</v>
      </c>
      <c r="K383" s="181">
        <f t="shared" si="85"/>
        <v>0</v>
      </c>
      <c r="L383" s="181">
        <f t="shared" si="85"/>
        <v>0</v>
      </c>
      <c r="M383" s="181">
        <f t="shared" si="85"/>
        <v>0</v>
      </c>
      <c r="N383" s="181">
        <f t="shared" si="85"/>
        <v>0</v>
      </c>
      <c r="O383" s="181">
        <f t="shared" si="85"/>
        <v>0</v>
      </c>
      <c r="P383" s="194">
        <f t="shared" si="85"/>
        <v>0</v>
      </c>
      <c r="T383" s="293"/>
      <c r="V383" s="294"/>
    </row>
    <row r="384" spans="1:22" x14ac:dyDescent="0.3">
      <c r="B384" s="83">
        <v>1205370</v>
      </c>
      <c r="C384" s="83" t="s">
        <v>102</v>
      </c>
      <c r="D384" s="220">
        <v>4.0000000000000001E-3</v>
      </c>
      <c r="E384" s="181">
        <f t="shared" si="86"/>
        <v>0</v>
      </c>
      <c r="F384" s="181">
        <f t="shared" si="85"/>
        <v>0</v>
      </c>
      <c r="G384" s="181">
        <f t="shared" si="85"/>
        <v>0</v>
      </c>
      <c r="H384" s="181">
        <f t="shared" si="85"/>
        <v>0</v>
      </c>
      <c r="I384" s="181">
        <f t="shared" si="85"/>
        <v>0</v>
      </c>
      <c r="J384" s="181">
        <f t="shared" si="85"/>
        <v>0</v>
      </c>
      <c r="K384" s="181">
        <f t="shared" si="85"/>
        <v>0</v>
      </c>
      <c r="L384" s="181">
        <f t="shared" si="85"/>
        <v>0</v>
      </c>
      <c r="M384" s="181">
        <f t="shared" si="85"/>
        <v>0</v>
      </c>
      <c r="N384" s="181">
        <f t="shared" si="85"/>
        <v>0</v>
      </c>
      <c r="O384" s="181">
        <f t="shared" si="85"/>
        <v>0</v>
      </c>
      <c r="P384" s="194">
        <f t="shared" si="85"/>
        <v>0</v>
      </c>
      <c r="U384" s="296"/>
    </row>
    <row r="385" spans="1:22" x14ac:dyDescent="0.3">
      <c r="A385" s="216"/>
      <c r="B385" s="83">
        <v>1205375</v>
      </c>
      <c r="C385" s="83" t="s">
        <v>103</v>
      </c>
      <c r="D385" s="210">
        <v>2E-3</v>
      </c>
      <c r="E385" s="193">
        <f t="shared" si="86"/>
        <v>0</v>
      </c>
      <c r="F385" s="193">
        <f t="shared" si="85"/>
        <v>0</v>
      </c>
      <c r="G385" s="193">
        <f t="shared" si="85"/>
        <v>0</v>
      </c>
      <c r="H385" s="193">
        <f t="shared" si="85"/>
        <v>0</v>
      </c>
      <c r="I385" s="193">
        <f t="shared" si="85"/>
        <v>0</v>
      </c>
      <c r="J385" s="193">
        <f t="shared" si="85"/>
        <v>0</v>
      </c>
      <c r="K385" s="193">
        <f t="shared" si="85"/>
        <v>0</v>
      </c>
      <c r="L385" s="193">
        <f t="shared" si="85"/>
        <v>0</v>
      </c>
      <c r="M385" s="193">
        <f t="shared" si="85"/>
        <v>0</v>
      </c>
      <c r="N385" s="193">
        <f t="shared" si="85"/>
        <v>0</v>
      </c>
      <c r="O385" s="193">
        <f t="shared" si="85"/>
        <v>0</v>
      </c>
      <c r="P385" s="194">
        <f t="shared" si="85"/>
        <v>0</v>
      </c>
      <c r="U385" s="301"/>
      <c r="V385" s="297"/>
    </row>
    <row r="386" spans="1:22" x14ac:dyDescent="0.3">
      <c r="A386" s="216"/>
      <c r="B386" s="83">
        <v>1203997</v>
      </c>
      <c r="C386" s="83" t="s">
        <v>104</v>
      </c>
      <c r="D386" s="210">
        <v>0.2</v>
      </c>
      <c r="E386" s="193">
        <f t="shared" si="86"/>
        <v>0</v>
      </c>
      <c r="F386" s="193">
        <f t="shared" si="85"/>
        <v>0</v>
      </c>
      <c r="G386" s="193">
        <f t="shared" si="85"/>
        <v>0</v>
      </c>
      <c r="H386" s="193">
        <f t="shared" si="85"/>
        <v>0</v>
      </c>
      <c r="I386" s="193">
        <f t="shared" si="85"/>
        <v>0</v>
      </c>
      <c r="J386" s="193">
        <f t="shared" si="85"/>
        <v>0</v>
      </c>
      <c r="K386" s="193">
        <f t="shared" si="85"/>
        <v>0</v>
      </c>
      <c r="L386" s="193">
        <f t="shared" si="85"/>
        <v>0</v>
      </c>
      <c r="M386" s="193">
        <f t="shared" si="85"/>
        <v>0</v>
      </c>
      <c r="N386" s="193">
        <f t="shared" si="85"/>
        <v>0</v>
      </c>
      <c r="O386" s="193">
        <f t="shared" si="85"/>
        <v>0</v>
      </c>
      <c r="P386" s="194">
        <f t="shared" si="85"/>
        <v>0</v>
      </c>
    </row>
    <row r="387" spans="1:22" x14ac:dyDescent="0.3">
      <c r="A387" s="216"/>
      <c r="C387" s="83" t="s">
        <v>800</v>
      </c>
      <c r="D387" s="210">
        <v>0.4879</v>
      </c>
      <c r="E387" s="193">
        <f t="shared" si="86"/>
        <v>0</v>
      </c>
      <c r="F387" s="193">
        <f t="shared" si="85"/>
        <v>0</v>
      </c>
      <c r="G387" s="193">
        <f t="shared" si="85"/>
        <v>0</v>
      </c>
      <c r="H387" s="193">
        <f t="shared" si="85"/>
        <v>0</v>
      </c>
      <c r="I387" s="193">
        <f t="shared" si="85"/>
        <v>0</v>
      </c>
      <c r="J387" s="193">
        <f t="shared" si="85"/>
        <v>0</v>
      </c>
      <c r="K387" s="193">
        <f t="shared" si="85"/>
        <v>0</v>
      </c>
      <c r="L387" s="193">
        <f t="shared" si="85"/>
        <v>0</v>
      </c>
      <c r="M387" s="193">
        <f t="shared" si="85"/>
        <v>0</v>
      </c>
      <c r="N387" s="193">
        <f t="shared" si="85"/>
        <v>0</v>
      </c>
      <c r="O387" s="193">
        <f t="shared" si="85"/>
        <v>0</v>
      </c>
      <c r="P387" s="194">
        <f t="shared" si="85"/>
        <v>0</v>
      </c>
    </row>
    <row r="388" spans="1:22" x14ac:dyDescent="0.3">
      <c r="A388" s="216"/>
      <c r="C388" s="83" t="s">
        <v>801</v>
      </c>
      <c r="D388" s="210">
        <v>1.7000000000000001E-2</v>
      </c>
      <c r="E388" s="193">
        <f t="shared" si="86"/>
        <v>0</v>
      </c>
      <c r="F388" s="193">
        <f t="shared" si="85"/>
        <v>0</v>
      </c>
      <c r="G388" s="193">
        <f t="shared" si="85"/>
        <v>0</v>
      </c>
      <c r="H388" s="193">
        <f t="shared" si="85"/>
        <v>0</v>
      </c>
      <c r="I388" s="193">
        <f t="shared" si="85"/>
        <v>0</v>
      </c>
      <c r="J388" s="193">
        <f t="shared" si="85"/>
        <v>0</v>
      </c>
      <c r="K388" s="193">
        <f t="shared" si="85"/>
        <v>0</v>
      </c>
      <c r="L388" s="193">
        <f t="shared" si="85"/>
        <v>0</v>
      </c>
      <c r="M388" s="193">
        <f t="shared" si="85"/>
        <v>0</v>
      </c>
      <c r="N388" s="193">
        <f t="shared" si="85"/>
        <v>0</v>
      </c>
      <c r="O388" s="193">
        <f t="shared" si="85"/>
        <v>0</v>
      </c>
      <c r="P388" s="194">
        <f t="shared" si="85"/>
        <v>0</v>
      </c>
    </row>
    <row r="389" spans="1:22" x14ac:dyDescent="0.3">
      <c r="A389" s="216"/>
      <c r="C389" s="83" t="s">
        <v>802</v>
      </c>
      <c r="D389" s="210">
        <v>1.5E-3</v>
      </c>
      <c r="E389" s="193">
        <f t="shared" si="86"/>
        <v>0</v>
      </c>
      <c r="F389" s="193">
        <f t="shared" si="85"/>
        <v>0</v>
      </c>
      <c r="G389" s="193">
        <f t="shared" si="85"/>
        <v>0</v>
      </c>
      <c r="H389" s="193">
        <f t="shared" si="85"/>
        <v>0</v>
      </c>
      <c r="I389" s="193">
        <f t="shared" si="85"/>
        <v>0</v>
      </c>
      <c r="J389" s="193">
        <f t="shared" si="85"/>
        <v>0</v>
      </c>
      <c r="K389" s="193">
        <f t="shared" si="85"/>
        <v>0</v>
      </c>
      <c r="L389" s="193">
        <f t="shared" si="85"/>
        <v>0</v>
      </c>
      <c r="M389" s="193">
        <f t="shared" si="85"/>
        <v>0</v>
      </c>
      <c r="N389" s="193">
        <f t="shared" si="85"/>
        <v>0</v>
      </c>
      <c r="O389" s="193">
        <f t="shared" si="85"/>
        <v>0</v>
      </c>
      <c r="P389" s="194">
        <f t="shared" si="85"/>
        <v>0</v>
      </c>
    </row>
    <row r="390" spans="1:22" x14ac:dyDescent="0.3">
      <c r="A390" s="216"/>
      <c r="B390" s="83">
        <v>3104596</v>
      </c>
      <c r="C390" s="83" t="s">
        <v>105</v>
      </c>
      <c r="D390" s="210">
        <v>0.24509803921568626</v>
      </c>
      <c r="E390" s="193">
        <f t="shared" si="86"/>
        <v>0</v>
      </c>
      <c r="F390" s="193">
        <f t="shared" si="85"/>
        <v>0</v>
      </c>
      <c r="G390" s="193">
        <f t="shared" si="85"/>
        <v>0</v>
      </c>
      <c r="H390" s="193">
        <f t="shared" si="85"/>
        <v>0</v>
      </c>
      <c r="I390" s="193">
        <f t="shared" si="85"/>
        <v>0</v>
      </c>
      <c r="J390" s="193">
        <f t="shared" si="85"/>
        <v>0</v>
      </c>
      <c r="K390" s="193">
        <f t="shared" si="85"/>
        <v>0</v>
      </c>
      <c r="L390" s="193">
        <f t="shared" si="85"/>
        <v>0</v>
      </c>
      <c r="M390" s="193">
        <f t="shared" si="85"/>
        <v>0</v>
      </c>
      <c r="N390" s="193">
        <f t="shared" si="85"/>
        <v>0</v>
      </c>
      <c r="O390" s="193">
        <f t="shared" si="85"/>
        <v>0</v>
      </c>
      <c r="P390" s="194">
        <f t="shared" si="85"/>
        <v>0</v>
      </c>
      <c r="T390" s="293"/>
      <c r="U390" s="295"/>
    </row>
    <row r="391" spans="1:22" ht="17.25" thickBot="1" x14ac:dyDescent="0.35">
      <c r="A391" s="217"/>
      <c r="B391" s="203">
        <v>3104597</v>
      </c>
      <c r="C391" s="203" t="s">
        <v>106</v>
      </c>
      <c r="D391" s="299">
        <v>9.049773755656109E-4</v>
      </c>
      <c r="E391" s="201">
        <f t="shared" si="86"/>
        <v>0</v>
      </c>
      <c r="F391" s="300">
        <f t="shared" si="85"/>
        <v>0</v>
      </c>
      <c r="G391" s="201">
        <f t="shared" si="85"/>
        <v>0</v>
      </c>
      <c r="H391" s="201">
        <f t="shared" si="85"/>
        <v>0</v>
      </c>
      <c r="I391" s="201">
        <f t="shared" si="85"/>
        <v>0</v>
      </c>
      <c r="J391" s="201">
        <f t="shared" si="85"/>
        <v>0</v>
      </c>
      <c r="K391" s="201">
        <f t="shared" si="85"/>
        <v>0</v>
      </c>
      <c r="L391" s="201">
        <f t="shared" si="85"/>
        <v>0</v>
      </c>
      <c r="M391" s="201">
        <f t="shared" si="85"/>
        <v>0</v>
      </c>
      <c r="N391" s="201">
        <f t="shared" si="85"/>
        <v>0</v>
      </c>
      <c r="O391" s="201">
        <f t="shared" si="85"/>
        <v>0</v>
      </c>
      <c r="P391" s="202">
        <f t="shared" si="85"/>
        <v>0</v>
      </c>
      <c r="U391" s="298"/>
    </row>
    <row r="392" spans="1:22" ht="17.25" thickBot="1" x14ac:dyDescent="0.35">
      <c r="A392" s="185">
        <v>340495</v>
      </c>
      <c r="B392" s="186"/>
      <c r="C392" s="187" t="s">
        <v>973</v>
      </c>
      <c r="D392" s="188">
        <f>+D393</f>
        <v>1</v>
      </c>
      <c r="E392" s="189">
        <f>IFERROR(VLOOKUP($A392,완제품!$B:$CP,E$1,FALSE),0)</f>
        <v>0</v>
      </c>
      <c r="F392" s="189">
        <f>IFERROR(VLOOKUP($A392,완제품!$B:$CP,F$1,FALSE),0)</f>
        <v>0</v>
      </c>
      <c r="G392" s="189">
        <f>IFERROR(VLOOKUP($A392,완제품!$B:$CP,G$1,FALSE),0)</f>
        <v>0</v>
      </c>
      <c r="H392" s="189">
        <f>IFERROR(VLOOKUP($A392,완제품!$B:$CP,H$1,FALSE),0)</f>
        <v>0</v>
      </c>
      <c r="I392" s="189">
        <f>IFERROR(VLOOKUP($A392,완제품!$B:$CP,I$1,FALSE),0)</f>
        <v>0</v>
      </c>
      <c r="J392" s="189">
        <f>IFERROR(VLOOKUP($A392,완제품!$B:$CP,J$1,FALSE),0)</f>
        <v>0</v>
      </c>
      <c r="K392" s="189">
        <f>IFERROR(VLOOKUP($A392,완제품!$B:$CP,K$1,FALSE),0)</f>
        <v>0</v>
      </c>
      <c r="L392" s="189">
        <f>IFERROR(VLOOKUP($A392,완제품!$B:$CP,L$1,FALSE),0)</f>
        <v>0</v>
      </c>
      <c r="M392" s="189">
        <f>IFERROR(VLOOKUP($A392,완제품!$B:$CP,M$1,FALSE),0)</f>
        <v>0</v>
      </c>
      <c r="N392" s="189">
        <f>IFERROR(VLOOKUP($A392,완제품!$B:$CP,N$1,FALSE),0)</f>
        <v>0</v>
      </c>
      <c r="O392" s="189">
        <f>IFERROR(VLOOKUP($A392,완제품!$B:$CP,O$1,FALSE),0)</f>
        <v>0</v>
      </c>
      <c r="P392" s="189">
        <f>IFERROR(VLOOKUP($A392,완제품!$B:$CP,P$1,FALSE),0)</f>
        <v>0</v>
      </c>
    </row>
    <row r="393" spans="1:22" ht="17.25" thickBot="1" x14ac:dyDescent="0.35">
      <c r="A393" s="217"/>
      <c r="B393" s="203">
        <v>340495</v>
      </c>
      <c r="C393" s="187" t="s">
        <v>973</v>
      </c>
      <c r="D393" s="204">
        <v>1</v>
      </c>
      <c r="E393" s="201">
        <f>E$392*$D393/0.2</f>
        <v>0</v>
      </c>
      <c r="F393" s="201">
        <f t="shared" ref="F393:P393" si="87">F$392*$D393/0.2</f>
        <v>0</v>
      </c>
      <c r="G393" s="201">
        <f t="shared" si="87"/>
        <v>0</v>
      </c>
      <c r="H393" s="201">
        <f t="shared" si="87"/>
        <v>0</v>
      </c>
      <c r="I393" s="201">
        <f t="shared" si="87"/>
        <v>0</v>
      </c>
      <c r="J393" s="201">
        <f t="shared" si="87"/>
        <v>0</v>
      </c>
      <c r="K393" s="201">
        <f t="shared" si="87"/>
        <v>0</v>
      </c>
      <c r="L393" s="201">
        <f t="shared" si="87"/>
        <v>0</v>
      </c>
      <c r="M393" s="201">
        <f t="shared" si="87"/>
        <v>0</v>
      </c>
      <c r="N393" s="201">
        <f t="shared" si="87"/>
        <v>0</v>
      </c>
      <c r="O393" s="201">
        <f t="shared" si="87"/>
        <v>0</v>
      </c>
      <c r="P393" s="202">
        <f t="shared" si="87"/>
        <v>0</v>
      </c>
    </row>
  </sheetData>
  <autoFilter ref="A2:P391"/>
  <phoneticPr fontId="2" type="noConversion"/>
  <conditionalFormatting sqref="A3">
    <cfRule type="containsText" dxfId="37" priority="24" operator="containsText" text="단독">
      <formula>NOT(ISERROR(SEARCH("단독",A3)))</formula>
    </cfRule>
  </conditionalFormatting>
  <conditionalFormatting sqref="A27">
    <cfRule type="containsText" dxfId="36" priority="25" operator="containsText" text="단독">
      <formula>NOT(ISERROR(SEARCH("단독",A27)))</formula>
    </cfRule>
  </conditionalFormatting>
  <conditionalFormatting sqref="A47">
    <cfRule type="containsText" dxfId="35" priority="23" operator="containsText" text="단독">
      <formula>NOT(ISERROR(SEARCH("단독",A47)))</formula>
    </cfRule>
  </conditionalFormatting>
  <conditionalFormatting sqref="A67">
    <cfRule type="containsText" dxfId="34" priority="22" operator="containsText" text="단독">
      <formula>NOT(ISERROR(SEARCH("단독",A67)))</formula>
    </cfRule>
  </conditionalFormatting>
  <conditionalFormatting sqref="A88">
    <cfRule type="containsText" dxfId="33" priority="21" operator="containsText" text="단독">
      <formula>NOT(ISERROR(SEARCH("단독",A88)))</formula>
    </cfRule>
  </conditionalFormatting>
  <conditionalFormatting sqref="A107">
    <cfRule type="containsText" dxfId="32" priority="20" operator="containsText" text="단독">
      <formula>NOT(ISERROR(SEARCH("단독",A107)))</formula>
    </cfRule>
  </conditionalFormatting>
  <conditionalFormatting sqref="A128">
    <cfRule type="containsText" dxfId="31" priority="19" operator="containsText" text="단독">
      <formula>NOT(ISERROR(SEARCH("단독",A128)))</formula>
    </cfRule>
  </conditionalFormatting>
  <conditionalFormatting sqref="A159">
    <cfRule type="containsText" dxfId="30" priority="18" operator="containsText" text="단독">
      <formula>NOT(ISERROR(SEARCH("단독",A159)))</formula>
    </cfRule>
  </conditionalFormatting>
  <conditionalFormatting sqref="A182">
    <cfRule type="containsText" dxfId="29" priority="17" operator="containsText" text="단독">
      <formula>NOT(ISERROR(SEARCH("단독",A182)))</formula>
    </cfRule>
  </conditionalFormatting>
  <conditionalFormatting sqref="A203">
    <cfRule type="containsText" dxfId="28" priority="16" operator="containsText" text="단독">
      <formula>NOT(ISERROR(SEARCH("단독",A203)))</formula>
    </cfRule>
  </conditionalFormatting>
  <conditionalFormatting sqref="A208">
    <cfRule type="containsText" dxfId="27" priority="15" operator="containsText" text="단독">
      <formula>NOT(ISERROR(SEARCH("단독",A208)))</formula>
    </cfRule>
  </conditionalFormatting>
  <conditionalFormatting sqref="A218">
    <cfRule type="containsText" dxfId="26" priority="14" operator="containsText" text="단독">
      <formula>NOT(ISERROR(SEARCH("단독",A218)))</formula>
    </cfRule>
  </conditionalFormatting>
  <conditionalFormatting sqref="A242">
    <cfRule type="containsText" dxfId="25" priority="13" operator="containsText" text="단독">
      <formula>NOT(ISERROR(SEARCH("단독",A242)))</formula>
    </cfRule>
  </conditionalFormatting>
  <conditionalFormatting sqref="A252">
    <cfRule type="containsText" dxfId="24" priority="12" operator="containsText" text="단독">
      <formula>NOT(ISERROR(SEARCH("단독",A252)))</formula>
    </cfRule>
  </conditionalFormatting>
  <conditionalFormatting sqref="A263">
    <cfRule type="containsText" dxfId="23" priority="11" operator="containsText" text="단독">
      <formula>NOT(ISERROR(SEARCH("단독",A263)))</formula>
    </cfRule>
  </conditionalFormatting>
  <conditionalFormatting sqref="A287">
    <cfRule type="containsText" dxfId="22" priority="10" operator="containsText" text="단독">
      <formula>NOT(ISERROR(SEARCH("단독",A287)))</formula>
    </cfRule>
  </conditionalFormatting>
  <conditionalFormatting sqref="A297">
    <cfRule type="containsText" dxfId="21" priority="9" operator="containsText" text="단독">
      <formula>NOT(ISERROR(SEARCH("단독",A297)))</formula>
    </cfRule>
  </conditionalFormatting>
  <conditionalFormatting sqref="A323">
    <cfRule type="containsText" dxfId="20" priority="8" operator="containsText" text="단독">
      <formula>NOT(ISERROR(SEARCH("단독",A323)))</formula>
    </cfRule>
  </conditionalFormatting>
  <conditionalFormatting sqref="A349">
    <cfRule type="containsText" dxfId="19" priority="7" operator="containsText" text="단독">
      <formula>NOT(ISERROR(SEARCH("단독",A349)))</formula>
    </cfRule>
  </conditionalFormatting>
  <conditionalFormatting sqref="A356">
    <cfRule type="containsText" dxfId="18" priority="6" operator="containsText" text="단독">
      <formula>NOT(ISERROR(SEARCH("단독",A356)))</formula>
    </cfRule>
  </conditionalFormatting>
  <conditionalFormatting sqref="A370">
    <cfRule type="containsText" dxfId="17" priority="5" operator="containsText" text="단독">
      <formula>NOT(ISERROR(SEARCH("단독",A370)))</formula>
    </cfRule>
  </conditionalFormatting>
  <conditionalFormatting sqref="A372">
    <cfRule type="containsText" dxfId="16" priority="4" operator="containsText" text="단독">
      <formula>NOT(ISERROR(SEARCH("단독",A372)))</formula>
    </cfRule>
  </conditionalFormatting>
  <conditionalFormatting sqref="A374">
    <cfRule type="containsText" dxfId="15" priority="3" operator="containsText" text="단독">
      <formula>NOT(ISERROR(SEARCH("단독",A374)))</formula>
    </cfRule>
  </conditionalFormatting>
  <conditionalFormatting sqref="A376">
    <cfRule type="containsText" dxfId="14" priority="2" operator="containsText" text="단독">
      <formula>NOT(ISERROR(SEARCH("단독",A376)))</formula>
    </cfRule>
  </conditionalFormatting>
  <conditionalFormatting sqref="A392">
    <cfRule type="containsText" dxfId="13" priority="1" operator="containsText" text="단독">
      <formula>NOT(ISERROR(SEARCH("단독",A392)))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48391"/>
  <sheetViews>
    <sheetView zoomScale="85" zoomScaleNormal="85" workbookViewId="0">
      <selection activeCell="C9" sqref="C9:C10"/>
    </sheetView>
  </sheetViews>
  <sheetFormatPr defaultRowHeight="16.5" x14ac:dyDescent="0.3"/>
  <cols>
    <col min="1" max="4" width="15.625" customWidth="1"/>
    <col min="5" max="5" width="23.5" customWidth="1"/>
    <col min="6" max="6" width="15.625" customWidth="1"/>
    <col min="7" max="7" width="23.5" customWidth="1"/>
    <col min="8" max="8" width="15.875" customWidth="1"/>
    <col min="9" max="9" width="39.125" customWidth="1"/>
    <col min="10" max="10" width="25" customWidth="1"/>
    <col min="11" max="11" width="9.375" customWidth="1"/>
    <col min="12" max="12" width="15.625" customWidth="1"/>
    <col min="13" max="13" width="18.75" customWidth="1"/>
    <col min="14" max="16" width="15.625" customWidth="1"/>
    <col min="17" max="44" width="12.5" customWidth="1"/>
    <col min="45" max="46" width="20.375" customWidth="1"/>
    <col min="47" max="47" width="23.5" customWidth="1"/>
    <col min="48" max="56" width="15.625" customWidth="1"/>
    <col min="57" max="57" width="17.25" customWidth="1"/>
    <col min="58" max="67" width="15.625" customWidth="1"/>
    <col min="68" max="68" width="28.125" customWidth="1"/>
    <col min="69" max="70" width="11" customWidth="1"/>
    <col min="71" max="71" width="15.625" customWidth="1"/>
    <col min="72" max="72" width="11.125" style="91" bestFit="1" customWidth="1"/>
    <col min="73" max="73" width="12.25" bestFit="1" customWidth="1"/>
  </cols>
  <sheetData>
    <row r="1" spans="1:73" x14ac:dyDescent="0.3">
      <c r="A1" s="255" t="s">
        <v>530</v>
      </c>
      <c r="B1" s="255" t="s">
        <v>531</v>
      </c>
      <c r="C1" s="255" t="s">
        <v>532</v>
      </c>
      <c r="D1" s="255" t="s">
        <v>533</v>
      </c>
      <c r="E1" s="255" t="s">
        <v>534</v>
      </c>
      <c r="F1" s="255" t="s">
        <v>535</v>
      </c>
      <c r="G1" s="255" t="s">
        <v>536</v>
      </c>
      <c r="H1" s="260" t="s">
        <v>0</v>
      </c>
      <c r="I1" s="255" t="s">
        <v>537</v>
      </c>
      <c r="J1" s="255" t="s">
        <v>538</v>
      </c>
      <c r="K1" s="255" t="s">
        <v>539</v>
      </c>
      <c r="L1" s="255" t="s">
        <v>540</v>
      </c>
      <c r="M1" s="255" t="s">
        <v>541</v>
      </c>
      <c r="N1" s="255" t="s">
        <v>542</v>
      </c>
      <c r="O1" s="255" t="s">
        <v>543</v>
      </c>
      <c r="P1" s="255" t="s">
        <v>544</v>
      </c>
      <c r="Q1" s="255" t="s">
        <v>545</v>
      </c>
      <c r="R1" s="255" t="s">
        <v>546</v>
      </c>
      <c r="S1" s="255" t="s">
        <v>547</v>
      </c>
      <c r="T1" s="259" t="s">
        <v>548</v>
      </c>
      <c r="U1" s="259" t="s">
        <v>548</v>
      </c>
      <c r="V1" s="259" t="s">
        <v>548</v>
      </c>
      <c r="W1" s="259" t="s">
        <v>548</v>
      </c>
      <c r="X1" s="259" t="s">
        <v>548</v>
      </c>
      <c r="Y1" s="259" t="s">
        <v>549</v>
      </c>
      <c r="Z1" s="259" t="s">
        <v>549</v>
      </c>
      <c r="AA1" s="259" t="s">
        <v>549</v>
      </c>
      <c r="AB1" s="259" t="s">
        <v>549</v>
      </c>
      <c r="AC1" s="259" t="s">
        <v>549</v>
      </c>
      <c r="AD1" s="377" t="s">
        <v>550</v>
      </c>
      <c r="AE1" s="377" t="s">
        <v>550</v>
      </c>
      <c r="AF1" s="377" t="s">
        <v>550</v>
      </c>
      <c r="AG1" s="377" t="s">
        <v>550</v>
      </c>
      <c r="AH1" s="377" t="s">
        <v>550</v>
      </c>
      <c r="AI1" s="377" t="s">
        <v>551</v>
      </c>
      <c r="AJ1" s="377" t="s">
        <v>551</v>
      </c>
      <c r="AK1" s="377" t="s">
        <v>551</v>
      </c>
      <c r="AL1" s="377" t="s">
        <v>551</v>
      </c>
      <c r="AM1" s="377" t="s">
        <v>551</v>
      </c>
      <c r="AN1" s="377" t="s">
        <v>552</v>
      </c>
      <c r="AO1" s="377" t="s">
        <v>552</v>
      </c>
      <c r="AP1" s="377" t="s">
        <v>552</v>
      </c>
      <c r="AQ1" s="377" t="s">
        <v>552</v>
      </c>
      <c r="AR1" s="377" t="s">
        <v>552</v>
      </c>
      <c r="AS1" s="255" t="s">
        <v>553</v>
      </c>
      <c r="AT1" s="255" t="s">
        <v>554</v>
      </c>
      <c r="AU1" s="255" t="s">
        <v>555</v>
      </c>
      <c r="AV1" s="255" t="s">
        <v>556</v>
      </c>
      <c r="AW1" s="255" t="s">
        <v>557</v>
      </c>
      <c r="AX1" s="255" t="s">
        <v>558</v>
      </c>
      <c r="AY1" s="255" t="s">
        <v>559</v>
      </c>
      <c r="AZ1" s="255" t="s">
        <v>560</v>
      </c>
      <c r="BA1" s="255" t="s">
        <v>561</v>
      </c>
      <c r="BB1" s="255" t="s">
        <v>562</v>
      </c>
      <c r="BC1" s="255" t="s">
        <v>563</v>
      </c>
      <c r="BD1" s="255" t="s">
        <v>564</v>
      </c>
      <c r="BE1" s="255" t="s">
        <v>565</v>
      </c>
      <c r="BF1" s="255" t="s">
        <v>566</v>
      </c>
      <c r="BG1" s="255" t="s">
        <v>567</v>
      </c>
      <c r="BH1" s="255" t="s">
        <v>568</v>
      </c>
      <c r="BI1" s="255" t="s">
        <v>569</v>
      </c>
      <c r="BJ1" s="255" t="s">
        <v>570</v>
      </c>
      <c r="BK1" s="255" t="s">
        <v>571</v>
      </c>
      <c r="BL1" s="255" t="s">
        <v>572</v>
      </c>
      <c r="BM1" s="255" t="s">
        <v>573</v>
      </c>
      <c r="BN1" s="255" t="s">
        <v>574</v>
      </c>
      <c r="BO1" s="255" t="s">
        <v>575</v>
      </c>
      <c r="BP1" s="255" t="s">
        <v>576</v>
      </c>
      <c r="BQ1" s="255" t="s">
        <v>577</v>
      </c>
      <c r="BR1" s="255" t="s">
        <v>578</v>
      </c>
      <c r="BS1" s="255" t="s">
        <v>579</v>
      </c>
    </row>
    <row r="2" spans="1:73" x14ac:dyDescent="0.3">
      <c r="A2" s="256" t="s">
        <v>581</v>
      </c>
      <c r="B2" s="256" t="s">
        <v>582</v>
      </c>
      <c r="C2" s="256" t="s">
        <v>943</v>
      </c>
      <c r="D2" s="256" t="s">
        <v>947</v>
      </c>
      <c r="E2" s="257" t="s">
        <v>947</v>
      </c>
      <c r="F2" s="256" t="s">
        <v>583</v>
      </c>
      <c r="G2" s="257" t="s">
        <v>584</v>
      </c>
      <c r="H2" s="256">
        <v>326263</v>
      </c>
      <c r="I2" s="257" t="s">
        <v>633</v>
      </c>
      <c r="J2" s="256" t="s">
        <v>634</v>
      </c>
      <c r="K2" s="256" t="s">
        <v>621</v>
      </c>
      <c r="L2" s="256" t="s">
        <v>588</v>
      </c>
      <c r="M2" s="256" t="s">
        <v>589</v>
      </c>
      <c r="N2" s="256" t="s">
        <v>590</v>
      </c>
      <c r="O2" s="256" t="s">
        <v>591</v>
      </c>
      <c r="P2" s="256" t="s">
        <v>592</v>
      </c>
      <c r="Q2" s="258">
        <v>10</v>
      </c>
      <c r="R2" s="258">
        <v>800</v>
      </c>
      <c r="S2" s="258">
        <v>1000</v>
      </c>
      <c r="T2" s="258">
        <v>1</v>
      </c>
      <c r="U2" s="258">
        <v>0</v>
      </c>
      <c r="V2" s="258">
        <v>0</v>
      </c>
      <c r="W2" s="258">
        <v>800</v>
      </c>
      <c r="X2" s="258">
        <v>800</v>
      </c>
      <c r="Y2" s="258">
        <v>1</v>
      </c>
      <c r="Z2" s="258">
        <v>0</v>
      </c>
      <c r="AA2" s="258">
        <v>0</v>
      </c>
      <c r="AB2" s="258">
        <v>800</v>
      </c>
      <c r="AC2" s="258">
        <v>800</v>
      </c>
      <c r="AD2" s="258">
        <v>0</v>
      </c>
      <c r="AE2" s="258">
        <v>0</v>
      </c>
      <c r="AF2" s="258">
        <v>0</v>
      </c>
      <c r="AG2" s="258">
        <v>0</v>
      </c>
      <c r="AH2" s="258">
        <v>0</v>
      </c>
      <c r="AI2" s="258">
        <v>0</v>
      </c>
      <c r="AJ2" s="258">
        <v>0</v>
      </c>
      <c r="AK2" s="258">
        <v>0</v>
      </c>
      <c r="AL2" s="258">
        <v>0</v>
      </c>
      <c r="AM2" s="258">
        <v>0</v>
      </c>
      <c r="AN2" s="258">
        <v>0</v>
      </c>
      <c r="AO2" s="258">
        <v>0</v>
      </c>
      <c r="AP2" s="258">
        <v>0</v>
      </c>
      <c r="AQ2" s="258">
        <v>0</v>
      </c>
      <c r="AR2" s="258">
        <v>0</v>
      </c>
      <c r="AS2" s="258">
        <v>1718</v>
      </c>
      <c r="AT2" s="258">
        <v>1718</v>
      </c>
      <c r="AU2" s="258">
        <v>1374400</v>
      </c>
      <c r="AV2" s="256" t="s">
        <v>944</v>
      </c>
      <c r="AW2" s="256" t="s">
        <v>594</v>
      </c>
      <c r="AX2" s="257" t="s">
        <v>595</v>
      </c>
      <c r="AY2" s="257" t="s">
        <v>595</v>
      </c>
      <c r="AZ2" s="256" t="s">
        <v>945</v>
      </c>
      <c r="BA2" s="256" t="s">
        <v>890</v>
      </c>
      <c r="BB2" s="256" t="s">
        <v>946</v>
      </c>
      <c r="BC2" s="256" t="s">
        <v>988</v>
      </c>
      <c r="BD2" s="256" t="s">
        <v>743</v>
      </c>
      <c r="BE2" s="258">
        <v>213</v>
      </c>
      <c r="BF2" s="256" t="s">
        <v>1096</v>
      </c>
      <c r="BG2" s="256" t="s">
        <v>636</v>
      </c>
      <c r="BH2" s="257" t="s">
        <v>637</v>
      </c>
      <c r="BI2" s="256" t="s">
        <v>595</v>
      </c>
      <c r="BJ2" s="256" t="s">
        <v>601</v>
      </c>
      <c r="BK2" s="256" t="s">
        <v>595</v>
      </c>
      <c r="BL2" s="256" t="s">
        <v>595</v>
      </c>
      <c r="BM2" s="256" t="s">
        <v>595</v>
      </c>
      <c r="BN2" s="256" t="s">
        <v>594</v>
      </c>
      <c r="BO2" s="256" t="s">
        <v>638</v>
      </c>
      <c r="BP2" s="257" t="s">
        <v>639</v>
      </c>
      <c r="BQ2" s="256" t="s">
        <v>611</v>
      </c>
      <c r="BR2" s="256" t="s">
        <v>612</v>
      </c>
      <c r="BS2" s="256" t="s">
        <v>595</v>
      </c>
      <c r="BT2" s="91">
        <f>DATE(LEFT(BB2,4),MID(BB2,5,2),RIGHT(BB2,2))</f>
        <v>46011</v>
      </c>
      <c r="BU2" s="91">
        <f t="array" ref="BU2">MIN(IF(H:H=H2,BT:BT ))</f>
        <v>46011</v>
      </c>
    </row>
    <row r="3" spans="1:73" x14ac:dyDescent="0.3">
      <c r="A3" s="256" t="s">
        <v>581</v>
      </c>
      <c r="B3" s="256" t="s">
        <v>582</v>
      </c>
      <c r="C3" s="256" t="s">
        <v>943</v>
      </c>
      <c r="D3" s="256" t="s">
        <v>948</v>
      </c>
      <c r="E3" s="257" t="s">
        <v>948</v>
      </c>
      <c r="F3" s="256" t="s">
        <v>583</v>
      </c>
      <c r="G3" s="257" t="s">
        <v>584</v>
      </c>
      <c r="H3" s="256">
        <v>326263</v>
      </c>
      <c r="I3" s="257" t="s">
        <v>633</v>
      </c>
      <c r="J3" s="256" t="s">
        <v>634</v>
      </c>
      <c r="K3" s="256" t="s">
        <v>621</v>
      </c>
      <c r="L3" s="256" t="s">
        <v>588</v>
      </c>
      <c r="M3" s="256" t="s">
        <v>589</v>
      </c>
      <c r="N3" s="256" t="s">
        <v>590</v>
      </c>
      <c r="O3" s="256" t="s">
        <v>591</v>
      </c>
      <c r="P3" s="256" t="s">
        <v>592</v>
      </c>
      <c r="Q3" s="258">
        <v>10</v>
      </c>
      <c r="R3" s="258">
        <v>800</v>
      </c>
      <c r="S3" s="258">
        <v>1000</v>
      </c>
      <c r="T3" s="258">
        <v>1</v>
      </c>
      <c r="U3" s="258">
        <v>0</v>
      </c>
      <c r="V3" s="258">
        <v>0</v>
      </c>
      <c r="W3" s="258">
        <v>800</v>
      </c>
      <c r="X3" s="258">
        <v>800</v>
      </c>
      <c r="Y3" s="258">
        <v>1</v>
      </c>
      <c r="Z3" s="258">
        <v>0</v>
      </c>
      <c r="AA3" s="258">
        <v>0</v>
      </c>
      <c r="AB3" s="258">
        <v>800</v>
      </c>
      <c r="AC3" s="258">
        <v>800</v>
      </c>
      <c r="AD3" s="258">
        <v>0</v>
      </c>
      <c r="AE3" s="258">
        <v>0</v>
      </c>
      <c r="AF3" s="258">
        <v>0</v>
      </c>
      <c r="AG3" s="258">
        <v>0</v>
      </c>
      <c r="AH3" s="258">
        <v>0</v>
      </c>
      <c r="AI3" s="258">
        <v>0</v>
      </c>
      <c r="AJ3" s="258">
        <v>0</v>
      </c>
      <c r="AK3" s="258">
        <v>0</v>
      </c>
      <c r="AL3" s="258">
        <v>0</v>
      </c>
      <c r="AM3" s="258">
        <v>0</v>
      </c>
      <c r="AN3" s="258">
        <v>0</v>
      </c>
      <c r="AO3" s="258">
        <v>0</v>
      </c>
      <c r="AP3" s="258">
        <v>0</v>
      </c>
      <c r="AQ3" s="258">
        <v>0</v>
      </c>
      <c r="AR3" s="258">
        <v>0</v>
      </c>
      <c r="AS3" s="258">
        <v>1718</v>
      </c>
      <c r="AT3" s="258">
        <v>1718</v>
      </c>
      <c r="AU3" s="258">
        <v>1374400</v>
      </c>
      <c r="AV3" s="256" t="s">
        <v>944</v>
      </c>
      <c r="AW3" s="256" t="s">
        <v>594</v>
      </c>
      <c r="AX3" s="257" t="s">
        <v>595</v>
      </c>
      <c r="AY3" s="257" t="s">
        <v>595</v>
      </c>
      <c r="AZ3" s="256" t="s">
        <v>945</v>
      </c>
      <c r="BA3" s="256" t="s">
        <v>890</v>
      </c>
      <c r="BB3" s="256" t="s">
        <v>946</v>
      </c>
      <c r="BC3" s="256" t="s">
        <v>988</v>
      </c>
      <c r="BD3" s="256" t="s">
        <v>743</v>
      </c>
      <c r="BE3" s="258">
        <v>213</v>
      </c>
      <c r="BF3" s="256" t="s">
        <v>1096</v>
      </c>
      <c r="BG3" s="256" t="s">
        <v>636</v>
      </c>
      <c r="BH3" s="257" t="s">
        <v>637</v>
      </c>
      <c r="BI3" s="256" t="s">
        <v>595</v>
      </c>
      <c r="BJ3" s="256" t="s">
        <v>601</v>
      </c>
      <c r="BK3" s="256" t="s">
        <v>595</v>
      </c>
      <c r="BL3" s="256" t="s">
        <v>595</v>
      </c>
      <c r="BM3" s="256" t="s">
        <v>595</v>
      </c>
      <c r="BN3" s="256" t="s">
        <v>594</v>
      </c>
      <c r="BO3" s="256" t="s">
        <v>638</v>
      </c>
      <c r="BP3" s="257" t="s">
        <v>639</v>
      </c>
      <c r="BQ3" s="256" t="s">
        <v>611</v>
      </c>
      <c r="BR3" s="256" t="s">
        <v>612</v>
      </c>
      <c r="BS3" s="256" t="s">
        <v>595</v>
      </c>
      <c r="BT3" s="91">
        <f>DATE(LEFT(BB3,4),MID(BB3,5,2),RIGHT(BB3,2))</f>
        <v>46011</v>
      </c>
      <c r="BU3" s="91">
        <f t="array" ref="BU3">MIN(IF(H:H=H3,BT:BT ))</f>
        <v>46011</v>
      </c>
    </row>
    <row r="4" spans="1:73" x14ac:dyDescent="0.3">
      <c r="A4" s="256" t="s">
        <v>581</v>
      </c>
      <c r="B4" s="256" t="s">
        <v>582</v>
      </c>
      <c r="C4" s="256" t="s">
        <v>943</v>
      </c>
      <c r="D4" s="256" t="s">
        <v>949</v>
      </c>
      <c r="E4" s="257" t="s">
        <v>949</v>
      </c>
      <c r="F4" s="256" t="s">
        <v>583</v>
      </c>
      <c r="G4" s="257" t="s">
        <v>584</v>
      </c>
      <c r="H4" s="256">
        <v>326263</v>
      </c>
      <c r="I4" s="257" t="s">
        <v>633</v>
      </c>
      <c r="J4" s="256" t="s">
        <v>634</v>
      </c>
      <c r="K4" s="256" t="s">
        <v>621</v>
      </c>
      <c r="L4" s="256" t="s">
        <v>588</v>
      </c>
      <c r="M4" s="256" t="s">
        <v>589</v>
      </c>
      <c r="N4" s="256" t="s">
        <v>590</v>
      </c>
      <c r="O4" s="256" t="s">
        <v>591</v>
      </c>
      <c r="P4" s="256" t="s">
        <v>592</v>
      </c>
      <c r="Q4" s="258">
        <v>10</v>
      </c>
      <c r="R4" s="258">
        <v>800</v>
      </c>
      <c r="S4" s="258">
        <v>1000</v>
      </c>
      <c r="T4" s="258">
        <v>1</v>
      </c>
      <c r="U4" s="258">
        <v>0</v>
      </c>
      <c r="V4" s="258">
        <v>0</v>
      </c>
      <c r="W4" s="258">
        <v>800</v>
      </c>
      <c r="X4" s="258">
        <v>800</v>
      </c>
      <c r="Y4" s="258">
        <v>1</v>
      </c>
      <c r="Z4" s="258">
        <v>0</v>
      </c>
      <c r="AA4" s="258">
        <v>0</v>
      </c>
      <c r="AB4" s="258">
        <v>800</v>
      </c>
      <c r="AC4" s="258">
        <v>800</v>
      </c>
      <c r="AD4" s="258">
        <v>0</v>
      </c>
      <c r="AE4" s="258">
        <v>0</v>
      </c>
      <c r="AF4" s="258">
        <v>0</v>
      </c>
      <c r="AG4" s="258">
        <v>0</v>
      </c>
      <c r="AH4" s="258">
        <v>0</v>
      </c>
      <c r="AI4" s="258">
        <v>0</v>
      </c>
      <c r="AJ4" s="258">
        <v>0</v>
      </c>
      <c r="AK4" s="258">
        <v>0</v>
      </c>
      <c r="AL4" s="258">
        <v>0</v>
      </c>
      <c r="AM4" s="258">
        <v>0</v>
      </c>
      <c r="AN4" s="258">
        <v>0</v>
      </c>
      <c r="AO4" s="258">
        <v>0</v>
      </c>
      <c r="AP4" s="258">
        <v>0</v>
      </c>
      <c r="AQ4" s="258">
        <v>0</v>
      </c>
      <c r="AR4" s="258">
        <v>0</v>
      </c>
      <c r="AS4" s="258">
        <v>1718</v>
      </c>
      <c r="AT4" s="258">
        <v>1718</v>
      </c>
      <c r="AU4" s="258">
        <v>1374400</v>
      </c>
      <c r="AV4" s="256" t="s">
        <v>944</v>
      </c>
      <c r="AW4" s="256" t="s">
        <v>594</v>
      </c>
      <c r="AX4" s="257" t="s">
        <v>595</v>
      </c>
      <c r="AY4" s="257" t="s">
        <v>595</v>
      </c>
      <c r="AZ4" s="256" t="s">
        <v>945</v>
      </c>
      <c r="BA4" s="256" t="s">
        <v>890</v>
      </c>
      <c r="BB4" s="256" t="s">
        <v>946</v>
      </c>
      <c r="BC4" s="256" t="s">
        <v>988</v>
      </c>
      <c r="BD4" s="256" t="s">
        <v>743</v>
      </c>
      <c r="BE4" s="258">
        <v>213</v>
      </c>
      <c r="BF4" s="256" t="s">
        <v>1096</v>
      </c>
      <c r="BG4" s="256" t="s">
        <v>636</v>
      </c>
      <c r="BH4" s="257" t="s">
        <v>637</v>
      </c>
      <c r="BI4" s="256" t="s">
        <v>595</v>
      </c>
      <c r="BJ4" s="256" t="s">
        <v>601</v>
      </c>
      <c r="BK4" s="256" t="s">
        <v>595</v>
      </c>
      <c r="BL4" s="256" t="s">
        <v>595</v>
      </c>
      <c r="BM4" s="256" t="s">
        <v>595</v>
      </c>
      <c r="BN4" s="256" t="s">
        <v>594</v>
      </c>
      <c r="BO4" s="256" t="s">
        <v>638</v>
      </c>
      <c r="BP4" s="257" t="s">
        <v>639</v>
      </c>
      <c r="BQ4" s="256" t="s">
        <v>615</v>
      </c>
      <c r="BR4" s="256" t="s">
        <v>616</v>
      </c>
      <c r="BS4" s="256" t="s">
        <v>595</v>
      </c>
      <c r="BT4" s="91">
        <f t="shared" ref="BT4:BT67" si="0">DATE(LEFT(BB4,4),MID(BB4,5,2),RIGHT(BB4,2))</f>
        <v>46011</v>
      </c>
      <c r="BU4" s="91">
        <f t="array" ref="BU4">MIN(IF(H:H=H4,BT:BT ))</f>
        <v>46011</v>
      </c>
    </row>
    <row r="5" spans="1:73" x14ac:dyDescent="0.3">
      <c r="A5" s="256" t="s">
        <v>581</v>
      </c>
      <c r="B5" s="256" t="s">
        <v>582</v>
      </c>
      <c r="C5" s="256" t="s">
        <v>943</v>
      </c>
      <c r="D5" s="256" t="s">
        <v>950</v>
      </c>
      <c r="E5" s="257" t="s">
        <v>950</v>
      </c>
      <c r="F5" s="256" t="s">
        <v>583</v>
      </c>
      <c r="G5" s="257" t="s">
        <v>584</v>
      </c>
      <c r="H5" s="256">
        <v>326263</v>
      </c>
      <c r="I5" s="257" t="s">
        <v>633</v>
      </c>
      <c r="J5" s="256" t="s">
        <v>634</v>
      </c>
      <c r="K5" s="256" t="s">
        <v>621</v>
      </c>
      <c r="L5" s="256" t="s">
        <v>588</v>
      </c>
      <c r="M5" s="256" t="s">
        <v>589</v>
      </c>
      <c r="N5" s="256" t="s">
        <v>590</v>
      </c>
      <c r="O5" s="256" t="s">
        <v>591</v>
      </c>
      <c r="P5" s="256" t="s">
        <v>592</v>
      </c>
      <c r="Q5" s="258">
        <v>10</v>
      </c>
      <c r="R5" s="258">
        <v>800</v>
      </c>
      <c r="S5" s="258">
        <v>1000</v>
      </c>
      <c r="T5" s="258">
        <v>1</v>
      </c>
      <c r="U5" s="258">
        <v>0</v>
      </c>
      <c r="V5" s="258">
        <v>0</v>
      </c>
      <c r="W5" s="258">
        <v>800</v>
      </c>
      <c r="X5" s="258">
        <v>800</v>
      </c>
      <c r="Y5" s="258">
        <v>1</v>
      </c>
      <c r="Z5" s="258">
        <v>0</v>
      </c>
      <c r="AA5" s="258">
        <v>0</v>
      </c>
      <c r="AB5" s="258">
        <v>800</v>
      </c>
      <c r="AC5" s="258">
        <v>800</v>
      </c>
      <c r="AD5" s="258">
        <v>0</v>
      </c>
      <c r="AE5" s="258">
        <v>0</v>
      </c>
      <c r="AF5" s="258">
        <v>0</v>
      </c>
      <c r="AG5" s="258">
        <v>0</v>
      </c>
      <c r="AH5" s="258">
        <v>0</v>
      </c>
      <c r="AI5" s="258">
        <v>0</v>
      </c>
      <c r="AJ5" s="258">
        <v>0</v>
      </c>
      <c r="AK5" s="258">
        <v>0</v>
      </c>
      <c r="AL5" s="258">
        <v>0</v>
      </c>
      <c r="AM5" s="258">
        <v>0</v>
      </c>
      <c r="AN5" s="258">
        <v>0</v>
      </c>
      <c r="AO5" s="258">
        <v>0</v>
      </c>
      <c r="AP5" s="258">
        <v>0</v>
      </c>
      <c r="AQ5" s="258">
        <v>0</v>
      </c>
      <c r="AR5" s="258">
        <v>0</v>
      </c>
      <c r="AS5" s="258">
        <v>1718</v>
      </c>
      <c r="AT5" s="258">
        <v>1718</v>
      </c>
      <c r="AU5" s="258">
        <v>1374400</v>
      </c>
      <c r="AV5" s="256" t="s">
        <v>944</v>
      </c>
      <c r="AW5" s="256" t="s">
        <v>594</v>
      </c>
      <c r="AX5" s="257" t="s">
        <v>595</v>
      </c>
      <c r="AY5" s="257" t="s">
        <v>595</v>
      </c>
      <c r="AZ5" s="256" t="s">
        <v>945</v>
      </c>
      <c r="BA5" s="256" t="s">
        <v>890</v>
      </c>
      <c r="BB5" s="256" t="s">
        <v>946</v>
      </c>
      <c r="BC5" s="256" t="s">
        <v>988</v>
      </c>
      <c r="BD5" s="256" t="s">
        <v>743</v>
      </c>
      <c r="BE5" s="258">
        <v>213</v>
      </c>
      <c r="BF5" s="256" t="s">
        <v>1096</v>
      </c>
      <c r="BG5" s="256" t="s">
        <v>636</v>
      </c>
      <c r="BH5" s="257" t="s">
        <v>637</v>
      </c>
      <c r="BI5" s="256" t="s">
        <v>595</v>
      </c>
      <c r="BJ5" s="256" t="s">
        <v>601</v>
      </c>
      <c r="BK5" s="256" t="s">
        <v>595</v>
      </c>
      <c r="BL5" s="256" t="s">
        <v>595</v>
      </c>
      <c r="BM5" s="256" t="s">
        <v>595</v>
      </c>
      <c r="BN5" s="256" t="s">
        <v>594</v>
      </c>
      <c r="BO5" s="256" t="s">
        <v>638</v>
      </c>
      <c r="BP5" s="257" t="s">
        <v>639</v>
      </c>
      <c r="BQ5" s="256" t="s">
        <v>611</v>
      </c>
      <c r="BR5" s="256" t="s">
        <v>612</v>
      </c>
      <c r="BS5" s="256" t="s">
        <v>595</v>
      </c>
      <c r="BT5" s="91">
        <f t="shared" si="0"/>
        <v>46011</v>
      </c>
      <c r="BU5" s="91">
        <f t="array" ref="BU5">MIN(IF(H:H=H5,BT:BT ))</f>
        <v>46011</v>
      </c>
    </row>
    <row r="6" spans="1:73" x14ac:dyDescent="0.3">
      <c r="A6" s="256" t="s">
        <v>581</v>
      </c>
      <c r="B6" s="256" t="s">
        <v>582</v>
      </c>
      <c r="C6" s="256" t="s">
        <v>943</v>
      </c>
      <c r="D6" s="256" t="s">
        <v>951</v>
      </c>
      <c r="E6" s="257" t="s">
        <v>951</v>
      </c>
      <c r="F6" s="256" t="s">
        <v>583</v>
      </c>
      <c r="G6" s="257" t="s">
        <v>584</v>
      </c>
      <c r="H6" s="256">
        <v>326263</v>
      </c>
      <c r="I6" s="257" t="s">
        <v>633</v>
      </c>
      <c r="J6" s="256" t="s">
        <v>634</v>
      </c>
      <c r="K6" s="256" t="s">
        <v>621</v>
      </c>
      <c r="L6" s="256" t="s">
        <v>588</v>
      </c>
      <c r="M6" s="256" t="s">
        <v>589</v>
      </c>
      <c r="N6" s="256" t="s">
        <v>590</v>
      </c>
      <c r="O6" s="256" t="s">
        <v>591</v>
      </c>
      <c r="P6" s="256" t="s">
        <v>592</v>
      </c>
      <c r="Q6" s="258">
        <v>10</v>
      </c>
      <c r="R6" s="258">
        <v>800</v>
      </c>
      <c r="S6" s="258">
        <v>1000</v>
      </c>
      <c r="T6" s="258">
        <v>1</v>
      </c>
      <c r="U6" s="258">
        <v>0</v>
      </c>
      <c r="V6" s="258">
        <v>0</v>
      </c>
      <c r="W6" s="258">
        <v>800</v>
      </c>
      <c r="X6" s="258">
        <v>800</v>
      </c>
      <c r="Y6" s="258">
        <v>1</v>
      </c>
      <c r="Z6" s="258">
        <v>0</v>
      </c>
      <c r="AA6" s="258">
        <v>0</v>
      </c>
      <c r="AB6" s="258">
        <v>800</v>
      </c>
      <c r="AC6" s="258">
        <v>800</v>
      </c>
      <c r="AD6" s="258">
        <v>0</v>
      </c>
      <c r="AE6" s="258">
        <v>0</v>
      </c>
      <c r="AF6" s="258">
        <v>0</v>
      </c>
      <c r="AG6" s="258">
        <v>0</v>
      </c>
      <c r="AH6" s="258">
        <v>0</v>
      </c>
      <c r="AI6" s="258">
        <v>0</v>
      </c>
      <c r="AJ6" s="258">
        <v>0</v>
      </c>
      <c r="AK6" s="258">
        <v>0</v>
      </c>
      <c r="AL6" s="258">
        <v>0</v>
      </c>
      <c r="AM6" s="258">
        <v>0</v>
      </c>
      <c r="AN6" s="258">
        <v>0</v>
      </c>
      <c r="AO6" s="258">
        <v>0</v>
      </c>
      <c r="AP6" s="258">
        <v>0</v>
      </c>
      <c r="AQ6" s="258">
        <v>0</v>
      </c>
      <c r="AR6" s="258">
        <v>0</v>
      </c>
      <c r="AS6" s="258">
        <v>1718</v>
      </c>
      <c r="AT6" s="258">
        <v>1718</v>
      </c>
      <c r="AU6" s="258">
        <v>1374400</v>
      </c>
      <c r="AV6" s="256" t="s">
        <v>944</v>
      </c>
      <c r="AW6" s="256" t="s">
        <v>594</v>
      </c>
      <c r="AX6" s="257" t="s">
        <v>595</v>
      </c>
      <c r="AY6" s="257" t="s">
        <v>595</v>
      </c>
      <c r="AZ6" s="256" t="s">
        <v>945</v>
      </c>
      <c r="BA6" s="256" t="s">
        <v>890</v>
      </c>
      <c r="BB6" s="256" t="s">
        <v>946</v>
      </c>
      <c r="BC6" s="256" t="s">
        <v>988</v>
      </c>
      <c r="BD6" s="256" t="s">
        <v>743</v>
      </c>
      <c r="BE6" s="258">
        <v>213</v>
      </c>
      <c r="BF6" s="256" t="s">
        <v>1096</v>
      </c>
      <c r="BG6" s="256" t="s">
        <v>636</v>
      </c>
      <c r="BH6" s="257" t="s">
        <v>637</v>
      </c>
      <c r="BI6" s="256" t="s">
        <v>595</v>
      </c>
      <c r="BJ6" s="256" t="s">
        <v>601</v>
      </c>
      <c r="BK6" s="256" t="s">
        <v>595</v>
      </c>
      <c r="BL6" s="256" t="s">
        <v>595</v>
      </c>
      <c r="BM6" s="256" t="s">
        <v>595</v>
      </c>
      <c r="BN6" s="256" t="s">
        <v>594</v>
      </c>
      <c r="BO6" s="256" t="s">
        <v>638</v>
      </c>
      <c r="BP6" s="257" t="s">
        <v>639</v>
      </c>
      <c r="BQ6" s="256" t="s">
        <v>615</v>
      </c>
      <c r="BR6" s="256" t="s">
        <v>616</v>
      </c>
      <c r="BS6" s="256" t="s">
        <v>595</v>
      </c>
      <c r="BT6" s="91">
        <f t="shared" si="0"/>
        <v>46011</v>
      </c>
      <c r="BU6" s="91">
        <f t="array" ref="BU6">MIN(IF(H:H=H6,BT:BT ))</f>
        <v>46011</v>
      </c>
    </row>
    <row r="7" spans="1:73" x14ac:dyDescent="0.3">
      <c r="A7" s="256" t="s">
        <v>581</v>
      </c>
      <c r="B7" s="256" t="s">
        <v>582</v>
      </c>
      <c r="C7" s="256" t="s">
        <v>943</v>
      </c>
      <c r="D7" s="256" t="s">
        <v>952</v>
      </c>
      <c r="E7" s="257" t="s">
        <v>952</v>
      </c>
      <c r="F7" s="256" t="s">
        <v>583</v>
      </c>
      <c r="G7" s="257" t="s">
        <v>584</v>
      </c>
      <c r="H7" s="256">
        <v>326263</v>
      </c>
      <c r="I7" s="257" t="s">
        <v>633</v>
      </c>
      <c r="J7" s="256" t="s">
        <v>634</v>
      </c>
      <c r="K7" s="256" t="s">
        <v>621</v>
      </c>
      <c r="L7" s="256" t="s">
        <v>588</v>
      </c>
      <c r="M7" s="256" t="s">
        <v>589</v>
      </c>
      <c r="N7" s="256" t="s">
        <v>590</v>
      </c>
      <c r="O7" s="256" t="s">
        <v>591</v>
      </c>
      <c r="P7" s="256" t="s">
        <v>592</v>
      </c>
      <c r="Q7" s="258">
        <v>10</v>
      </c>
      <c r="R7" s="258">
        <v>800</v>
      </c>
      <c r="S7" s="258">
        <v>1000</v>
      </c>
      <c r="T7" s="258">
        <v>1</v>
      </c>
      <c r="U7" s="258">
        <v>0</v>
      </c>
      <c r="V7" s="258">
        <v>0</v>
      </c>
      <c r="W7" s="258">
        <v>800</v>
      </c>
      <c r="X7" s="258">
        <v>800</v>
      </c>
      <c r="Y7" s="258">
        <v>1</v>
      </c>
      <c r="Z7" s="258">
        <v>0</v>
      </c>
      <c r="AA7" s="258">
        <v>0</v>
      </c>
      <c r="AB7" s="258">
        <v>800</v>
      </c>
      <c r="AC7" s="258">
        <v>800</v>
      </c>
      <c r="AD7" s="258">
        <v>0</v>
      </c>
      <c r="AE7" s="258">
        <v>0</v>
      </c>
      <c r="AF7" s="258">
        <v>0</v>
      </c>
      <c r="AG7" s="258">
        <v>0</v>
      </c>
      <c r="AH7" s="258">
        <v>0</v>
      </c>
      <c r="AI7" s="258">
        <v>0</v>
      </c>
      <c r="AJ7" s="258">
        <v>0</v>
      </c>
      <c r="AK7" s="258">
        <v>0</v>
      </c>
      <c r="AL7" s="258">
        <v>0</v>
      </c>
      <c r="AM7" s="258">
        <v>0</v>
      </c>
      <c r="AN7" s="258">
        <v>0</v>
      </c>
      <c r="AO7" s="258">
        <v>0</v>
      </c>
      <c r="AP7" s="258">
        <v>0</v>
      </c>
      <c r="AQ7" s="258">
        <v>0</v>
      </c>
      <c r="AR7" s="258">
        <v>0</v>
      </c>
      <c r="AS7" s="258">
        <v>1718</v>
      </c>
      <c r="AT7" s="258">
        <v>1718</v>
      </c>
      <c r="AU7" s="258">
        <v>1374400</v>
      </c>
      <c r="AV7" s="256" t="s">
        <v>944</v>
      </c>
      <c r="AW7" s="256" t="s">
        <v>594</v>
      </c>
      <c r="AX7" s="257" t="s">
        <v>595</v>
      </c>
      <c r="AY7" s="257" t="s">
        <v>595</v>
      </c>
      <c r="AZ7" s="256" t="s">
        <v>945</v>
      </c>
      <c r="BA7" s="256" t="s">
        <v>890</v>
      </c>
      <c r="BB7" s="256" t="s">
        <v>946</v>
      </c>
      <c r="BC7" s="256" t="s">
        <v>988</v>
      </c>
      <c r="BD7" s="256" t="s">
        <v>743</v>
      </c>
      <c r="BE7" s="258">
        <v>213</v>
      </c>
      <c r="BF7" s="256" t="s">
        <v>1096</v>
      </c>
      <c r="BG7" s="256" t="s">
        <v>636</v>
      </c>
      <c r="BH7" s="257" t="s">
        <v>637</v>
      </c>
      <c r="BI7" s="256" t="s">
        <v>595</v>
      </c>
      <c r="BJ7" s="256" t="s">
        <v>601</v>
      </c>
      <c r="BK7" s="256" t="s">
        <v>595</v>
      </c>
      <c r="BL7" s="256" t="s">
        <v>595</v>
      </c>
      <c r="BM7" s="256" t="s">
        <v>595</v>
      </c>
      <c r="BN7" s="256" t="s">
        <v>594</v>
      </c>
      <c r="BO7" s="256" t="s">
        <v>638</v>
      </c>
      <c r="BP7" s="257" t="s">
        <v>639</v>
      </c>
      <c r="BQ7" s="256" t="s">
        <v>611</v>
      </c>
      <c r="BR7" s="256" t="s">
        <v>612</v>
      </c>
      <c r="BS7" s="256" t="s">
        <v>595</v>
      </c>
      <c r="BT7" s="91">
        <f t="shared" si="0"/>
        <v>46011</v>
      </c>
      <c r="BU7" s="91">
        <f t="array" ref="BU7">MIN(IF(H:H=H7,BT:BT ))</f>
        <v>46011</v>
      </c>
    </row>
    <row r="8" spans="1:73" x14ac:dyDescent="0.3">
      <c r="A8" s="256" t="s">
        <v>581</v>
      </c>
      <c r="B8" s="256" t="s">
        <v>582</v>
      </c>
      <c r="C8" s="256" t="s">
        <v>943</v>
      </c>
      <c r="D8" s="256" t="s">
        <v>953</v>
      </c>
      <c r="E8" s="257" t="s">
        <v>953</v>
      </c>
      <c r="F8" s="256" t="s">
        <v>583</v>
      </c>
      <c r="G8" s="257" t="s">
        <v>584</v>
      </c>
      <c r="H8" s="256">
        <v>326263</v>
      </c>
      <c r="I8" s="257" t="s">
        <v>633</v>
      </c>
      <c r="J8" s="256" t="s">
        <v>634</v>
      </c>
      <c r="K8" s="256" t="s">
        <v>621</v>
      </c>
      <c r="L8" s="256" t="s">
        <v>588</v>
      </c>
      <c r="M8" s="256" t="s">
        <v>589</v>
      </c>
      <c r="N8" s="256" t="s">
        <v>590</v>
      </c>
      <c r="O8" s="256" t="s">
        <v>591</v>
      </c>
      <c r="P8" s="256" t="s">
        <v>592</v>
      </c>
      <c r="Q8" s="258">
        <v>10</v>
      </c>
      <c r="R8" s="258">
        <v>800</v>
      </c>
      <c r="S8" s="258">
        <v>1000</v>
      </c>
      <c r="T8" s="258">
        <v>1</v>
      </c>
      <c r="U8" s="258">
        <v>0</v>
      </c>
      <c r="V8" s="258">
        <v>0</v>
      </c>
      <c r="W8" s="258">
        <v>800</v>
      </c>
      <c r="X8" s="258">
        <v>800</v>
      </c>
      <c r="Y8" s="258">
        <v>1</v>
      </c>
      <c r="Z8" s="258">
        <v>0</v>
      </c>
      <c r="AA8" s="258">
        <v>0</v>
      </c>
      <c r="AB8" s="258">
        <v>800</v>
      </c>
      <c r="AC8" s="258">
        <v>800</v>
      </c>
      <c r="AD8" s="258">
        <v>0</v>
      </c>
      <c r="AE8" s="258">
        <v>0</v>
      </c>
      <c r="AF8" s="258">
        <v>0</v>
      </c>
      <c r="AG8" s="258">
        <v>0</v>
      </c>
      <c r="AH8" s="258">
        <v>0</v>
      </c>
      <c r="AI8" s="258">
        <v>0</v>
      </c>
      <c r="AJ8" s="258">
        <v>0</v>
      </c>
      <c r="AK8" s="258">
        <v>0</v>
      </c>
      <c r="AL8" s="258">
        <v>0</v>
      </c>
      <c r="AM8" s="258">
        <v>0</v>
      </c>
      <c r="AN8" s="258">
        <v>0</v>
      </c>
      <c r="AO8" s="258">
        <v>0</v>
      </c>
      <c r="AP8" s="258">
        <v>0</v>
      </c>
      <c r="AQ8" s="258">
        <v>0</v>
      </c>
      <c r="AR8" s="258">
        <v>0</v>
      </c>
      <c r="AS8" s="258">
        <v>1718</v>
      </c>
      <c r="AT8" s="258">
        <v>1718</v>
      </c>
      <c r="AU8" s="258">
        <v>1374400</v>
      </c>
      <c r="AV8" s="256" t="s">
        <v>944</v>
      </c>
      <c r="AW8" s="256" t="s">
        <v>594</v>
      </c>
      <c r="AX8" s="257" t="s">
        <v>595</v>
      </c>
      <c r="AY8" s="257" t="s">
        <v>595</v>
      </c>
      <c r="AZ8" s="256" t="s">
        <v>945</v>
      </c>
      <c r="BA8" s="256" t="s">
        <v>890</v>
      </c>
      <c r="BB8" s="256" t="s">
        <v>946</v>
      </c>
      <c r="BC8" s="256" t="s">
        <v>988</v>
      </c>
      <c r="BD8" s="256" t="s">
        <v>743</v>
      </c>
      <c r="BE8" s="258">
        <v>213</v>
      </c>
      <c r="BF8" s="256" t="s">
        <v>1096</v>
      </c>
      <c r="BG8" s="256" t="s">
        <v>636</v>
      </c>
      <c r="BH8" s="257" t="s">
        <v>637</v>
      </c>
      <c r="BI8" s="256" t="s">
        <v>595</v>
      </c>
      <c r="BJ8" s="256" t="s">
        <v>601</v>
      </c>
      <c r="BK8" s="256" t="s">
        <v>595</v>
      </c>
      <c r="BL8" s="256" t="s">
        <v>595</v>
      </c>
      <c r="BM8" s="256" t="s">
        <v>595</v>
      </c>
      <c r="BN8" s="256" t="s">
        <v>594</v>
      </c>
      <c r="BO8" s="256" t="s">
        <v>638</v>
      </c>
      <c r="BP8" s="257" t="s">
        <v>639</v>
      </c>
      <c r="BQ8" s="256" t="s">
        <v>615</v>
      </c>
      <c r="BR8" s="256" t="s">
        <v>616</v>
      </c>
      <c r="BS8" s="256" t="s">
        <v>595</v>
      </c>
      <c r="BT8" s="91">
        <f t="shared" si="0"/>
        <v>46011</v>
      </c>
      <c r="BU8" s="91">
        <f t="array" ref="BU8">MIN(IF(H:H=H8,BT:BT ))</f>
        <v>46011</v>
      </c>
    </row>
    <row r="9" spans="1:73" x14ac:dyDescent="0.3">
      <c r="A9" s="256" t="s">
        <v>581</v>
      </c>
      <c r="B9" s="256" t="s">
        <v>582</v>
      </c>
      <c r="C9" s="256" t="s">
        <v>943</v>
      </c>
      <c r="D9" s="256" t="s">
        <v>954</v>
      </c>
      <c r="E9" s="257" t="s">
        <v>954</v>
      </c>
      <c r="F9" s="256" t="s">
        <v>583</v>
      </c>
      <c r="G9" s="257" t="s">
        <v>584</v>
      </c>
      <c r="H9" s="256">
        <v>326263</v>
      </c>
      <c r="I9" s="257" t="s">
        <v>633</v>
      </c>
      <c r="J9" s="256" t="s">
        <v>634</v>
      </c>
      <c r="K9" s="256" t="s">
        <v>621</v>
      </c>
      <c r="L9" s="256" t="s">
        <v>588</v>
      </c>
      <c r="M9" s="256" t="s">
        <v>589</v>
      </c>
      <c r="N9" s="256" t="s">
        <v>590</v>
      </c>
      <c r="O9" s="256" t="s">
        <v>591</v>
      </c>
      <c r="P9" s="256" t="s">
        <v>592</v>
      </c>
      <c r="Q9" s="258">
        <v>10</v>
      </c>
      <c r="R9" s="258">
        <v>800</v>
      </c>
      <c r="S9" s="258">
        <v>1000</v>
      </c>
      <c r="T9" s="258">
        <v>1</v>
      </c>
      <c r="U9" s="258">
        <v>0</v>
      </c>
      <c r="V9" s="258">
        <v>0</v>
      </c>
      <c r="W9" s="258">
        <v>800</v>
      </c>
      <c r="X9" s="258">
        <v>800</v>
      </c>
      <c r="Y9" s="258">
        <v>1</v>
      </c>
      <c r="Z9" s="258">
        <v>0</v>
      </c>
      <c r="AA9" s="258">
        <v>0</v>
      </c>
      <c r="AB9" s="258">
        <v>800</v>
      </c>
      <c r="AC9" s="258">
        <v>800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8">
        <v>0</v>
      </c>
      <c r="AK9" s="258">
        <v>0</v>
      </c>
      <c r="AL9" s="258">
        <v>0</v>
      </c>
      <c r="AM9" s="258">
        <v>0</v>
      </c>
      <c r="AN9" s="258">
        <v>0</v>
      </c>
      <c r="AO9" s="258">
        <v>0</v>
      </c>
      <c r="AP9" s="258">
        <v>0</v>
      </c>
      <c r="AQ9" s="258">
        <v>0</v>
      </c>
      <c r="AR9" s="258">
        <v>0</v>
      </c>
      <c r="AS9" s="258">
        <v>1718</v>
      </c>
      <c r="AT9" s="258">
        <v>1718</v>
      </c>
      <c r="AU9" s="258">
        <v>1374400</v>
      </c>
      <c r="AV9" s="256" t="s">
        <v>944</v>
      </c>
      <c r="AW9" s="256" t="s">
        <v>594</v>
      </c>
      <c r="AX9" s="257" t="s">
        <v>595</v>
      </c>
      <c r="AY9" s="257" t="s">
        <v>595</v>
      </c>
      <c r="AZ9" s="256" t="s">
        <v>945</v>
      </c>
      <c r="BA9" s="256" t="s">
        <v>890</v>
      </c>
      <c r="BB9" s="256" t="s">
        <v>946</v>
      </c>
      <c r="BC9" s="256" t="s">
        <v>988</v>
      </c>
      <c r="BD9" s="256" t="s">
        <v>743</v>
      </c>
      <c r="BE9" s="258">
        <v>213</v>
      </c>
      <c r="BF9" s="256" t="s">
        <v>1096</v>
      </c>
      <c r="BG9" s="256" t="s">
        <v>636</v>
      </c>
      <c r="BH9" s="257" t="s">
        <v>637</v>
      </c>
      <c r="BI9" s="256" t="s">
        <v>595</v>
      </c>
      <c r="BJ9" s="256" t="s">
        <v>601</v>
      </c>
      <c r="BK9" s="256" t="s">
        <v>595</v>
      </c>
      <c r="BL9" s="256" t="s">
        <v>595</v>
      </c>
      <c r="BM9" s="256" t="s">
        <v>595</v>
      </c>
      <c r="BN9" s="256" t="s">
        <v>594</v>
      </c>
      <c r="BO9" s="256" t="s">
        <v>638</v>
      </c>
      <c r="BP9" s="257" t="s">
        <v>639</v>
      </c>
      <c r="BQ9" s="256" t="s">
        <v>611</v>
      </c>
      <c r="BR9" s="256" t="s">
        <v>612</v>
      </c>
      <c r="BS9" s="256" t="s">
        <v>595</v>
      </c>
      <c r="BT9" s="91">
        <f t="shared" si="0"/>
        <v>46011</v>
      </c>
      <c r="BU9" s="91">
        <f t="array" ref="BU9">MIN(IF(H:H=H9,BT:BT ))</f>
        <v>46011</v>
      </c>
    </row>
    <row r="10" spans="1:73" x14ac:dyDescent="0.3">
      <c r="A10" s="256" t="s">
        <v>581</v>
      </c>
      <c r="B10" s="256" t="s">
        <v>582</v>
      </c>
      <c r="C10" s="256" t="s">
        <v>606</v>
      </c>
      <c r="D10" s="256" t="s">
        <v>607</v>
      </c>
      <c r="E10" s="257" t="s">
        <v>607</v>
      </c>
      <c r="F10" s="256" t="s">
        <v>583</v>
      </c>
      <c r="G10" s="257" t="s">
        <v>584</v>
      </c>
      <c r="H10" s="256">
        <v>323073</v>
      </c>
      <c r="I10" s="257" t="s">
        <v>585</v>
      </c>
      <c r="J10" s="256" t="s">
        <v>586</v>
      </c>
      <c r="K10" s="256" t="s">
        <v>587</v>
      </c>
      <c r="L10" s="256" t="s">
        <v>588</v>
      </c>
      <c r="M10" s="256" t="s">
        <v>589</v>
      </c>
      <c r="N10" s="256" t="s">
        <v>590</v>
      </c>
      <c r="O10" s="256" t="s">
        <v>591</v>
      </c>
      <c r="P10" s="256" t="s">
        <v>592</v>
      </c>
      <c r="Q10" s="258">
        <v>8</v>
      </c>
      <c r="R10" s="258">
        <v>700</v>
      </c>
      <c r="S10" s="258">
        <v>600</v>
      </c>
      <c r="T10" s="258">
        <v>0</v>
      </c>
      <c r="U10" s="258">
        <v>80</v>
      </c>
      <c r="V10" s="258">
        <v>0</v>
      </c>
      <c r="W10" s="258">
        <v>640</v>
      </c>
      <c r="X10" s="258">
        <v>384</v>
      </c>
      <c r="Y10" s="258">
        <v>0</v>
      </c>
      <c r="Z10" s="258">
        <v>80</v>
      </c>
      <c r="AA10" s="258">
        <v>0</v>
      </c>
      <c r="AB10" s="258">
        <v>640</v>
      </c>
      <c r="AC10" s="258">
        <v>384</v>
      </c>
      <c r="AD10" s="258">
        <v>0</v>
      </c>
      <c r="AE10" s="258">
        <v>0</v>
      </c>
      <c r="AF10" s="258">
        <v>0</v>
      </c>
      <c r="AG10" s="258">
        <v>0</v>
      </c>
      <c r="AH10" s="258">
        <v>0</v>
      </c>
      <c r="AI10" s="258">
        <v>0</v>
      </c>
      <c r="AJ10" s="258">
        <v>0</v>
      </c>
      <c r="AK10" s="258">
        <v>0</v>
      </c>
      <c r="AL10" s="258">
        <v>0</v>
      </c>
      <c r="AM10" s="258">
        <v>0</v>
      </c>
      <c r="AN10" s="258">
        <v>0</v>
      </c>
      <c r="AO10" s="258">
        <v>0</v>
      </c>
      <c r="AP10" s="258">
        <v>0</v>
      </c>
      <c r="AQ10" s="258">
        <v>0</v>
      </c>
      <c r="AR10" s="258">
        <v>0</v>
      </c>
      <c r="AS10" s="258">
        <v>7100</v>
      </c>
      <c r="AT10" s="258">
        <v>7100</v>
      </c>
      <c r="AU10" s="258">
        <v>4544000</v>
      </c>
      <c r="AV10" s="256" t="s">
        <v>593</v>
      </c>
      <c r="AW10" s="256" t="s">
        <v>594</v>
      </c>
      <c r="AX10" s="257" t="s">
        <v>595</v>
      </c>
      <c r="AY10" s="257" t="s">
        <v>595</v>
      </c>
      <c r="AZ10" s="256" t="s">
        <v>596</v>
      </c>
      <c r="BA10" s="256" t="s">
        <v>597</v>
      </c>
      <c r="BB10" s="256" t="s">
        <v>598</v>
      </c>
      <c r="BC10" s="256" t="s">
        <v>989</v>
      </c>
      <c r="BD10" s="256" t="s">
        <v>990</v>
      </c>
      <c r="BE10" s="258">
        <v>280</v>
      </c>
      <c r="BF10" s="256" t="s">
        <v>1097</v>
      </c>
      <c r="BG10" s="256" t="s">
        <v>599</v>
      </c>
      <c r="BH10" s="257" t="s">
        <v>600</v>
      </c>
      <c r="BI10" s="256" t="s">
        <v>595</v>
      </c>
      <c r="BJ10" s="256" t="s">
        <v>601</v>
      </c>
      <c r="BK10" s="256" t="s">
        <v>595</v>
      </c>
      <c r="BL10" s="256" t="s">
        <v>595</v>
      </c>
      <c r="BM10" s="256" t="s">
        <v>595</v>
      </c>
      <c r="BN10" s="256" t="s">
        <v>594</v>
      </c>
      <c r="BO10" s="256" t="s">
        <v>602</v>
      </c>
      <c r="BP10" s="257" t="s">
        <v>603</v>
      </c>
      <c r="BQ10" s="256" t="s">
        <v>608</v>
      </c>
      <c r="BR10" s="256" t="s">
        <v>609</v>
      </c>
      <c r="BS10" s="256" t="s">
        <v>595</v>
      </c>
      <c r="BT10" s="91">
        <f t="shared" si="0"/>
        <v>46078</v>
      </c>
      <c r="BU10" s="91">
        <f t="array" ref="BU10">MIN(IF(H:H=H10,BT:BT ))</f>
        <v>46078</v>
      </c>
    </row>
    <row r="11" spans="1:73" x14ac:dyDescent="0.3">
      <c r="A11" s="256" t="s">
        <v>581</v>
      </c>
      <c r="B11" s="256" t="s">
        <v>582</v>
      </c>
      <c r="C11" s="256" t="s">
        <v>606</v>
      </c>
      <c r="D11" s="256" t="s">
        <v>610</v>
      </c>
      <c r="E11" s="257" t="s">
        <v>610</v>
      </c>
      <c r="F11" s="256" t="s">
        <v>583</v>
      </c>
      <c r="G11" s="257" t="s">
        <v>584</v>
      </c>
      <c r="H11" s="256">
        <v>323073</v>
      </c>
      <c r="I11" s="257" t="s">
        <v>585</v>
      </c>
      <c r="J11" s="256" t="s">
        <v>586</v>
      </c>
      <c r="K11" s="256" t="s">
        <v>587</v>
      </c>
      <c r="L11" s="256" t="s">
        <v>588</v>
      </c>
      <c r="M11" s="256" t="s">
        <v>589</v>
      </c>
      <c r="N11" s="256" t="s">
        <v>590</v>
      </c>
      <c r="O11" s="256" t="s">
        <v>591</v>
      </c>
      <c r="P11" s="256" t="s">
        <v>592</v>
      </c>
      <c r="Q11" s="258">
        <v>8</v>
      </c>
      <c r="R11" s="258">
        <v>700</v>
      </c>
      <c r="S11" s="258">
        <v>600</v>
      </c>
      <c r="T11" s="258">
        <v>0</v>
      </c>
      <c r="U11" s="258">
        <v>80</v>
      </c>
      <c r="V11" s="258">
        <v>0</v>
      </c>
      <c r="W11" s="258">
        <v>640</v>
      </c>
      <c r="X11" s="258">
        <v>384</v>
      </c>
      <c r="Y11" s="258">
        <v>0</v>
      </c>
      <c r="Z11" s="258">
        <v>80</v>
      </c>
      <c r="AA11" s="258">
        <v>0</v>
      </c>
      <c r="AB11" s="258">
        <v>640</v>
      </c>
      <c r="AC11" s="258">
        <v>384</v>
      </c>
      <c r="AD11" s="258">
        <v>0</v>
      </c>
      <c r="AE11" s="258">
        <v>0</v>
      </c>
      <c r="AF11" s="258">
        <v>0</v>
      </c>
      <c r="AG11" s="258">
        <v>0</v>
      </c>
      <c r="AH11" s="258">
        <v>0</v>
      </c>
      <c r="AI11" s="258">
        <v>0</v>
      </c>
      <c r="AJ11" s="258">
        <v>0</v>
      </c>
      <c r="AK11" s="258">
        <v>0</v>
      </c>
      <c r="AL11" s="258">
        <v>0</v>
      </c>
      <c r="AM11" s="258">
        <v>0</v>
      </c>
      <c r="AN11" s="258">
        <v>0</v>
      </c>
      <c r="AO11" s="258">
        <v>0</v>
      </c>
      <c r="AP11" s="258">
        <v>0</v>
      </c>
      <c r="AQ11" s="258">
        <v>0</v>
      </c>
      <c r="AR11" s="258">
        <v>0</v>
      </c>
      <c r="AS11" s="258">
        <v>7100</v>
      </c>
      <c r="AT11" s="258">
        <v>7100</v>
      </c>
      <c r="AU11" s="258">
        <v>4544000</v>
      </c>
      <c r="AV11" s="256" t="s">
        <v>593</v>
      </c>
      <c r="AW11" s="256" t="s">
        <v>594</v>
      </c>
      <c r="AX11" s="257" t="s">
        <v>595</v>
      </c>
      <c r="AY11" s="257" t="s">
        <v>595</v>
      </c>
      <c r="AZ11" s="256" t="s">
        <v>596</v>
      </c>
      <c r="BA11" s="256" t="s">
        <v>597</v>
      </c>
      <c r="BB11" s="256" t="s">
        <v>598</v>
      </c>
      <c r="BC11" s="256" t="s">
        <v>989</v>
      </c>
      <c r="BD11" s="256" t="s">
        <v>990</v>
      </c>
      <c r="BE11" s="258">
        <v>280</v>
      </c>
      <c r="BF11" s="256" t="s">
        <v>1097</v>
      </c>
      <c r="BG11" s="256" t="s">
        <v>599</v>
      </c>
      <c r="BH11" s="257" t="s">
        <v>600</v>
      </c>
      <c r="BI11" s="256" t="s">
        <v>595</v>
      </c>
      <c r="BJ11" s="256" t="s">
        <v>601</v>
      </c>
      <c r="BK11" s="256" t="s">
        <v>595</v>
      </c>
      <c r="BL11" s="256" t="s">
        <v>595</v>
      </c>
      <c r="BM11" s="256" t="s">
        <v>595</v>
      </c>
      <c r="BN11" s="256" t="s">
        <v>594</v>
      </c>
      <c r="BO11" s="256" t="s">
        <v>602</v>
      </c>
      <c r="BP11" s="257" t="s">
        <v>603</v>
      </c>
      <c r="BQ11" s="256" t="s">
        <v>611</v>
      </c>
      <c r="BR11" s="256" t="s">
        <v>612</v>
      </c>
      <c r="BS11" s="256" t="s">
        <v>595</v>
      </c>
      <c r="BT11" s="91">
        <f t="shared" si="0"/>
        <v>46078</v>
      </c>
      <c r="BU11" s="91">
        <f t="array" ref="BU11">MIN(IF(H:H=H11,BT:BT ))</f>
        <v>46078</v>
      </c>
    </row>
    <row r="12" spans="1:73" x14ac:dyDescent="0.3">
      <c r="A12" s="256" t="s">
        <v>581</v>
      </c>
      <c r="B12" s="256" t="s">
        <v>582</v>
      </c>
      <c r="C12" s="256" t="s">
        <v>606</v>
      </c>
      <c r="D12" s="256" t="s">
        <v>613</v>
      </c>
      <c r="E12" s="257" t="s">
        <v>613</v>
      </c>
      <c r="F12" s="256" t="s">
        <v>583</v>
      </c>
      <c r="G12" s="257" t="s">
        <v>584</v>
      </c>
      <c r="H12" s="256">
        <v>323073</v>
      </c>
      <c r="I12" s="257" t="s">
        <v>585</v>
      </c>
      <c r="J12" s="256" t="s">
        <v>586</v>
      </c>
      <c r="K12" s="256" t="s">
        <v>587</v>
      </c>
      <c r="L12" s="256" t="s">
        <v>588</v>
      </c>
      <c r="M12" s="256" t="s">
        <v>589</v>
      </c>
      <c r="N12" s="256" t="s">
        <v>590</v>
      </c>
      <c r="O12" s="256" t="s">
        <v>591</v>
      </c>
      <c r="P12" s="256" t="s">
        <v>592</v>
      </c>
      <c r="Q12" s="258">
        <v>8</v>
      </c>
      <c r="R12" s="258">
        <v>700</v>
      </c>
      <c r="S12" s="258">
        <v>600</v>
      </c>
      <c r="T12" s="258">
        <v>0</v>
      </c>
      <c r="U12" s="258">
        <v>80</v>
      </c>
      <c r="V12" s="258">
        <v>0</v>
      </c>
      <c r="W12" s="258">
        <v>640</v>
      </c>
      <c r="X12" s="258">
        <v>384</v>
      </c>
      <c r="Y12" s="258">
        <v>0</v>
      </c>
      <c r="Z12" s="258">
        <v>80</v>
      </c>
      <c r="AA12" s="258">
        <v>0</v>
      </c>
      <c r="AB12" s="258">
        <v>640</v>
      </c>
      <c r="AC12" s="258">
        <v>384</v>
      </c>
      <c r="AD12" s="258">
        <v>0</v>
      </c>
      <c r="AE12" s="258">
        <v>0</v>
      </c>
      <c r="AF12" s="258">
        <v>0</v>
      </c>
      <c r="AG12" s="258">
        <v>0</v>
      </c>
      <c r="AH12" s="258">
        <v>0</v>
      </c>
      <c r="AI12" s="258">
        <v>0</v>
      </c>
      <c r="AJ12" s="258">
        <v>0</v>
      </c>
      <c r="AK12" s="258">
        <v>0</v>
      </c>
      <c r="AL12" s="258">
        <v>0</v>
      </c>
      <c r="AM12" s="258">
        <v>0</v>
      </c>
      <c r="AN12" s="258">
        <v>0</v>
      </c>
      <c r="AO12" s="258">
        <v>0</v>
      </c>
      <c r="AP12" s="258">
        <v>0</v>
      </c>
      <c r="AQ12" s="258">
        <v>0</v>
      </c>
      <c r="AR12" s="258">
        <v>0</v>
      </c>
      <c r="AS12" s="258">
        <v>7100</v>
      </c>
      <c r="AT12" s="258">
        <v>7100</v>
      </c>
      <c r="AU12" s="258">
        <v>4544000</v>
      </c>
      <c r="AV12" s="256" t="s">
        <v>593</v>
      </c>
      <c r="AW12" s="256" t="s">
        <v>594</v>
      </c>
      <c r="AX12" s="257" t="s">
        <v>595</v>
      </c>
      <c r="AY12" s="257" t="s">
        <v>595</v>
      </c>
      <c r="AZ12" s="256" t="s">
        <v>596</v>
      </c>
      <c r="BA12" s="256" t="s">
        <v>597</v>
      </c>
      <c r="BB12" s="256" t="s">
        <v>598</v>
      </c>
      <c r="BC12" s="256" t="s">
        <v>989</v>
      </c>
      <c r="BD12" s="256" t="s">
        <v>990</v>
      </c>
      <c r="BE12" s="258">
        <v>280</v>
      </c>
      <c r="BF12" s="256" t="s">
        <v>1097</v>
      </c>
      <c r="BG12" s="256" t="s">
        <v>599</v>
      </c>
      <c r="BH12" s="257" t="s">
        <v>600</v>
      </c>
      <c r="BI12" s="256" t="s">
        <v>595</v>
      </c>
      <c r="BJ12" s="256" t="s">
        <v>601</v>
      </c>
      <c r="BK12" s="256" t="s">
        <v>595</v>
      </c>
      <c r="BL12" s="256" t="s">
        <v>595</v>
      </c>
      <c r="BM12" s="256" t="s">
        <v>595</v>
      </c>
      <c r="BN12" s="256" t="s">
        <v>594</v>
      </c>
      <c r="BO12" s="256" t="s">
        <v>602</v>
      </c>
      <c r="BP12" s="257" t="s">
        <v>603</v>
      </c>
      <c r="BQ12" s="256" t="s">
        <v>611</v>
      </c>
      <c r="BR12" s="256" t="s">
        <v>612</v>
      </c>
      <c r="BS12" s="256" t="s">
        <v>595</v>
      </c>
      <c r="BT12" s="91">
        <f t="shared" si="0"/>
        <v>46078</v>
      </c>
      <c r="BU12" s="91">
        <f t="array" ref="BU12">MIN(IF(H:H=H12,BT:BT ))</f>
        <v>46078</v>
      </c>
    </row>
    <row r="13" spans="1:73" x14ac:dyDescent="0.3">
      <c r="A13" s="256" t="s">
        <v>581</v>
      </c>
      <c r="B13" s="256" t="s">
        <v>582</v>
      </c>
      <c r="C13" s="256" t="s">
        <v>606</v>
      </c>
      <c r="D13" s="256" t="s">
        <v>614</v>
      </c>
      <c r="E13" s="257" t="s">
        <v>614</v>
      </c>
      <c r="F13" s="256" t="s">
        <v>583</v>
      </c>
      <c r="G13" s="257" t="s">
        <v>584</v>
      </c>
      <c r="H13" s="256">
        <v>323073</v>
      </c>
      <c r="I13" s="257" t="s">
        <v>585</v>
      </c>
      <c r="J13" s="256" t="s">
        <v>586</v>
      </c>
      <c r="K13" s="256" t="s">
        <v>587</v>
      </c>
      <c r="L13" s="256" t="s">
        <v>588</v>
      </c>
      <c r="M13" s="256" t="s">
        <v>589</v>
      </c>
      <c r="N13" s="256" t="s">
        <v>590</v>
      </c>
      <c r="O13" s="256" t="s">
        <v>591</v>
      </c>
      <c r="P13" s="256" t="s">
        <v>592</v>
      </c>
      <c r="Q13" s="258">
        <v>8</v>
      </c>
      <c r="R13" s="258">
        <v>700</v>
      </c>
      <c r="S13" s="258">
        <v>600</v>
      </c>
      <c r="T13" s="258">
        <v>0</v>
      </c>
      <c r="U13" s="258">
        <v>80</v>
      </c>
      <c r="V13" s="258">
        <v>0</v>
      </c>
      <c r="W13" s="258">
        <v>640</v>
      </c>
      <c r="X13" s="258">
        <v>384</v>
      </c>
      <c r="Y13" s="258">
        <v>0</v>
      </c>
      <c r="Z13" s="258">
        <v>80</v>
      </c>
      <c r="AA13" s="258">
        <v>0</v>
      </c>
      <c r="AB13" s="258">
        <v>640</v>
      </c>
      <c r="AC13" s="258">
        <v>384</v>
      </c>
      <c r="AD13" s="258">
        <v>0</v>
      </c>
      <c r="AE13" s="258">
        <v>0</v>
      </c>
      <c r="AF13" s="258">
        <v>0</v>
      </c>
      <c r="AG13" s="258">
        <v>0</v>
      </c>
      <c r="AH13" s="258">
        <v>0</v>
      </c>
      <c r="AI13" s="258">
        <v>0</v>
      </c>
      <c r="AJ13" s="258">
        <v>0</v>
      </c>
      <c r="AK13" s="258">
        <v>0</v>
      </c>
      <c r="AL13" s="258">
        <v>0</v>
      </c>
      <c r="AM13" s="258">
        <v>0</v>
      </c>
      <c r="AN13" s="258">
        <v>0</v>
      </c>
      <c r="AO13" s="258">
        <v>0</v>
      </c>
      <c r="AP13" s="258">
        <v>0</v>
      </c>
      <c r="AQ13" s="258">
        <v>0</v>
      </c>
      <c r="AR13" s="258">
        <v>0</v>
      </c>
      <c r="AS13" s="258">
        <v>7100</v>
      </c>
      <c r="AT13" s="258">
        <v>7100</v>
      </c>
      <c r="AU13" s="258">
        <v>4544000</v>
      </c>
      <c r="AV13" s="256" t="s">
        <v>593</v>
      </c>
      <c r="AW13" s="256" t="s">
        <v>594</v>
      </c>
      <c r="AX13" s="257" t="s">
        <v>595</v>
      </c>
      <c r="AY13" s="257" t="s">
        <v>595</v>
      </c>
      <c r="AZ13" s="256" t="s">
        <v>596</v>
      </c>
      <c r="BA13" s="256" t="s">
        <v>597</v>
      </c>
      <c r="BB13" s="256" t="s">
        <v>598</v>
      </c>
      <c r="BC13" s="256" t="s">
        <v>989</v>
      </c>
      <c r="BD13" s="256" t="s">
        <v>990</v>
      </c>
      <c r="BE13" s="258">
        <v>280</v>
      </c>
      <c r="BF13" s="256" t="s">
        <v>1097</v>
      </c>
      <c r="BG13" s="256" t="s">
        <v>599</v>
      </c>
      <c r="BH13" s="257" t="s">
        <v>600</v>
      </c>
      <c r="BI13" s="256" t="s">
        <v>595</v>
      </c>
      <c r="BJ13" s="256" t="s">
        <v>601</v>
      </c>
      <c r="BK13" s="256" t="s">
        <v>595</v>
      </c>
      <c r="BL13" s="256" t="s">
        <v>595</v>
      </c>
      <c r="BM13" s="256" t="s">
        <v>595</v>
      </c>
      <c r="BN13" s="256" t="s">
        <v>594</v>
      </c>
      <c r="BO13" s="256" t="s">
        <v>602</v>
      </c>
      <c r="BP13" s="257" t="s">
        <v>603</v>
      </c>
      <c r="BQ13" s="256" t="s">
        <v>615</v>
      </c>
      <c r="BR13" s="256" t="s">
        <v>616</v>
      </c>
      <c r="BS13" s="256" t="s">
        <v>595</v>
      </c>
      <c r="BT13" s="91">
        <f t="shared" si="0"/>
        <v>46078</v>
      </c>
      <c r="BU13" s="91">
        <f t="array" ref="BU13">MIN(IF(H:H=H13,BT:BT ))</f>
        <v>46078</v>
      </c>
    </row>
    <row r="14" spans="1:73" x14ac:dyDescent="0.3">
      <c r="A14" s="256" t="s">
        <v>581</v>
      </c>
      <c r="B14" s="256" t="s">
        <v>582</v>
      </c>
      <c r="C14" s="256" t="s">
        <v>606</v>
      </c>
      <c r="D14" s="256" t="s">
        <v>617</v>
      </c>
      <c r="E14" s="257" t="s">
        <v>617</v>
      </c>
      <c r="F14" s="256" t="s">
        <v>583</v>
      </c>
      <c r="G14" s="257" t="s">
        <v>584</v>
      </c>
      <c r="H14" s="256">
        <v>323073</v>
      </c>
      <c r="I14" s="257" t="s">
        <v>585</v>
      </c>
      <c r="J14" s="256" t="s">
        <v>586</v>
      </c>
      <c r="K14" s="256" t="s">
        <v>587</v>
      </c>
      <c r="L14" s="256" t="s">
        <v>588</v>
      </c>
      <c r="M14" s="256" t="s">
        <v>589</v>
      </c>
      <c r="N14" s="256" t="s">
        <v>590</v>
      </c>
      <c r="O14" s="256" t="s">
        <v>591</v>
      </c>
      <c r="P14" s="256" t="s">
        <v>592</v>
      </c>
      <c r="Q14" s="258">
        <v>8</v>
      </c>
      <c r="R14" s="258">
        <v>700</v>
      </c>
      <c r="S14" s="258">
        <v>600</v>
      </c>
      <c r="T14" s="258">
        <v>0</v>
      </c>
      <c r="U14" s="258">
        <v>80</v>
      </c>
      <c r="V14" s="258">
        <v>0</v>
      </c>
      <c r="W14" s="258">
        <v>640</v>
      </c>
      <c r="X14" s="258">
        <v>384</v>
      </c>
      <c r="Y14" s="258">
        <v>0</v>
      </c>
      <c r="Z14" s="258">
        <v>80</v>
      </c>
      <c r="AA14" s="258">
        <v>0</v>
      </c>
      <c r="AB14" s="258">
        <v>640</v>
      </c>
      <c r="AC14" s="258">
        <v>384</v>
      </c>
      <c r="AD14" s="258">
        <v>0</v>
      </c>
      <c r="AE14" s="258">
        <v>0</v>
      </c>
      <c r="AF14" s="258">
        <v>0</v>
      </c>
      <c r="AG14" s="258">
        <v>0</v>
      </c>
      <c r="AH14" s="258">
        <v>0</v>
      </c>
      <c r="AI14" s="258">
        <v>0</v>
      </c>
      <c r="AJ14" s="258">
        <v>0</v>
      </c>
      <c r="AK14" s="258">
        <v>0</v>
      </c>
      <c r="AL14" s="258">
        <v>0</v>
      </c>
      <c r="AM14" s="258">
        <v>0</v>
      </c>
      <c r="AN14" s="258">
        <v>0</v>
      </c>
      <c r="AO14" s="258">
        <v>0</v>
      </c>
      <c r="AP14" s="258">
        <v>0</v>
      </c>
      <c r="AQ14" s="258">
        <v>0</v>
      </c>
      <c r="AR14" s="258">
        <v>0</v>
      </c>
      <c r="AS14" s="258">
        <v>7100</v>
      </c>
      <c r="AT14" s="258">
        <v>7100</v>
      </c>
      <c r="AU14" s="258">
        <v>4544000</v>
      </c>
      <c r="AV14" s="256" t="s">
        <v>593</v>
      </c>
      <c r="AW14" s="256" t="s">
        <v>594</v>
      </c>
      <c r="AX14" s="257" t="s">
        <v>595</v>
      </c>
      <c r="AY14" s="257" t="s">
        <v>595</v>
      </c>
      <c r="AZ14" s="256" t="s">
        <v>596</v>
      </c>
      <c r="BA14" s="256" t="s">
        <v>597</v>
      </c>
      <c r="BB14" s="256" t="s">
        <v>598</v>
      </c>
      <c r="BC14" s="256" t="s">
        <v>989</v>
      </c>
      <c r="BD14" s="256" t="s">
        <v>990</v>
      </c>
      <c r="BE14" s="258">
        <v>280</v>
      </c>
      <c r="BF14" s="256" t="s">
        <v>1097</v>
      </c>
      <c r="BG14" s="256" t="s">
        <v>599</v>
      </c>
      <c r="BH14" s="257" t="s">
        <v>600</v>
      </c>
      <c r="BI14" s="256" t="s">
        <v>595</v>
      </c>
      <c r="BJ14" s="256" t="s">
        <v>601</v>
      </c>
      <c r="BK14" s="256" t="s">
        <v>595</v>
      </c>
      <c r="BL14" s="256" t="s">
        <v>595</v>
      </c>
      <c r="BM14" s="256" t="s">
        <v>595</v>
      </c>
      <c r="BN14" s="256" t="s">
        <v>594</v>
      </c>
      <c r="BO14" s="256" t="s">
        <v>602</v>
      </c>
      <c r="BP14" s="257" t="s">
        <v>603</v>
      </c>
      <c r="BQ14" s="256" t="s">
        <v>611</v>
      </c>
      <c r="BR14" s="256" t="s">
        <v>612</v>
      </c>
      <c r="BS14" s="256" t="s">
        <v>595</v>
      </c>
      <c r="BT14" s="91">
        <f t="shared" si="0"/>
        <v>46078</v>
      </c>
      <c r="BU14" s="91">
        <f t="array" ref="BU14">MIN(IF(H:H=H14,BT:BT ))</f>
        <v>46078</v>
      </c>
    </row>
    <row r="15" spans="1:73" x14ac:dyDescent="0.3">
      <c r="A15" s="256" t="s">
        <v>581</v>
      </c>
      <c r="B15" s="256" t="s">
        <v>582</v>
      </c>
      <c r="C15" s="256" t="s">
        <v>618</v>
      </c>
      <c r="D15" s="256" t="s">
        <v>626</v>
      </c>
      <c r="E15" s="257" t="s">
        <v>626</v>
      </c>
      <c r="F15" s="256" t="s">
        <v>583</v>
      </c>
      <c r="G15" s="257" t="s">
        <v>584</v>
      </c>
      <c r="H15" s="256">
        <v>321310</v>
      </c>
      <c r="I15" s="257" t="s">
        <v>619</v>
      </c>
      <c r="J15" s="256" t="s">
        <v>620</v>
      </c>
      <c r="K15" s="256" t="s">
        <v>621</v>
      </c>
      <c r="L15" s="256" t="s">
        <v>588</v>
      </c>
      <c r="M15" s="256" t="s">
        <v>589</v>
      </c>
      <c r="N15" s="256" t="s">
        <v>590</v>
      </c>
      <c r="O15" s="256" t="s">
        <v>591</v>
      </c>
      <c r="P15" s="256" t="s">
        <v>592</v>
      </c>
      <c r="Q15" s="258">
        <v>24</v>
      </c>
      <c r="R15" s="258">
        <v>2400</v>
      </c>
      <c r="S15" s="258">
        <v>200</v>
      </c>
      <c r="T15" s="258">
        <v>1</v>
      </c>
      <c r="U15" s="258">
        <v>0</v>
      </c>
      <c r="V15" s="258">
        <v>0</v>
      </c>
      <c r="W15" s="258">
        <v>2400</v>
      </c>
      <c r="X15" s="258">
        <v>480</v>
      </c>
      <c r="Y15" s="258">
        <v>1</v>
      </c>
      <c r="Z15" s="258">
        <v>0</v>
      </c>
      <c r="AA15" s="258">
        <v>0</v>
      </c>
      <c r="AB15" s="258">
        <v>2400</v>
      </c>
      <c r="AC15" s="258">
        <v>480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8">
        <v>0</v>
      </c>
      <c r="AK15" s="258">
        <v>0</v>
      </c>
      <c r="AL15" s="258">
        <v>0</v>
      </c>
      <c r="AM15" s="258">
        <v>0</v>
      </c>
      <c r="AN15" s="258">
        <v>0</v>
      </c>
      <c r="AO15" s="258">
        <v>0</v>
      </c>
      <c r="AP15" s="258">
        <v>0</v>
      </c>
      <c r="AQ15" s="258">
        <v>0</v>
      </c>
      <c r="AR15" s="258">
        <v>0</v>
      </c>
      <c r="AS15" s="258">
        <v>2180</v>
      </c>
      <c r="AT15" s="258">
        <v>2180</v>
      </c>
      <c r="AU15" s="258">
        <v>5232000</v>
      </c>
      <c r="AV15" s="256" t="s">
        <v>622</v>
      </c>
      <c r="AW15" s="256" t="s">
        <v>594</v>
      </c>
      <c r="AX15" s="257" t="s">
        <v>595</v>
      </c>
      <c r="AY15" s="257" t="s">
        <v>595</v>
      </c>
      <c r="AZ15" s="256" t="s">
        <v>623</v>
      </c>
      <c r="BA15" s="256" t="s">
        <v>624</v>
      </c>
      <c r="BB15" s="256" t="s">
        <v>625</v>
      </c>
      <c r="BC15" s="256" t="s">
        <v>988</v>
      </c>
      <c r="BD15" s="256" t="s">
        <v>991</v>
      </c>
      <c r="BE15" s="258">
        <v>441</v>
      </c>
      <c r="BF15" s="256" t="s">
        <v>1113</v>
      </c>
      <c r="BG15" s="256" t="s">
        <v>599</v>
      </c>
      <c r="BH15" s="257" t="s">
        <v>600</v>
      </c>
      <c r="BI15" s="256" t="s">
        <v>595</v>
      </c>
      <c r="BJ15" s="256" t="s">
        <v>601</v>
      </c>
      <c r="BK15" s="256" t="s">
        <v>595</v>
      </c>
      <c r="BL15" s="256" t="s">
        <v>595</v>
      </c>
      <c r="BM15" s="256" t="s">
        <v>595</v>
      </c>
      <c r="BN15" s="256" t="s">
        <v>594</v>
      </c>
      <c r="BO15" s="256" t="s">
        <v>602</v>
      </c>
      <c r="BP15" s="257" t="s">
        <v>603</v>
      </c>
      <c r="BQ15" s="256" t="s">
        <v>611</v>
      </c>
      <c r="BR15" s="256" t="s">
        <v>612</v>
      </c>
      <c r="BS15" s="256" t="s">
        <v>595</v>
      </c>
      <c r="BT15" s="91">
        <f t="shared" si="0"/>
        <v>46239</v>
      </c>
      <c r="BU15" s="91">
        <f t="array" ref="BU15">MIN(IF(H:H=H15,BT:BT ))</f>
        <v>46239</v>
      </c>
    </row>
    <row r="16" spans="1:73" x14ac:dyDescent="0.3">
      <c r="A16" s="256" t="s">
        <v>581</v>
      </c>
      <c r="B16" s="256" t="s">
        <v>582</v>
      </c>
      <c r="C16" s="256" t="s">
        <v>618</v>
      </c>
      <c r="D16" s="256" t="s">
        <v>627</v>
      </c>
      <c r="E16" s="257" t="s">
        <v>627</v>
      </c>
      <c r="F16" s="256" t="s">
        <v>583</v>
      </c>
      <c r="G16" s="257" t="s">
        <v>584</v>
      </c>
      <c r="H16" s="256">
        <v>321310</v>
      </c>
      <c r="I16" s="257" t="s">
        <v>619</v>
      </c>
      <c r="J16" s="256" t="s">
        <v>620</v>
      </c>
      <c r="K16" s="256" t="s">
        <v>621</v>
      </c>
      <c r="L16" s="256" t="s">
        <v>588</v>
      </c>
      <c r="M16" s="256" t="s">
        <v>589</v>
      </c>
      <c r="N16" s="256" t="s">
        <v>590</v>
      </c>
      <c r="O16" s="256" t="s">
        <v>591</v>
      </c>
      <c r="P16" s="256" t="s">
        <v>592</v>
      </c>
      <c r="Q16" s="258">
        <v>24</v>
      </c>
      <c r="R16" s="258">
        <v>2400</v>
      </c>
      <c r="S16" s="258">
        <v>200</v>
      </c>
      <c r="T16" s="258">
        <v>1</v>
      </c>
      <c r="U16" s="258">
        <v>0</v>
      </c>
      <c r="V16" s="258">
        <v>0</v>
      </c>
      <c r="W16" s="258">
        <v>2400</v>
      </c>
      <c r="X16" s="258">
        <v>480</v>
      </c>
      <c r="Y16" s="258">
        <v>1</v>
      </c>
      <c r="Z16" s="258">
        <v>0</v>
      </c>
      <c r="AA16" s="258">
        <v>0</v>
      </c>
      <c r="AB16" s="258">
        <v>2400</v>
      </c>
      <c r="AC16" s="258">
        <v>480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8">
        <v>0</v>
      </c>
      <c r="AK16" s="258">
        <v>0</v>
      </c>
      <c r="AL16" s="258">
        <v>0</v>
      </c>
      <c r="AM16" s="258">
        <v>0</v>
      </c>
      <c r="AN16" s="258">
        <v>0</v>
      </c>
      <c r="AO16" s="258">
        <v>0</v>
      </c>
      <c r="AP16" s="258">
        <v>0</v>
      </c>
      <c r="AQ16" s="258">
        <v>0</v>
      </c>
      <c r="AR16" s="258">
        <v>0</v>
      </c>
      <c r="AS16" s="258">
        <v>2180</v>
      </c>
      <c r="AT16" s="258">
        <v>2180</v>
      </c>
      <c r="AU16" s="258">
        <v>5232000</v>
      </c>
      <c r="AV16" s="256" t="s">
        <v>622</v>
      </c>
      <c r="AW16" s="256" t="s">
        <v>594</v>
      </c>
      <c r="AX16" s="257" t="s">
        <v>595</v>
      </c>
      <c r="AY16" s="257" t="s">
        <v>595</v>
      </c>
      <c r="AZ16" s="256" t="s">
        <v>623</v>
      </c>
      <c r="BA16" s="256" t="s">
        <v>624</v>
      </c>
      <c r="BB16" s="256" t="s">
        <v>625</v>
      </c>
      <c r="BC16" s="256" t="s">
        <v>988</v>
      </c>
      <c r="BD16" s="256" t="s">
        <v>991</v>
      </c>
      <c r="BE16" s="258">
        <v>441</v>
      </c>
      <c r="BF16" s="256" t="s">
        <v>1113</v>
      </c>
      <c r="BG16" s="256" t="s">
        <v>599</v>
      </c>
      <c r="BH16" s="257" t="s">
        <v>600</v>
      </c>
      <c r="BI16" s="256" t="s">
        <v>595</v>
      </c>
      <c r="BJ16" s="256" t="s">
        <v>601</v>
      </c>
      <c r="BK16" s="256" t="s">
        <v>595</v>
      </c>
      <c r="BL16" s="256" t="s">
        <v>595</v>
      </c>
      <c r="BM16" s="256" t="s">
        <v>595</v>
      </c>
      <c r="BN16" s="256" t="s">
        <v>594</v>
      </c>
      <c r="BO16" s="256" t="s">
        <v>602</v>
      </c>
      <c r="BP16" s="257" t="s">
        <v>603</v>
      </c>
      <c r="BQ16" s="256" t="s">
        <v>611</v>
      </c>
      <c r="BR16" s="256" t="s">
        <v>612</v>
      </c>
      <c r="BS16" s="256" t="s">
        <v>595</v>
      </c>
      <c r="BT16" s="91">
        <f>DATE(LEFT(BB16,4),MID(BB16,5,2),RIGHT(BB16,2))</f>
        <v>46239</v>
      </c>
      <c r="BU16" s="91">
        <f t="array" ref="BU16">MIN(IF(H:H=H16,BT:BT ))</f>
        <v>46239</v>
      </c>
    </row>
    <row r="17" spans="1:73" x14ac:dyDescent="0.3">
      <c r="A17" s="256" t="s">
        <v>581</v>
      </c>
      <c r="B17" s="256" t="s">
        <v>582</v>
      </c>
      <c r="C17" s="256" t="s">
        <v>618</v>
      </c>
      <c r="D17" s="256" t="s">
        <v>628</v>
      </c>
      <c r="E17" s="257" t="s">
        <v>628</v>
      </c>
      <c r="F17" s="256" t="s">
        <v>583</v>
      </c>
      <c r="G17" s="257" t="s">
        <v>584</v>
      </c>
      <c r="H17" s="256">
        <v>321310</v>
      </c>
      <c r="I17" s="257" t="s">
        <v>619</v>
      </c>
      <c r="J17" s="256" t="s">
        <v>620</v>
      </c>
      <c r="K17" s="256" t="s">
        <v>621</v>
      </c>
      <c r="L17" s="256" t="s">
        <v>588</v>
      </c>
      <c r="M17" s="256" t="s">
        <v>589</v>
      </c>
      <c r="N17" s="256" t="s">
        <v>590</v>
      </c>
      <c r="O17" s="256" t="s">
        <v>591</v>
      </c>
      <c r="P17" s="256" t="s">
        <v>592</v>
      </c>
      <c r="Q17" s="258">
        <v>24</v>
      </c>
      <c r="R17" s="258">
        <v>2400</v>
      </c>
      <c r="S17" s="258">
        <v>200</v>
      </c>
      <c r="T17" s="258">
        <v>1</v>
      </c>
      <c r="U17" s="258">
        <v>0</v>
      </c>
      <c r="V17" s="258">
        <v>0</v>
      </c>
      <c r="W17" s="258">
        <v>2400</v>
      </c>
      <c r="X17" s="258">
        <v>480</v>
      </c>
      <c r="Y17" s="258">
        <v>1</v>
      </c>
      <c r="Z17" s="258">
        <v>0</v>
      </c>
      <c r="AA17" s="258">
        <v>0</v>
      </c>
      <c r="AB17" s="258">
        <v>2400</v>
      </c>
      <c r="AC17" s="258">
        <v>480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8">
        <v>0</v>
      </c>
      <c r="AK17" s="258">
        <v>0</v>
      </c>
      <c r="AL17" s="258">
        <v>0</v>
      </c>
      <c r="AM17" s="258">
        <v>0</v>
      </c>
      <c r="AN17" s="258">
        <v>0</v>
      </c>
      <c r="AO17" s="258">
        <v>0</v>
      </c>
      <c r="AP17" s="258">
        <v>0</v>
      </c>
      <c r="AQ17" s="258">
        <v>0</v>
      </c>
      <c r="AR17" s="258">
        <v>0</v>
      </c>
      <c r="AS17" s="258">
        <v>2180</v>
      </c>
      <c r="AT17" s="258">
        <v>2180</v>
      </c>
      <c r="AU17" s="258">
        <v>5232000</v>
      </c>
      <c r="AV17" s="256" t="s">
        <v>622</v>
      </c>
      <c r="AW17" s="256" t="s">
        <v>594</v>
      </c>
      <c r="AX17" s="257" t="s">
        <v>595</v>
      </c>
      <c r="AY17" s="257" t="s">
        <v>595</v>
      </c>
      <c r="AZ17" s="256" t="s">
        <v>623</v>
      </c>
      <c r="BA17" s="256" t="s">
        <v>624</v>
      </c>
      <c r="BB17" s="256" t="s">
        <v>625</v>
      </c>
      <c r="BC17" s="256" t="s">
        <v>988</v>
      </c>
      <c r="BD17" s="256" t="s">
        <v>991</v>
      </c>
      <c r="BE17" s="258">
        <v>441</v>
      </c>
      <c r="BF17" s="256" t="s">
        <v>1113</v>
      </c>
      <c r="BG17" s="256" t="s">
        <v>599</v>
      </c>
      <c r="BH17" s="257" t="s">
        <v>600</v>
      </c>
      <c r="BI17" s="256" t="s">
        <v>595</v>
      </c>
      <c r="BJ17" s="256" t="s">
        <v>601</v>
      </c>
      <c r="BK17" s="256" t="s">
        <v>595</v>
      </c>
      <c r="BL17" s="256" t="s">
        <v>595</v>
      </c>
      <c r="BM17" s="256" t="s">
        <v>595</v>
      </c>
      <c r="BN17" s="256" t="s">
        <v>594</v>
      </c>
      <c r="BO17" s="256" t="s">
        <v>602</v>
      </c>
      <c r="BP17" s="257" t="s">
        <v>603</v>
      </c>
      <c r="BQ17" s="256" t="s">
        <v>611</v>
      </c>
      <c r="BR17" s="256" t="s">
        <v>612</v>
      </c>
      <c r="BS17" s="256" t="s">
        <v>595</v>
      </c>
      <c r="BT17" s="91">
        <f t="shared" si="0"/>
        <v>46239</v>
      </c>
      <c r="BU17" s="91">
        <f t="array" ref="BU17">MIN(IF(H:H=H17,BT:BT ))</f>
        <v>46239</v>
      </c>
    </row>
    <row r="18" spans="1:73" x14ac:dyDescent="0.3">
      <c r="A18" s="256" t="s">
        <v>581</v>
      </c>
      <c r="B18" s="256" t="s">
        <v>582</v>
      </c>
      <c r="C18" s="256" t="s">
        <v>618</v>
      </c>
      <c r="D18" s="256" t="s">
        <v>629</v>
      </c>
      <c r="E18" s="257" t="s">
        <v>629</v>
      </c>
      <c r="F18" s="256" t="s">
        <v>583</v>
      </c>
      <c r="G18" s="257" t="s">
        <v>584</v>
      </c>
      <c r="H18" s="256">
        <v>321310</v>
      </c>
      <c r="I18" s="257" t="s">
        <v>619</v>
      </c>
      <c r="J18" s="256" t="s">
        <v>620</v>
      </c>
      <c r="K18" s="256" t="s">
        <v>621</v>
      </c>
      <c r="L18" s="256" t="s">
        <v>588</v>
      </c>
      <c r="M18" s="256" t="s">
        <v>589</v>
      </c>
      <c r="N18" s="256" t="s">
        <v>590</v>
      </c>
      <c r="O18" s="256" t="s">
        <v>591</v>
      </c>
      <c r="P18" s="256" t="s">
        <v>592</v>
      </c>
      <c r="Q18" s="258">
        <v>24</v>
      </c>
      <c r="R18" s="258">
        <v>2400</v>
      </c>
      <c r="S18" s="258">
        <v>200</v>
      </c>
      <c r="T18" s="258">
        <v>1</v>
      </c>
      <c r="U18" s="258">
        <v>0</v>
      </c>
      <c r="V18" s="258">
        <v>0</v>
      </c>
      <c r="W18" s="258">
        <v>2400</v>
      </c>
      <c r="X18" s="258">
        <v>480</v>
      </c>
      <c r="Y18" s="258">
        <v>1</v>
      </c>
      <c r="Z18" s="258">
        <v>0</v>
      </c>
      <c r="AA18" s="258">
        <v>0</v>
      </c>
      <c r="AB18" s="258">
        <v>2400</v>
      </c>
      <c r="AC18" s="258">
        <v>480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8">
        <v>0</v>
      </c>
      <c r="AK18" s="258">
        <v>0</v>
      </c>
      <c r="AL18" s="258">
        <v>0</v>
      </c>
      <c r="AM18" s="258">
        <v>0</v>
      </c>
      <c r="AN18" s="258">
        <v>0</v>
      </c>
      <c r="AO18" s="258">
        <v>0</v>
      </c>
      <c r="AP18" s="258">
        <v>0</v>
      </c>
      <c r="AQ18" s="258">
        <v>0</v>
      </c>
      <c r="AR18" s="258">
        <v>0</v>
      </c>
      <c r="AS18" s="258">
        <v>2180</v>
      </c>
      <c r="AT18" s="258">
        <v>2180</v>
      </c>
      <c r="AU18" s="258">
        <v>5232000</v>
      </c>
      <c r="AV18" s="256" t="s">
        <v>622</v>
      </c>
      <c r="AW18" s="256" t="s">
        <v>594</v>
      </c>
      <c r="AX18" s="257" t="s">
        <v>595</v>
      </c>
      <c r="AY18" s="257" t="s">
        <v>595</v>
      </c>
      <c r="AZ18" s="256" t="s">
        <v>623</v>
      </c>
      <c r="BA18" s="256" t="s">
        <v>624</v>
      </c>
      <c r="BB18" s="256" t="s">
        <v>625</v>
      </c>
      <c r="BC18" s="256" t="s">
        <v>988</v>
      </c>
      <c r="BD18" s="256" t="s">
        <v>991</v>
      </c>
      <c r="BE18" s="258">
        <v>441</v>
      </c>
      <c r="BF18" s="256" t="s">
        <v>1113</v>
      </c>
      <c r="BG18" s="256" t="s">
        <v>599</v>
      </c>
      <c r="BH18" s="257" t="s">
        <v>600</v>
      </c>
      <c r="BI18" s="256" t="s">
        <v>595</v>
      </c>
      <c r="BJ18" s="256" t="s">
        <v>601</v>
      </c>
      <c r="BK18" s="256" t="s">
        <v>595</v>
      </c>
      <c r="BL18" s="256" t="s">
        <v>595</v>
      </c>
      <c r="BM18" s="256" t="s">
        <v>595</v>
      </c>
      <c r="BN18" s="256" t="s">
        <v>594</v>
      </c>
      <c r="BO18" s="256" t="s">
        <v>602</v>
      </c>
      <c r="BP18" s="257" t="s">
        <v>603</v>
      </c>
      <c r="BQ18" s="256" t="s">
        <v>611</v>
      </c>
      <c r="BR18" s="256" t="s">
        <v>612</v>
      </c>
      <c r="BS18" s="256" t="s">
        <v>595</v>
      </c>
      <c r="BT18" s="91">
        <f t="shared" si="0"/>
        <v>46239</v>
      </c>
      <c r="BU18" s="91">
        <f t="array" ref="BU18">MIN(IF(H:H=H18,BT:BT ))</f>
        <v>46239</v>
      </c>
    </row>
    <row r="19" spans="1:73" x14ac:dyDescent="0.3">
      <c r="A19" s="256" t="s">
        <v>581</v>
      </c>
      <c r="B19" s="256" t="s">
        <v>582</v>
      </c>
      <c r="C19" s="256" t="s">
        <v>630</v>
      </c>
      <c r="D19" s="256" t="s">
        <v>631</v>
      </c>
      <c r="E19" s="257" t="s">
        <v>631</v>
      </c>
      <c r="F19" s="256" t="s">
        <v>583</v>
      </c>
      <c r="G19" s="257" t="s">
        <v>584</v>
      </c>
      <c r="H19" s="256">
        <v>321310</v>
      </c>
      <c r="I19" s="257" t="s">
        <v>619</v>
      </c>
      <c r="J19" s="256" t="s">
        <v>620</v>
      </c>
      <c r="K19" s="256" t="s">
        <v>621</v>
      </c>
      <c r="L19" s="256" t="s">
        <v>588</v>
      </c>
      <c r="M19" s="256" t="s">
        <v>589</v>
      </c>
      <c r="N19" s="256" t="s">
        <v>590</v>
      </c>
      <c r="O19" s="256" t="s">
        <v>591</v>
      </c>
      <c r="P19" s="256" t="s">
        <v>592</v>
      </c>
      <c r="Q19" s="258">
        <v>24</v>
      </c>
      <c r="R19" s="258">
        <v>2400</v>
      </c>
      <c r="S19" s="258">
        <v>200</v>
      </c>
      <c r="T19" s="258">
        <v>0</v>
      </c>
      <c r="U19" s="258">
        <v>99</v>
      </c>
      <c r="V19" s="258">
        <v>7</v>
      </c>
      <c r="W19" s="258">
        <v>2383</v>
      </c>
      <c r="X19" s="258">
        <v>476.6</v>
      </c>
      <c r="Y19" s="258">
        <v>0</v>
      </c>
      <c r="Z19" s="258">
        <v>99</v>
      </c>
      <c r="AA19" s="258">
        <v>7</v>
      </c>
      <c r="AB19" s="258">
        <v>2383</v>
      </c>
      <c r="AC19" s="258">
        <v>476.6</v>
      </c>
      <c r="AD19" s="258">
        <v>0</v>
      </c>
      <c r="AE19" s="258">
        <v>0</v>
      </c>
      <c r="AF19" s="258">
        <v>0</v>
      </c>
      <c r="AG19" s="258">
        <v>0</v>
      </c>
      <c r="AH19" s="258">
        <v>0</v>
      </c>
      <c r="AI19" s="258">
        <v>0</v>
      </c>
      <c r="AJ19" s="258">
        <v>0</v>
      </c>
      <c r="AK19" s="258">
        <v>0</v>
      </c>
      <c r="AL19" s="258">
        <v>0</v>
      </c>
      <c r="AM19" s="258">
        <v>0</v>
      </c>
      <c r="AN19" s="258">
        <v>0</v>
      </c>
      <c r="AO19" s="258">
        <v>0</v>
      </c>
      <c r="AP19" s="258">
        <v>0</v>
      </c>
      <c r="AQ19" s="258">
        <v>0</v>
      </c>
      <c r="AR19" s="258">
        <v>0</v>
      </c>
      <c r="AS19" s="258">
        <v>2180</v>
      </c>
      <c r="AT19" s="258">
        <v>2180</v>
      </c>
      <c r="AU19" s="258">
        <v>5194940</v>
      </c>
      <c r="AV19" s="256" t="s">
        <v>622</v>
      </c>
      <c r="AW19" s="256" t="s">
        <v>594</v>
      </c>
      <c r="AX19" s="257" t="s">
        <v>595</v>
      </c>
      <c r="AY19" s="257" t="s">
        <v>595</v>
      </c>
      <c r="AZ19" s="256" t="s">
        <v>623</v>
      </c>
      <c r="BA19" s="256" t="s">
        <v>624</v>
      </c>
      <c r="BB19" s="256" t="s">
        <v>625</v>
      </c>
      <c r="BC19" s="256" t="s">
        <v>988</v>
      </c>
      <c r="BD19" s="256" t="s">
        <v>991</v>
      </c>
      <c r="BE19" s="258">
        <v>441</v>
      </c>
      <c r="BF19" s="256" t="s">
        <v>1113</v>
      </c>
      <c r="BG19" s="256" t="s">
        <v>599</v>
      </c>
      <c r="BH19" s="257" t="s">
        <v>600</v>
      </c>
      <c r="BI19" s="256" t="s">
        <v>595</v>
      </c>
      <c r="BJ19" s="256" t="s">
        <v>601</v>
      </c>
      <c r="BK19" s="256" t="s">
        <v>595</v>
      </c>
      <c r="BL19" s="256" t="s">
        <v>595</v>
      </c>
      <c r="BM19" s="256" t="s">
        <v>595</v>
      </c>
      <c r="BN19" s="256" t="s">
        <v>594</v>
      </c>
      <c r="BO19" s="256" t="s">
        <v>602</v>
      </c>
      <c r="BP19" s="257" t="s">
        <v>603</v>
      </c>
      <c r="BQ19" s="256" t="s">
        <v>604</v>
      </c>
      <c r="BR19" s="256" t="s">
        <v>605</v>
      </c>
      <c r="BS19" s="256" t="s">
        <v>595</v>
      </c>
      <c r="BT19" s="91">
        <f t="shared" si="0"/>
        <v>46239</v>
      </c>
      <c r="BU19" s="91">
        <f t="array" ref="BU19">MIN(IF(H:H=H19,BT:BT ))</f>
        <v>46239</v>
      </c>
    </row>
    <row r="20" spans="1:73" x14ac:dyDescent="0.3">
      <c r="A20" s="256" t="s">
        <v>581</v>
      </c>
      <c r="B20" s="256" t="s">
        <v>582</v>
      </c>
      <c r="C20" s="256" t="s">
        <v>632</v>
      </c>
      <c r="D20" s="256" t="s">
        <v>903</v>
      </c>
      <c r="E20" s="257" t="s">
        <v>903</v>
      </c>
      <c r="F20" s="256" t="s">
        <v>583</v>
      </c>
      <c r="G20" s="257" t="s">
        <v>584</v>
      </c>
      <c r="H20" s="256">
        <v>326263</v>
      </c>
      <c r="I20" s="257" t="s">
        <v>633</v>
      </c>
      <c r="J20" s="256" t="s">
        <v>634</v>
      </c>
      <c r="K20" s="256" t="s">
        <v>621</v>
      </c>
      <c r="L20" s="256" t="s">
        <v>588</v>
      </c>
      <c r="M20" s="256" t="s">
        <v>589</v>
      </c>
      <c r="N20" s="256" t="s">
        <v>590</v>
      </c>
      <c r="O20" s="256" t="s">
        <v>591</v>
      </c>
      <c r="P20" s="256" t="s">
        <v>592</v>
      </c>
      <c r="Q20" s="258">
        <v>10</v>
      </c>
      <c r="R20" s="258">
        <v>800</v>
      </c>
      <c r="S20" s="258">
        <v>1000</v>
      </c>
      <c r="T20" s="258">
        <v>0</v>
      </c>
      <c r="U20" s="258">
        <v>21</v>
      </c>
      <c r="V20" s="258">
        <v>2</v>
      </c>
      <c r="W20" s="258">
        <v>212</v>
      </c>
      <c r="X20" s="258">
        <v>212</v>
      </c>
      <c r="Y20" s="258">
        <v>0</v>
      </c>
      <c r="Z20" s="258">
        <v>21</v>
      </c>
      <c r="AA20" s="258">
        <v>2</v>
      </c>
      <c r="AB20" s="258">
        <v>212</v>
      </c>
      <c r="AC20" s="258">
        <v>212</v>
      </c>
      <c r="AD20" s="258">
        <v>0</v>
      </c>
      <c r="AE20" s="258">
        <v>0</v>
      </c>
      <c r="AF20" s="258">
        <v>0</v>
      </c>
      <c r="AG20" s="258">
        <v>0</v>
      </c>
      <c r="AH20" s="258">
        <v>0</v>
      </c>
      <c r="AI20" s="258">
        <v>0</v>
      </c>
      <c r="AJ20" s="258">
        <v>0</v>
      </c>
      <c r="AK20" s="258">
        <v>0</v>
      </c>
      <c r="AL20" s="258">
        <v>0</v>
      </c>
      <c r="AM20" s="258">
        <v>0</v>
      </c>
      <c r="AN20" s="258">
        <v>0</v>
      </c>
      <c r="AO20" s="258">
        <v>0</v>
      </c>
      <c r="AP20" s="258">
        <v>0</v>
      </c>
      <c r="AQ20" s="258">
        <v>0</v>
      </c>
      <c r="AR20" s="258">
        <v>0</v>
      </c>
      <c r="AS20" s="258">
        <v>1718</v>
      </c>
      <c r="AT20" s="258">
        <v>1718</v>
      </c>
      <c r="AU20" s="258">
        <v>364216</v>
      </c>
      <c r="AV20" s="256" t="s">
        <v>944</v>
      </c>
      <c r="AW20" s="256" t="s">
        <v>594</v>
      </c>
      <c r="AX20" s="257" t="s">
        <v>595</v>
      </c>
      <c r="AY20" s="257" t="s">
        <v>595</v>
      </c>
      <c r="AZ20" s="256" t="s">
        <v>945</v>
      </c>
      <c r="BA20" s="256" t="s">
        <v>890</v>
      </c>
      <c r="BB20" s="256" t="s">
        <v>946</v>
      </c>
      <c r="BC20" s="256" t="s">
        <v>988</v>
      </c>
      <c r="BD20" s="256" t="s">
        <v>743</v>
      </c>
      <c r="BE20" s="258">
        <v>213</v>
      </c>
      <c r="BF20" s="256" t="s">
        <v>1096</v>
      </c>
      <c r="BG20" s="256" t="s">
        <v>636</v>
      </c>
      <c r="BH20" s="257" t="s">
        <v>637</v>
      </c>
      <c r="BI20" s="256" t="s">
        <v>595</v>
      </c>
      <c r="BJ20" s="256" t="s">
        <v>601</v>
      </c>
      <c r="BK20" s="256" t="s">
        <v>595</v>
      </c>
      <c r="BL20" s="256" t="s">
        <v>595</v>
      </c>
      <c r="BM20" s="256" t="s">
        <v>595</v>
      </c>
      <c r="BN20" s="256" t="s">
        <v>594</v>
      </c>
      <c r="BO20" s="256" t="s">
        <v>638</v>
      </c>
      <c r="BP20" s="257" t="s">
        <v>639</v>
      </c>
      <c r="BQ20" s="256" t="s">
        <v>604</v>
      </c>
      <c r="BR20" s="256" t="s">
        <v>605</v>
      </c>
      <c r="BS20" s="256" t="s">
        <v>595</v>
      </c>
      <c r="BT20" s="91">
        <f t="shared" si="0"/>
        <v>46011</v>
      </c>
      <c r="BU20" s="91">
        <f t="array" ref="BU20">MIN(IF(H:H=H20,BT:BT ))</f>
        <v>46011</v>
      </c>
    </row>
    <row r="21" spans="1:73" x14ac:dyDescent="0.3">
      <c r="A21" s="256" t="s">
        <v>581</v>
      </c>
      <c r="B21" s="256" t="s">
        <v>582</v>
      </c>
      <c r="C21" s="256" t="s">
        <v>632</v>
      </c>
      <c r="D21" s="256" t="s">
        <v>645</v>
      </c>
      <c r="E21" s="257" t="s">
        <v>645</v>
      </c>
      <c r="F21" s="256" t="s">
        <v>583</v>
      </c>
      <c r="G21" s="257" t="s">
        <v>584</v>
      </c>
      <c r="H21" s="256">
        <v>332805</v>
      </c>
      <c r="I21" s="257" t="s">
        <v>640</v>
      </c>
      <c r="J21" s="256" t="s">
        <v>641</v>
      </c>
      <c r="K21" s="256" t="s">
        <v>580</v>
      </c>
      <c r="L21" s="256" t="s">
        <v>588</v>
      </c>
      <c r="M21" s="256" t="s">
        <v>589</v>
      </c>
      <c r="N21" s="256" t="s">
        <v>590</v>
      </c>
      <c r="O21" s="256" t="s">
        <v>591</v>
      </c>
      <c r="P21" s="256" t="s">
        <v>592</v>
      </c>
      <c r="Q21" s="258">
        <v>1</v>
      </c>
      <c r="R21" s="258">
        <v>150</v>
      </c>
      <c r="S21" s="258">
        <v>4800</v>
      </c>
      <c r="T21" s="258">
        <v>0</v>
      </c>
      <c r="U21" s="258">
        <v>128</v>
      </c>
      <c r="V21" s="258">
        <v>0</v>
      </c>
      <c r="W21" s="258">
        <v>128</v>
      </c>
      <c r="X21" s="258">
        <v>614.4</v>
      </c>
      <c r="Y21" s="258">
        <v>0</v>
      </c>
      <c r="Z21" s="258">
        <v>128</v>
      </c>
      <c r="AA21" s="258">
        <v>0</v>
      </c>
      <c r="AB21" s="258">
        <v>128</v>
      </c>
      <c r="AC21" s="258">
        <v>614.4</v>
      </c>
      <c r="AD21" s="258">
        <v>0</v>
      </c>
      <c r="AE21" s="258">
        <v>0</v>
      </c>
      <c r="AF21" s="258">
        <v>0</v>
      </c>
      <c r="AG21" s="258">
        <v>0</v>
      </c>
      <c r="AH21" s="258">
        <v>0</v>
      </c>
      <c r="AI21" s="258">
        <v>0</v>
      </c>
      <c r="AJ21" s="258">
        <v>0</v>
      </c>
      <c r="AK21" s="258">
        <v>0</v>
      </c>
      <c r="AL21" s="258">
        <v>0</v>
      </c>
      <c r="AM21" s="258">
        <v>0</v>
      </c>
      <c r="AN21" s="258">
        <v>0</v>
      </c>
      <c r="AO21" s="258">
        <v>0</v>
      </c>
      <c r="AP21" s="258">
        <v>0</v>
      </c>
      <c r="AQ21" s="258">
        <v>0</v>
      </c>
      <c r="AR21" s="258">
        <v>0</v>
      </c>
      <c r="AS21" s="258">
        <v>8208</v>
      </c>
      <c r="AT21" s="258">
        <v>8208</v>
      </c>
      <c r="AU21" s="258">
        <v>1050624</v>
      </c>
      <c r="AV21" s="256" t="s">
        <v>1018</v>
      </c>
      <c r="AW21" s="256" t="s">
        <v>594</v>
      </c>
      <c r="AX21" s="257" t="s">
        <v>595</v>
      </c>
      <c r="AY21" s="257" t="s">
        <v>595</v>
      </c>
      <c r="AZ21" s="256" t="s">
        <v>1003</v>
      </c>
      <c r="BA21" s="256" t="s">
        <v>1019</v>
      </c>
      <c r="BB21" s="256" t="s">
        <v>1020</v>
      </c>
      <c r="BC21" s="256" t="s">
        <v>1021</v>
      </c>
      <c r="BD21" s="256" t="s">
        <v>1022</v>
      </c>
      <c r="BE21" s="258">
        <v>251</v>
      </c>
      <c r="BF21" s="256" t="s">
        <v>1098</v>
      </c>
      <c r="BG21" s="256" t="s">
        <v>636</v>
      </c>
      <c r="BH21" s="257" t="s">
        <v>637</v>
      </c>
      <c r="BI21" s="256" t="s">
        <v>595</v>
      </c>
      <c r="BJ21" s="256" t="s">
        <v>601</v>
      </c>
      <c r="BK21" s="256" t="s">
        <v>595</v>
      </c>
      <c r="BL21" s="256" t="s">
        <v>595</v>
      </c>
      <c r="BM21" s="256" t="s">
        <v>595</v>
      </c>
      <c r="BN21" s="256" t="s">
        <v>594</v>
      </c>
      <c r="BO21" s="256" t="s">
        <v>638</v>
      </c>
      <c r="BP21" s="257" t="s">
        <v>639</v>
      </c>
      <c r="BQ21" s="256" t="s">
        <v>604</v>
      </c>
      <c r="BR21" s="256" t="s">
        <v>605</v>
      </c>
      <c r="BS21" s="256" t="s">
        <v>595</v>
      </c>
      <c r="BT21" s="91">
        <f t="shared" si="0"/>
        <v>46049</v>
      </c>
      <c r="BU21" s="91">
        <f t="array" ref="BU21">MIN(IF(H:H=H21,BT:BT ))</f>
        <v>46049</v>
      </c>
    </row>
    <row r="22" spans="1:73" x14ac:dyDescent="0.3">
      <c r="A22" s="256" t="s">
        <v>581</v>
      </c>
      <c r="B22" s="256" t="s">
        <v>582</v>
      </c>
      <c r="C22" s="256" t="s">
        <v>632</v>
      </c>
      <c r="D22" s="256" t="s">
        <v>645</v>
      </c>
      <c r="E22" s="257" t="s">
        <v>645</v>
      </c>
      <c r="F22" s="256" t="s">
        <v>583</v>
      </c>
      <c r="G22" s="257" t="s">
        <v>584</v>
      </c>
      <c r="H22" s="256">
        <v>335472</v>
      </c>
      <c r="I22" s="257" t="s">
        <v>646</v>
      </c>
      <c r="J22" s="256" t="s">
        <v>647</v>
      </c>
      <c r="K22" s="256" t="s">
        <v>621</v>
      </c>
      <c r="L22" s="256" t="s">
        <v>588</v>
      </c>
      <c r="M22" s="256" t="s">
        <v>589</v>
      </c>
      <c r="N22" s="256" t="s">
        <v>590</v>
      </c>
      <c r="O22" s="256" t="s">
        <v>591</v>
      </c>
      <c r="P22" s="256" t="s">
        <v>592</v>
      </c>
      <c r="Q22" s="258">
        <v>24</v>
      </c>
      <c r="R22" s="258">
        <v>3600</v>
      </c>
      <c r="S22" s="258">
        <v>200</v>
      </c>
      <c r="T22" s="258">
        <v>0</v>
      </c>
      <c r="U22" s="258">
        <v>0</v>
      </c>
      <c r="V22" s="258">
        <v>16</v>
      </c>
      <c r="W22" s="258">
        <v>16</v>
      </c>
      <c r="X22" s="258">
        <v>3.2</v>
      </c>
      <c r="Y22" s="258">
        <v>0</v>
      </c>
      <c r="Z22" s="258">
        <v>0</v>
      </c>
      <c r="AA22" s="258">
        <v>16</v>
      </c>
      <c r="AB22" s="258">
        <v>16</v>
      </c>
      <c r="AC22" s="258">
        <v>3.2</v>
      </c>
      <c r="AD22" s="258">
        <v>0</v>
      </c>
      <c r="AE22" s="258">
        <v>0</v>
      </c>
      <c r="AF22" s="258">
        <v>0</v>
      </c>
      <c r="AG22" s="258">
        <v>0</v>
      </c>
      <c r="AH22" s="258">
        <v>0</v>
      </c>
      <c r="AI22" s="258">
        <v>0</v>
      </c>
      <c r="AJ22" s="258">
        <v>0</v>
      </c>
      <c r="AK22" s="258">
        <v>0</v>
      </c>
      <c r="AL22" s="258">
        <v>0</v>
      </c>
      <c r="AM22" s="258">
        <v>0</v>
      </c>
      <c r="AN22" s="258">
        <v>0</v>
      </c>
      <c r="AO22" s="258">
        <v>0</v>
      </c>
      <c r="AP22" s="258">
        <v>0</v>
      </c>
      <c r="AQ22" s="258">
        <v>0</v>
      </c>
      <c r="AR22" s="258">
        <v>0</v>
      </c>
      <c r="AS22" s="258">
        <v>342</v>
      </c>
      <c r="AT22" s="258">
        <v>342</v>
      </c>
      <c r="AU22" s="258">
        <v>5472</v>
      </c>
      <c r="AV22" s="256" t="s">
        <v>648</v>
      </c>
      <c r="AW22" s="256" t="s">
        <v>594</v>
      </c>
      <c r="AX22" s="257" t="s">
        <v>595</v>
      </c>
      <c r="AY22" s="257" t="s">
        <v>595</v>
      </c>
      <c r="AZ22" s="256" t="s">
        <v>642</v>
      </c>
      <c r="BA22" s="256" t="s">
        <v>643</v>
      </c>
      <c r="BB22" s="256" t="s">
        <v>644</v>
      </c>
      <c r="BC22" s="256" t="s">
        <v>945</v>
      </c>
      <c r="BD22" s="256" t="s">
        <v>992</v>
      </c>
      <c r="BE22" s="258">
        <v>97</v>
      </c>
      <c r="BF22" s="256" t="s">
        <v>1103</v>
      </c>
      <c r="BG22" s="256" t="s">
        <v>636</v>
      </c>
      <c r="BH22" s="257" t="s">
        <v>637</v>
      </c>
      <c r="BI22" s="256" t="s">
        <v>595</v>
      </c>
      <c r="BJ22" s="256" t="s">
        <v>601</v>
      </c>
      <c r="BK22" s="256" t="s">
        <v>595</v>
      </c>
      <c r="BL22" s="256" t="s">
        <v>595</v>
      </c>
      <c r="BM22" s="256" t="s">
        <v>595</v>
      </c>
      <c r="BN22" s="256" t="s">
        <v>594</v>
      </c>
      <c r="BO22" s="256" t="s">
        <v>638</v>
      </c>
      <c r="BP22" s="257" t="s">
        <v>639</v>
      </c>
      <c r="BQ22" s="256" t="s">
        <v>604</v>
      </c>
      <c r="BR22" s="256" t="s">
        <v>605</v>
      </c>
      <c r="BS22" s="256" t="s">
        <v>595</v>
      </c>
      <c r="BT22" s="91">
        <f t="shared" si="0"/>
        <v>45895</v>
      </c>
      <c r="BU22" s="91">
        <f t="array" ref="BU22">MIN(IF(H:H=H22,BT:BT ))</f>
        <v>45895</v>
      </c>
    </row>
    <row r="23" spans="1:73" x14ac:dyDescent="0.3">
      <c r="A23" s="256" t="s">
        <v>581</v>
      </c>
      <c r="B23" s="256" t="s">
        <v>582</v>
      </c>
      <c r="C23" s="256" t="s">
        <v>1016</v>
      </c>
      <c r="D23" s="256" t="s">
        <v>1017</v>
      </c>
      <c r="E23" s="257" t="s">
        <v>1017</v>
      </c>
      <c r="F23" s="256" t="s">
        <v>583</v>
      </c>
      <c r="G23" s="257" t="s">
        <v>584</v>
      </c>
      <c r="H23" s="256">
        <v>332805</v>
      </c>
      <c r="I23" s="257" t="s">
        <v>640</v>
      </c>
      <c r="J23" s="256" t="s">
        <v>641</v>
      </c>
      <c r="K23" s="256" t="s">
        <v>580</v>
      </c>
      <c r="L23" s="256" t="s">
        <v>588</v>
      </c>
      <c r="M23" s="256" t="s">
        <v>589</v>
      </c>
      <c r="N23" s="256" t="s">
        <v>590</v>
      </c>
      <c r="O23" s="256" t="s">
        <v>591</v>
      </c>
      <c r="P23" s="256" t="s">
        <v>592</v>
      </c>
      <c r="Q23" s="258">
        <v>1</v>
      </c>
      <c r="R23" s="258">
        <v>150</v>
      </c>
      <c r="S23" s="258">
        <v>4800</v>
      </c>
      <c r="T23" s="258">
        <v>1</v>
      </c>
      <c r="U23" s="258">
        <v>0</v>
      </c>
      <c r="V23" s="258">
        <v>0</v>
      </c>
      <c r="W23" s="258">
        <v>150</v>
      </c>
      <c r="X23" s="258">
        <v>720</v>
      </c>
      <c r="Y23" s="258">
        <v>1</v>
      </c>
      <c r="Z23" s="258">
        <v>0</v>
      </c>
      <c r="AA23" s="258">
        <v>0</v>
      </c>
      <c r="AB23" s="258">
        <v>150</v>
      </c>
      <c r="AC23" s="258">
        <v>720</v>
      </c>
      <c r="AD23" s="258">
        <v>0</v>
      </c>
      <c r="AE23" s="258">
        <v>0</v>
      </c>
      <c r="AF23" s="258">
        <v>0</v>
      </c>
      <c r="AG23" s="258">
        <v>0</v>
      </c>
      <c r="AH23" s="258">
        <v>0</v>
      </c>
      <c r="AI23" s="258">
        <v>0</v>
      </c>
      <c r="AJ23" s="258">
        <v>0</v>
      </c>
      <c r="AK23" s="258">
        <v>0</v>
      </c>
      <c r="AL23" s="258">
        <v>0</v>
      </c>
      <c r="AM23" s="258">
        <v>0</v>
      </c>
      <c r="AN23" s="258">
        <v>0</v>
      </c>
      <c r="AO23" s="258">
        <v>0</v>
      </c>
      <c r="AP23" s="258">
        <v>0</v>
      </c>
      <c r="AQ23" s="258">
        <v>0</v>
      </c>
      <c r="AR23" s="258">
        <v>0</v>
      </c>
      <c r="AS23" s="258">
        <v>8208</v>
      </c>
      <c r="AT23" s="258">
        <v>8208</v>
      </c>
      <c r="AU23" s="258">
        <v>1231200</v>
      </c>
      <c r="AV23" s="256" t="s">
        <v>1018</v>
      </c>
      <c r="AW23" s="256" t="s">
        <v>594</v>
      </c>
      <c r="AX23" s="257" t="s">
        <v>595</v>
      </c>
      <c r="AY23" s="257" t="s">
        <v>595</v>
      </c>
      <c r="AZ23" s="256" t="s">
        <v>1003</v>
      </c>
      <c r="BA23" s="256" t="s">
        <v>1019</v>
      </c>
      <c r="BB23" s="256" t="s">
        <v>1020</v>
      </c>
      <c r="BC23" s="256" t="s">
        <v>1021</v>
      </c>
      <c r="BD23" s="256" t="s">
        <v>1022</v>
      </c>
      <c r="BE23" s="258">
        <v>251</v>
      </c>
      <c r="BF23" s="256" t="s">
        <v>1098</v>
      </c>
      <c r="BG23" s="256" t="s">
        <v>636</v>
      </c>
      <c r="BH23" s="257" t="s">
        <v>637</v>
      </c>
      <c r="BI23" s="256" t="s">
        <v>595</v>
      </c>
      <c r="BJ23" s="256" t="s">
        <v>601</v>
      </c>
      <c r="BK23" s="256" t="s">
        <v>595</v>
      </c>
      <c r="BL23" s="256" t="s">
        <v>595</v>
      </c>
      <c r="BM23" s="256" t="s">
        <v>595</v>
      </c>
      <c r="BN23" s="256" t="s">
        <v>594</v>
      </c>
      <c r="BO23" s="256" t="s">
        <v>638</v>
      </c>
      <c r="BP23" s="257" t="s">
        <v>639</v>
      </c>
      <c r="BQ23" s="256" t="s">
        <v>611</v>
      </c>
      <c r="BR23" s="256" t="s">
        <v>612</v>
      </c>
      <c r="BS23" s="256" t="s">
        <v>595</v>
      </c>
      <c r="BT23" s="91">
        <f t="shared" si="0"/>
        <v>46049</v>
      </c>
      <c r="BU23" s="91">
        <f t="array" ref="BU23">MIN(IF(H:H=H23,BT:BT ))</f>
        <v>46049</v>
      </c>
    </row>
    <row r="24" spans="1:73" x14ac:dyDescent="0.3">
      <c r="A24" s="256" t="s">
        <v>581</v>
      </c>
      <c r="B24" s="256" t="s">
        <v>582</v>
      </c>
      <c r="C24" s="256" t="s">
        <v>1016</v>
      </c>
      <c r="D24" s="256" t="s">
        <v>1023</v>
      </c>
      <c r="E24" s="257" t="s">
        <v>1023</v>
      </c>
      <c r="F24" s="256" t="s">
        <v>583</v>
      </c>
      <c r="G24" s="257" t="s">
        <v>584</v>
      </c>
      <c r="H24" s="256">
        <v>332805</v>
      </c>
      <c r="I24" s="257" t="s">
        <v>640</v>
      </c>
      <c r="J24" s="256" t="s">
        <v>641</v>
      </c>
      <c r="K24" s="256" t="s">
        <v>580</v>
      </c>
      <c r="L24" s="256" t="s">
        <v>588</v>
      </c>
      <c r="M24" s="256" t="s">
        <v>589</v>
      </c>
      <c r="N24" s="256" t="s">
        <v>590</v>
      </c>
      <c r="O24" s="256" t="s">
        <v>591</v>
      </c>
      <c r="P24" s="256" t="s">
        <v>592</v>
      </c>
      <c r="Q24" s="258">
        <v>1</v>
      </c>
      <c r="R24" s="258">
        <v>150</v>
      </c>
      <c r="S24" s="258">
        <v>4800</v>
      </c>
      <c r="T24" s="258">
        <v>1</v>
      </c>
      <c r="U24" s="258">
        <v>0</v>
      </c>
      <c r="V24" s="258">
        <v>0</v>
      </c>
      <c r="W24" s="258">
        <v>150</v>
      </c>
      <c r="X24" s="258">
        <v>720</v>
      </c>
      <c r="Y24" s="258">
        <v>1</v>
      </c>
      <c r="Z24" s="258">
        <v>0</v>
      </c>
      <c r="AA24" s="258">
        <v>0</v>
      </c>
      <c r="AB24" s="258">
        <v>150</v>
      </c>
      <c r="AC24" s="258">
        <v>720</v>
      </c>
      <c r="AD24" s="258">
        <v>0</v>
      </c>
      <c r="AE24" s="258">
        <v>0</v>
      </c>
      <c r="AF24" s="258">
        <v>0</v>
      </c>
      <c r="AG24" s="258">
        <v>0</v>
      </c>
      <c r="AH24" s="258">
        <v>0</v>
      </c>
      <c r="AI24" s="258">
        <v>0</v>
      </c>
      <c r="AJ24" s="258">
        <v>0</v>
      </c>
      <c r="AK24" s="258">
        <v>0</v>
      </c>
      <c r="AL24" s="258">
        <v>0</v>
      </c>
      <c r="AM24" s="258">
        <v>0</v>
      </c>
      <c r="AN24" s="258">
        <v>0</v>
      </c>
      <c r="AO24" s="258">
        <v>0</v>
      </c>
      <c r="AP24" s="258">
        <v>0</v>
      </c>
      <c r="AQ24" s="258">
        <v>0</v>
      </c>
      <c r="AR24" s="258">
        <v>0</v>
      </c>
      <c r="AS24" s="258">
        <v>8208</v>
      </c>
      <c r="AT24" s="258">
        <v>8208</v>
      </c>
      <c r="AU24" s="258">
        <v>1231200</v>
      </c>
      <c r="AV24" s="256" t="s">
        <v>1018</v>
      </c>
      <c r="AW24" s="256" t="s">
        <v>594</v>
      </c>
      <c r="AX24" s="257" t="s">
        <v>595</v>
      </c>
      <c r="AY24" s="257" t="s">
        <v>595</v>
      </c>
      <c r="AZ24" s="256" t="s">
        <v>1003</v>
      </c>
      <c r="BA24" s="256" t="s">
        <v>1019</v>
      </c>
      <c r="BB24" s="256" t="s">
        <v>1020</v>
      </c>
      <c r="BC24" s="256" t="s">
        <v>1021</v>
      </c>
      <c r="BD24" s="256" t="s">
        <v>1022</v>
      </c>
      <c r="BE24" s="258">
        <v>251</v>
      </c>
      <c r="BF24" s="256" t="s">
        <v>1098</v>
      </c>
      <c r="BG24" s="256" t="s">
        <v>636</v>
      </c>
      <c r="BH24" s="257" t="s">
        <v>637</v>
      </c>
      <c r="BI24" s="256" t="s">
        <v>595</v>
      </c>
      <c r="BJ24" s="256" t="s">
        <v>601</v>
      </c>
      <c r="BK24" s="256" t="s">
        <v>595</v>
      </c>
      <c r="BL24" s="256" t="s">
        <v>595</v>
      </c>
      <c r="BM24" s="256" t="s">
        <v>595</v>
      </c>
      <c r="BN24" s="256" t="s">
        <v>594</v>
      </c>
      <c r="BO24" s="256" t="s">
        <v>638</v>
      </c>
      <c r="BP24" s="257" t="s">
        <v>639</v>
      </c>
      <c r="BQ24" s="256" t="s">
        <v>615</v>
      </c>
      <c r="BR24" s="256" t="s">
        <v>616</v>
      </c>
      <c r="BS24" s="256" t="s">
        <v>595</v>
      </c>
      <c r="BT24" s="91">
        <f t="shared" si="0"/>
        <v>46049</v>
      </c>
      <c r="BU24" s="91">
        <f t="array" ref="BU24">MIN(IF(H:H=H24,BT:BT ))</f>
        <v>46049</v>
      </c>
    </row>
    <row r="25" spans="1:73" x14ac:dyDescent="0.3">
      <c r="A25" s="256" t="s">
        <v>581</v>
      </c>
      <c r="B25" s="256" t="s">
        <v>582</v>
      </c>
      <c r="C25" s="256" t="s">
        <v>1016</v>
      </c>
      <c r="D25" s="256" t="s">
        <v>1024</v>
      </c>
      <c r="E25" s="257" t="s">
        <v>1024</v>
      </c>
      <c r="F25" s="256" t="s">
        <v>583</v>
      </c>
      <c r="G25" s="257" t="s">
        <v>584</v>
      </c>
      <c r="H25" s="256">
        <v>332805</v>
      </c>
      <c r="I25" s="257" t="s">
        <v>640</v>
      </c>
      <c r="J25" s="256" t="s">
        <v>641</v>
      </c>
      <c r="K25" s="256" t="s">
        <v>580</v>
      </c>
      <c r="L25" s="256" t="s">
        <v>588</v>
      </c>
      <c r="M25" s="256" t="s">
        <v>589</v>
      </c>
      <c r="N25" s="256" t="s">
        <v>590</v>
      </c>
      <c r="O25" s="256" t="s">
        <v>591</v>
      </c>
      <c r="P25" s="256" t="s">
        <v>592</v>
      </c>
      <c r="Q25" s="258">
        <v>1</v>
      </c>
      <c r="R25" s="258">
        <v>150</v>
      </c>
      <c r="S25" s="258">
        <v>4800</v>
      </c>
      <c r="T25" s="258">
        <v>1</v>
      </c>
      <c r="U25" s="258">
        <v>0</v>
      </c>
      <c r="V25" s="258">
        <v>0</v>
      </c>
      <c r="W25" s="258">
        <v>150</v>
      </c>
      <c r="X25" s="258">
        <v>720</v>
      </c>
      <c r="Y25" s="258">
        <v>1</v>
      </c>
      <c r="Z25" s="258">
        <v>0</v>
      </c>
      <c r="AA25" s="258">
        <v>0</v>
      </c>
      <c r="AB25" s="258">
        <v>150</v>
      </c>
      <c r="AC25" s="258">
        <v>720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8">
        <v>0</v>
      </c>
      <c r="AK25" s="258">
        <v>0</v>
      </c>
      <c r="AL25" s="258">
        <v>0</v>
      </c>
      <c r="AM25" s="258">
        <v>0</v>
      </c>
      <c r="AN25" s="258">
        <v>0</v>
      </c>
      <c r="AO25" s="258">
        <v>0</v>
      </c>
      <c r="AP25" s="258">
        <v>0</v>
      </c>
      <c r="AQ25" s="258">
        <v>0</v>
      </c>
      <c r="AR25" s="258">
        <v>0</v>
      </c>
      <c r="AS25" s="258">
        <v>8208</v>
      </c>
      <c r="AT25" s="258">
        <v>8208</v>
      </c>
      <c r="AU25" s="258">
        <v>1231200</v>
      </c>
      <c r="AV25" s="256" t="s">
        <v>1018</v>
      </c>
      <c r="AW25" s="256" t="s">
        <v>594</v>
      </c>
      <c r="AX25" s="257" t="s">
        <v>595</v>
      </c>
      <c r="AY25" s="257" t="s">
        <v>595</v>
      </c>
      <c r="AZ25" s="256" t="s">
        <v>1003</v>
      </c>
      <c r="BA25" s="256" t="s">
        <v>1019</v>
      </c>
      <c r="BB25" s="256" t="s">
        <v>1020</v>
      </c>
      <c r="BC25" s="256" t="s">
        <v>1021</v>
      </c>
      <c r="BD25" s="256" t="s">
        <v>1022</v>
      </c>
      <c r="BE25" s="258">
        <v>251</v>
      </c>
      <c r="BF25" s="256" t="s">
        <v>1098</v>
      </c>
      <c r="BG25" s="256" t="s">
        <v>636</v>
      </c>
      <c r="BH25" s="257" t="s">
        <v>637</v>
      </c>
      <c r="BI25" s="256" t="s">
        <v>595</v>
      </c>
      <c r="BJ25" s="256" t="s">
        <v>601</v>
      </c>
      <c r="BK25" s="256" t="s">
        <v>595</v>
      </c>
      <c r="BL25" s="256" t="s">
        <v>595</v>
      </c>
      <c r="BM25" s="256" t="s">
        <v>595</v>
      </c>
      <c r="BN25" s="256" t="s">
        <v>594</v>
      </c>
      <c r="BO25" s="256" t="s">
        <v>638</v>
      </c>
      <c r="BP25" s="257" t="s">
        <v>639</v>
      </c>
      <c r="BQ25" s="256" t="s">
        <v>608</v>
      </c>
      <c r="BR25" s="256" t="s">
        <v>609</v>
      </c>
      <c r="BS25" s="256" t="s">
        <v>595</v>
      </c>
      <c r="BT25" s="91">
        <f t="shared" si="0"/>
        <v>46049</v>
      </c>
      <c r="BU25" s="91">
        <f t="array" ref="BU25">MIN(IF(H:H=H25,BT:BT ))</f>
        <v>46049</v>
      </c>
    </row>
    <row r="26" spans="1:73" x14ac:dyDescent="0.3">
      <c r="A26" s="256" t="s">
        <v>581</v>
      </c>
      <c r="B26" s="256" t="s">
        <v>582</v>
      </c>
      <c r="C26" s="256" t="s">
        <v>1016</v>
      </c>
      <c r="D26" s="256" t="s">
        <v>1025</v>
      </c>
      <c r="E26" s="257" t="s">
        <v>1025</v>
      </c>
      <c r="F26" s="256" t="s">
        <v>583</v>
      </c>
      <c r="G26" s="257" t="s">
        <v>584</v>
      </c>
      <c r="H26" s="256">
        <v>332805</v>
      </c>
      <c r="I26" s="257" t="s">
        <v>640</v>
      </c>
      <c r="J26" s="256" t="s">
        <v>641</v>
      </c>
      <c r="K26" s="256" t="s">
        <v>580</v>
      </c>
      <c r="L26" s="256" t="s">
        <v>588</v>
      </c>
      <c r="M26" s="256" t="s">
        <v>589</v>
      </c>
      <c r="N26" s="256" t="s">
        <v>590</v>
      </c>
      <c r="O26" s="256" t="s">
        <v>591</v>
      </c>
      <c r="P26" s="256" t="s">
        <v>592</v>
      </c>
      <c r="Q26" s="258">
        <v>1</v>
      </c>
      <c r="R26" s="258">
        <v>150</v>
      </c>
      <c r="S26" s="258">
        <v>4800</v>
      </c>
      <c r="T26" s="258">
        <v>1</v>
      </c>
      <c r="U26" s="258">
        <v>0</v>
      </c>
      <c r="V26" s="258">
        <v>0</v>
      </c>
      <c r="W26" s="258">
        <v>150</v>
      </c>
      <c r="X26" s="258">
        <v>720</v>
      </c>
      <c r="Y26" s="258">
        <v>1</v>
      </c>
      <c r="Z26" s="258">
        <v>0</v>
      </c>
      <c r="AA26" s="258">
        <v>0</v>
      </c>
      <c r="AB26" s="258">
        <v>150</v>
      </c>
      <c r="AC26" s="258">
        <v>720</v>
      </c>
      <c r="AD26" s="258">
        <v>0</v>
      </c>
      <c r="AE26" s="258">
        <v>0</v>
      </c>
      <c r="AF26" s="258">
        <v>0</v>
      </c>
      <c r="AG26" s="258">
        <v>0</v>
      </c>
      <c r="AH26" s="258">
        <v>0</v>
      </c>
      <c r="AI26" s="258">
        <v>0</v>
      </c>
      <c r="AJ26" s="258">
        <v>0</v>
      </c>
      <c r="AK26" s="258">
        <v>0</v>
      </c>
      <c r="AL26" s="258">
        <v>0</v>
      </c>
      <c r="AM26" s="258">
        <v>0</v>
      </c>
      <c r="AN26" s="258">
        <v>0</v>
      </c>
      <c r="AO26" s="258">
        <v>0</v>
      </c>
      <c r="AP26" s="258">
        <v>0</v>
      </c>
      <c r="AQ26" s="258">
        <v>0</v>
      </c>
      <c r="AR26" s="258">
        <v>0</v>
      </c>
      <c r="AS26" s="258">
        <v>8208</v>
      </c>
      <c r="AT26" s="258">
        <v>8208</v>
      </c>
      <c r="AU26" s="258">
        <v>1231200</v>
      </c>
      <c r="AV26" s="256" t="s">
        <v>1018</v>
      </c>
      <c r="AW26" s="256" t="s">
        <v>594</v>
      </c>
      <c r="AX26" s="257" t="s">
        <v>595</v>
      </c>
      <c r="AY26" s="257" t="s">
        <v>595</v>
      </c>
      <c r="AZ26" s="256" t="s">
        <v>1003</v>
      </c>
      <c r="BA26" s="256" t="s">
        <v>1019</v>
      </c>
      <c r="BB26" s="256" t="s">
        <v>1020</v>
      </c>
      <c r="BC26" s="256" t="s">
        <v>1021</v>
      </c>
      <c r="BD26" s="256" t="s">
        <v>1022</v>
      </c>
      <c r="BE26" s="258">
        <v>251</v>
      </c>
      <c r="BF26" s="256" t="s">
        <v>1098</v>
      </c>
      <c r="BG26" s="256" t="s">
        <v>636</v>
      </c>
      <c r="BH26" s="257" t="s">
        <v>637</v>
      </c>
      <c r="BI26" s="256" t="s">
        <v>595</v>
      </c>
      <c r="BJ26" s="256" t="s">
        <v>601</v>
      </c>
      <c r="BK26" s="256" t="s">
        <v>595</v>
      </c>
      <c r="BL26" s="256" t="s">
        <v>595</v>
      </c>
      <c r="BM26" s="256" t="s">
        <v>595</v>
      </c>
      <c r="BN26" s="256" t="s">
        <v>594</v>
      </c>
      <c r="BO26" s="256" t="s">
        <v>638</v>
      </c>
      <c r="BP26" s="257" t="s">
        <v>639</v>
      </c>
      <c r="BQ26" s="256" t="s">
        <v>608</v>
      </c>
      <c r="BR26" s="256" t="s">
        <v>609</v>
      </c>
      <c r="BS26" s="256" t="s">
        <v>595</v>
      </c>
      <c r="BT26" s="91">
        <f t="shared" si="0"/>
        <v>46049</v>
      </c>
      <c r="BU26" s="91">
        <f t="array" ref="BU26">MIN(IF(H:H=H26,BT:BT ))</f>
        <v>46049</v>
      </c>
    </row>
    <row r="27" spans="1:73" x14ac:dyDescent="0.3">
      <c r="A27" s="256" t="s">
        <v>581</v>
      </c>
      <c r="B27" s="256" t="s">
        <v>582</v>
      </c>
      <c r="C27" s="256" t="s">
        <v>1016</v>
      </c>
      <c r="D27" s="256" t="s">
        <v>1026</v>
      </c>
      <c r="E27" s="257" t="s">
        <v>1026</v>
      </c>
      <c r="F27" s="256" t="s">
        <v>583</v>
      </c>
      <c r="G27" s="257" t="s">
        <v>584</v>
      </c>
      <c r="H27" s="256">
        <v>332805</v>
      </c>
      <c r="I27" s="257" t="s">
        <v>640</v>
      </c>
      <c r="J27" s="256" t="s">
        <v>641</v>
      </c>
      <c r="K27" s="256" t="s">
        <v>580</v>
      </c>
      <c r="L27" s="256" t="s">
        <v>588</v>
      </c>
      <c r="M27" s="256" t="s">
        <v>589</v>
      </c>
      <c r="N27" s="256" t="s">
        <v>590</v>
      </c>
      <c r="O27" s="256" t="s">
        <v>591</v>
      </c>
      <c r="P27" s="256" t="s">
        <v>592</v>
      </c>
      <c r="Q27" s="258">
        <v>1</v>
      </c>
      <c r="R27" s="258">
        <v>150</v>
      </c>
      <c r="S27" s="258">
        <v>4800</v>
      </c>
      <c r="T27" s="258">
        <v>1</v>
      </c>
      <c r="U27" s="258">
        <v>0</v>
      </c>
      <c r="V27" s="258">
        <v>0</v>
      </c>
      <c r="W27" s="258">
        <v>150</v>
      </c>
      <c r="X27" s="258">
        <v>720</v>
      </c>
      <c r="Y27" s="258">
        <v>1</v>
      </c>
      <c r="Z27" s="258">
        <v>0</v>
      </c>
      <c r="AA27" s="258">
        <v>0</v>
      </c>
      <c r="AB27" s="258">
        <v>150</v>
      </c>
      <c r="AC27" s="258">
        <v>720</v>
      </c>
      <c r="AD27" s="258">
        <v>0</v>
      </c>
      <c r="AE27" s="258">
        <v>0</v>
      </c>
      <c r="AF27" s="258">
        <v>0</v>
      </c>
      <c r="AG27" s="258">
        <v>0</v>
      </c>
      <c r="AH27" s="258">
        <v>0</v>
      </c>
      <c r="AI27" s="258">
        <v>0</v>
      </c>
      <c r="AJ27" s="258">
        <v>0</v>
      </c>
      <c r="AK27" s="258">
        <v>0</v>
      </c>
      <c r="AL27" s="258">
        <v>0</v>
      </c>
      <c r="AM27" s="258">
        <v>0</v>
      </c>
      <c r="AN27" s="258">
        <v>0</v>
      </c>
      <c r="AO27" s="258">
        <v>0</v>
      </c>
      <c r="AP27" s="258">
        <v>0</v>
      </c>
      <c r="AQ27" s="258">
        <v>0</v>
      </c>
      <c r="AR27" s="258">
        <v>0</v>
      </c>
      <c r="AS27" s="258">
        <v>8208</v>
      </c>
      <c r="AT27" s="258">
        <v>8208</v>
      </c>
      <c r="AU27" s="258">
        <v>1231200</v>
      </c>
      <c r="AV27" s="256" t="s">
        <v>1018</v>
      </c>
      <c r="AW27" s="256" t="s">
        <v>594</v>
      </c>
      <c r="AX27" s="257" t="s">
        <v>595</v>
      </c>
      <c r="AY27" s="257" t="s">
        <v>595</v>
      </c>
      <c r="AZ27" s="256" t="s">
        <v>1003</v>
      </c>
      <c r="BA27" s="256" t="s">
        <v>1019</v>
      </c>
      <c r="BB27" s="256" t="s">
        <v>1020</v>
      </c>
      <c r="BC27" s="256" t="s">
        <v>1021</v>
      </c>
      <c r="BD27" s="256" t="s">
        <v>1022</v>
      </c>
      <c r="BE27" s="258">
        <v>251</v>
      </c>
      <c r="BF27" s="256" t="s">
        <v>1098</v>
      </c>
      <c r="BG27" s="256" t="s">
        <v>636</v>
      </c>
      <c r="BH27" s="257" t="s">
        <v>637</v>
      </c>
      <c r="BI27" s="256" t="s">
        <v>595</v>
      </c>
      <c r="BJ27" s="256" t="s">
        <v>601</v>
      </c>
      <c r="BK27" s="256" t="s">
        <v>595</v>
      </c>
      <c r="BL27" s="256" t="s">
        <v>595</v>
      </c>
      <c r="BM27" s="256" t="s">
        <v>595</v>
      </c>
      <c r="BN27" s="256" t="s">
        <v>594</v>
      </c>
      <c r="BO27" s="256" t="s">
        <v>638</v>
      </c>
      <c r="BP27" s="257" t="s">
        <v>639</v>
      </c>
      <c r="BQ27" s="256" t="s">
        <v>608</v>
      </c>
      <c r="BR27" s="256" t="s">
        <v>609</v>
      </c>
      <c r="BS27" s="256" t="s">
        <v>595</v>
      </c>
      <c r="BT27" s="91">
        <f t="shared" si="0"/>
        <v>46049</v>
      </c>
      <c r="BU27" s="91">
        <f t="array" ref="BU27">MIN(IF(H:H=H27,BT:BT ))</f>
        <v>46049</v>
      </c>
    </row>
    <row r="28" spans="1:73" x14ac:dyDescent="0.3">
      <c r="A28" s="256" t="s">
        <v>581</v>
      </c>
      <c r="B28" s="256" t="s">
        <v>582</v>
      </c>
      <c r="C28" s="256" t="s">
        <v>1016</v>
      </c>
      <c r="D28" s="256" t="s">
        <v>1027</v>
      </c>
      <c r="E28" s="257" t="s">
        <v>1027</v>
      </c>
      <c r="F28" s="256" t="s">
        <v>583</v>
      </c>
      <c r="G28" s="257" t="s">
        <v>584</v>
      </c>
      <c r="H28" s="256">
        <v>332805</v>
      </c>
      <c r="I28" s="257" t="s">
        <v>640</v>
      </c>
      <c r="J28" s="256" t="s">
        <v>641</v>
      </c>
      <c r="K28" s="256" t="s">
        <v>580</v>
      </c>
      <c r="L28" s="256" t="s">
        <v>588</v>
      </c>
      <c r="M28" s="256" t="s">
        <v>589</v>
      </c>
      <c r="N28" s="256" t="s">
        <v>590</v>
      </c>
      <c r="O28" s="256" t="s">
        <v>591</v>
      </c>
      <c r="P28" s="256" t="s">
        <v>592</v>
      </c>
      <c r="Q28" s="258">
        <v>1</v>
      </c>
      <c r="R28" s="258">
        <v>150</v>
      </c>
      <c r="S28" s="258">
        <v>4800</v>
      </c>
      <c r="T28" s="258">
        <v>1</v>
      </c>
      <c r="U28" s="258">
        <v>0</v>
      </c>
      <c r="V28" s="258">
        <v>0</v>
      </c>
      <c r="W28" s="258">
        <v>150</v>
      </c>
      <c r="X28" s="258">
        <v>720</v>
      </c>
      <c r="Y28" s="258">
        <v>1</v>
      </c>
      <c r="Z28" s="258">
        <v>0</v>
      </c>
      <c r="AA28" s="258">
        <v>0</v>
      </c>
      <c r="AB28" s="258">
        <v>150</v>
      </c>
      <c r="AC28" s="258">
        <v>720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8">
        <v>0</v>
      </c>
      <c r="AK28" s="258">
        <v>0</v>
      </c>
      <c r="AL28" s="258">
        <v>0</v>
      </c>
      <c r="AM28" s="258">
        <v>0</v>
      </c>
      <c r="AN28" s="258">
        <v>0</v>
      </c>
      <c r="AO28" s="258">
        <v>0</v>
      </c>
      <c r="AP28" s="258">
        <v>0</v>
      </c>
      <c r="AQ28" s="258">
        <v>0</v>
      </c>
      <c r="AR28" s="258">
        <v>0</v>
      </c>
      <c r="AS28" s="258">
        <v>8208</v>
      </c>
      <c r="AT28" s="258">
        <v>8208</v>
      </c>
      <c r="AU28" s="258">
        <v>1231200</v>
      </c>
      <c r="AV28" s="256" t="s">
        <v>1018</v>
      </c>
      <c r="AW28" s="256" t="s">
        <v>594</v>
      </c>
      <c r="AX28" s="257" t="s">
        <v>595</v>
      </c>
      <c r="AY28" s="257" t="s">
        <v>595</v>
      </c>
      <c r="AZ28" s="256" t="s">
        <v>1003</v>
      </c>
      <c r="BA28" s="256" t="s">
        <v>1019</v>
      </c>
      <c r="BB28" s="256" t="s">
        <v>1020</v>
      </c>
      <c r="BC28" s="256" t="s">
        <v>1021</v>
      </c>
      <c r="BD28" s="256" t="s">
        <v>1022</v>
      </c>
      <c r="BE28" s="258">
        <v>251</v>
      </c>
      <c r="BF28" s="256" t="s">
        <v>1098</v>
      </c>
      <c r="BG28" s="256" t="s">
        <v>636</v>
      </c>
      <c r="BH28" s="257" t="s">
        <v>637</v>
      </c>
      <c r="BI28" s="256" t="s">
        <v>595</v>
      </c>
      <c r="BJ28" s="256" t="s">
        <v>601</v>
      </c>
      <c r="BK28" s="256" t="s">
        <v>595</v>
      </c>
      <c r="BL28" s="256" t="s">
        <v>595</v>
      </c>
      <c r="BM28" s="256" t="s">
        <v>595</v>
      </c>
      <c r="BN28" s="256" t="s">
        <v>594</v>
      </c>
      <c r="BO28" s="256" t="s">
        <v>638</v>
      </c>
      <c r="BP28" s="257" t="s">
        <v>639</v>
      </c>
      <c r="BQ28" s="256" t="s">
        <v>615</v>
      </c>
      <c r="BR28" s="256" t="s">
        <v>616</v>
      </c>
      <c r="BS28" s="256" t="s">
        <v>595</v>
      </c>
      <c r="BT28" s="91">
        <f t="shared" si="0"/>
        <v>46049</v>
      </c>
      <c r="BU28" s="91">
        <f t="array" ref="BU28">MIN(IF(H:H=H28,BT:BT ))</f>
        <v>46049</v>
      </c>
    </row>
    <row r="29" spans="1:73" x14ac:dyDescent="0.3">
      <c r="A29" s="256" t="s">
        <v>581</v>
      </c>
      <c r="B29" s="256" t="s">
        <v>582</v>
      </c>
      <c r="C29" s="256" t="s">
        <v>1016</v>
      </c>
      <c r="D29" s="256" t="s">
        <v>1028</v>
      </c>
      <c r="E29" s="257" t="s">
        <v>1028</v>
      </c>
      <c r="F29" s="256" t="s">
        <v>583</v>
      </c>
      <c r="G29" s="257" t="s">
        <v>584</v>
      </c>
      <c r="H29" s="256">
        <v>332805</v>
      </c>
      <c r="I29" s="257" t="s">
        <v>640</v>
      </c>
      <c r="J29" s="256" t="s">
        <v>641</v>
      </c>
      <c r="K29" s="256" t="s">
        <v>580</v>
      </c>
      <c r="L29" s="256" t="s">
        <v>588</v>
      </c>
      <c r="M29" s="256" t="s">
        <v>589</v>
      </c>
      <c r="N29" s="256" t="s">
        <v>590</v>
      </c>
      <c r="O29" s="256" t="s">
        <v>591</v>
      </c>
      <c r="P29" s="256" t="s">
        <v>592</v>
      </c>
      <c r="Q29" s="258">
        <v>1</v>
      </c>
      <c r="R29" s="258">
        <v>150</v>
      </c>
      <c r="S29" s="258">
        <v>4800</v>
      </c>
      <c r="T29" s="258">
        <v>1</v>
      </c>
      <c r="U29" s="258">
        <v>0</v>
      </c>
      <c r="V29" s="258">
        <v>0</v>
      </c>
      <c r="W29" s="258">
        <v>150</v>
      </c>
      <c r="X29" s="258">
        <v>720</v>
      </c>
      <c r="Y29" s="258">
        <v>1</v>
      </c>
      <c r="Z29" s="258">
        <v>0</v>
      </c>
      <c r="AA29" s="258">
        <v>0</v>
      </c>
      <c r="AB29" s="258">
        <v>150</v>
      </c>
      <c r="AC29" s="258">
        <v>720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8">
        <v>0</v>
      </c>
      <c r="AK29" s="258">
        <v>0</v>
      </c>
      <c r="AL29" s="258">
        <v>0</v>
      </c>
      <c r="AM29" s="258">
        <v>0</v>
      </c>
      <c r="AN29" s="258">
        <v>0</v>
      </c>
      <c r="AO29" s="258">
        <v>0</v>
      </c>
      <c r="AP29" s="258">
        <v>0</v>
      </c>
      <c r="AQ29" s="258">
        <v>0</v>
      </c>
      <c r="AR29" s="258">
        <v>0</v>
      </c>
      <c r="AS29" s="258">
        <v>8208</v>
      </c>
      <c r="AT29" s="258">
        <v>8208</v>
      </c>
      <c r="AU29" s="258">
        <v>1231200</v>
      </c>
      <c r="AV29" s="256" t="s">
        <v>1018</v>
      </c>
      <c r="AW29" s="256" t="s">
        <v>594</v>
      </c>
      <c r="AX29" s="257" t="s">
        <v>595</v>
      </c>
      <c r="AY29" s="257" t="s">
        <v>595</v>
      </c>
      <c r="AZ29" s="256" t="s">
        <v>1003</v>
      </c>
      <c r="BA29" s="256" t="s">
        <v>1019</v>
      </c>
      <c r="BB29" s="256" t="s">
        <v>1020</v>
      </c>
      <c r="BC29" s="256" t="s">
        <v>1021</v>
      </c>
      <c r="BD29" s="256" t="s">
        <v>1022</v>
      </c>
      <c r="BE29" s="258">
        <v>251</v>
      </c>
      <c r="BF29" s="256" t="s">
        <v>1098</v>
      </c>
      <c r="BG29" s="256" t="s">
        <v>636</v>
      </c>
      <c r="BH29" s="257" t="s">
        <v>637</v>
      </c>
      <c r="BI29" s="256" t="s">
        <v>595</v>
      </c>
      <c r="BJ29" s="256" t="s">
        <v>601</v>
      </c>
      <c r="BK29" s="256" t="s">
        <v>595</v>
      </c>
      <c r="BL29" s="256" t="s">
        <v>595</v>
      </c>
      <c r="BM29" s="256" t="s">
        <v>595</v>
      </c>
      <c r="BN29" s="256" t="s">
        <v>594</v>
      </c>
      <c r="BO29" s="256" t="s">
        <v>638</v>
      </c>
      <c r="BP29" s="257" t="s">
        <v>639</v>
      </c>
      <c r="BQ29" s="256" t="s">
        <v>608</v>
      </c>
      <c r="BR29" s="256" t="s">
        <v>609</v>
      </c>
      <c r="BS29" s="256" t="s">
        <v>595</v>
      </c>
      <c r="BT29" s="91">
        <f t="shared" si="0"/>
        <v>46049</v>
      </c>
      <c r="BU29" s="91">
        <f t="array" ref="BU29">MIN(IF(H:H=H29,BT:BT ))</f>
        <v>46049</v>
      </c>
    </row>
    <row r="30" spans="1:73" x14ac:dyDescent="0.3">
      <c r="A30" s="256" t="s">
        <v>581</v>
      </c>
      <c r="B30" s="256" t="s">
        <v>582</v>
      </c>
      <c r="C30" s="256" t="s">
        <v>1016</v>
      </c>
      <c r="D30" s="256" t="s">
        <v>1029</v>
      </c>
      <c r="E30" s="257" t="s">
        <v>1029</v>
      </c>
      <c r="F30" s="256" t="s">
        <v>583</v>
      </c>
      <c r="G30" s="257" t="s">
        <v>584</v>
      </c>
      <c r="H30" s="256">
        <v>332805</v>
      </c>
      <c r="I30" s="257" t="s">
        <v>640</v>
      </c>
      <c r="J30" s="256" t="s">
        <v>641</v>
      </c>
      <c r="K30" s="256" t="s">
        <v>580</v>
      </c>
      <c r="L30" s="256" t="s">
        <v>588</v>
      </c>
      <c r="M30" s="256" t="s">
        <v>589</v>
      </c>
      <c r="N30" s="256" t="s">
        <v>590</v>
      </c>
      <c r="O30" s="256" t="s">
        <v>591</v>
      </c>
      <c r="P30" s="256" t="s">
        <v>592</v>
      </c>
      <c r="Q30" s="258">
        <v>1</v>
      </c>
      <c r="R30" s="258">
        <v>150</v>
      </c>
      <c r="S30" s="258">
        <v>4800</v>
      </c>
      <c r="T30" s="258">
        <v>1</v>
      </c>
      <c r="U30" s="258">
        <v>0</v>
      </c>
      <c r="V30" s="258">
        <v>0</v>
      </c>
      <c r="W30" s="258">
        <v>150</v>
      </c>
      <c r="X30" s="258">
        <v>720</v>
      </c>
      <c r="Y30" s="258">
        <v>1</v>
      </c>
      <c r="Z30" s="258">
        <v>0</v>
      </c>
      <c r="AA30" s="258">
        <v>0</v>
      </c>
      <c r="AB30" s="258">
        <v>150</v>
      </c>
      <c r="AC30" s="258">
        <v>720</v>
      </c>
      <c r="AD30" s="258">
        <v>0</v>
      </c>
      <c r="AE30" s="258">
        <v>0</v>
      </c>
      <c r="AF30" s="258">
        <v>0</v>
      </c>
      <c r="AG30" s="258">
        <v>0</v>
      </c>
      <c r="AH30" s="258">
        <v>0</v>
      </c>
      <c r="AI30" s="258">
        <v>0</v>
      </c>
      <c r="AJ30" s="258">
        <v>0</v>
      </c>
      <c r="AK30" s="258">
        <v>0</v>
      </c>
      <c r="AL30" s="258">
        <v>0</v>
      </c>
      <c r="AM30" s="258">
        <v>0</v>
      </c>
      <c r="AN30" s="258">
        <v>0</v>
      </c>
      <c r="AO30" s="258">
        <v>0</v>
      </c>
      <c r="AP30" s="258">
        <v>0</v>
      </c>
      <c r="AQ30" s="258">
        <v>0</v>
      </c>
      <c r="AR30" s="258">
        <v>0</v>
      </c>
      <c r="AS30" s="258">
        <v>8208</v>
      </c>
      <c r="AT30" s="258">
        <v>8208</v>
      </c>
      <c r="AU30" s="258">
        <v>1231200</v>
      </c>
      <c r="AV30" s="256" t="s">
        <v>1018</v>
      </c>
      <c r="AW30" s="256" t="s">
        <v>594</v>
      </c>
      <c r="AX30" s="257" t="s">
        <v>595</v>
      </c>
      <c r="AY30" s="257" t="s">
        <v>595</v>
      </c>
      <c r="AZ30" s="256" t="s">
        <v>1003</v>
      </c>
      <c r="BA30" s="256" t="s">
        <v>1019</v>
      </c>
      <c r="BB30" s="256" t="s">
        <v>1020</v>
      </c>
      <c r="BC30" s="256" t="s">
        <v>1021</v>
      </c>
      <c r="BD30" s="256" t="s">
        <v>1022</v>
      </c>
      <c r="BE30" s="258">
        <v>251</v>
      </c>
      <c r="BF30" s="256" t="s">
        <v>1098</v>
      </c>
      <c r="BG30" s="256" t="s">
        <v>636</v>
      </c>
      <c r="BH30" s="257" t="s">
        <v>637</v>
      </c>
      <c r="BI30" s="256" t="s">
        <v>595</v>
      </c>
      <c r="BJ30" s="256" t="s">
        <v>601</v>
      </c>
      <c r="BK30" s="256" t="s">
        <v>595</v>
      </c>
      <c r="BL30" s="256" t="s">
        <v>595</v>
      </c>
      <c r="BM30" s="256" t="s">
        <v>595</v>
      </c>
      <c r="BN30" s="256" t="s">
        <v>594</v>
      </c>
      <c r="BO30" s="256" t="s">
        <v>638</v>
      </c>
      <c r="BP30" s="257" t="s">
        <v>639</v>
      </c>
      <c r="BQ30" s="256" t="s">
        <v>615</v>
      </c>
      <c r="BR30" s="256" t="s">
        <v>616</v>
      </c>
      <c r="BS30" s="256" t="s">
        <v>595</v>
      </c>
      <c r="BT30" s="91">
        <f>DATE(LEFT(BB30,4),MID(BB30,5,2),RIGHT(BB30,2))</f>
        <v>46049</v>
      </c>
      <c r="BU30" s="91">
        <f t="array" ref="BU30">MIN(IF(H:H=H30,BT:BT ))</f>
        <v>46049</v>
      </c>
    </row>
    <row r="31" spans="1:73" x14ac:dyDescent="0.3">
      <c r="A31" s="256" t="s">
        <v>581</v>
      </c>
      <c r="B31" s="256" t="s">
        <v>582</v>
      </c>
      <c r="C31" s="256" t="s">
        <v>1030</v>
      </c>
      <c r="D31" s="256" t="s">
        <v>1031</v>
      </c>
      <c r="E31" s="257" t="s">
        <v>1031</v>
      </c>
      <c r="F31" s="256" t="s">
        <v>583</v>
      </c>
      <c r="G31" s="257" t="s">
        <v>584</v>
      </c>
      <c r="H31" s="256">
        <v>332805</v>
      </c>
      <c r="I31" s="257" t="s">
        <v>640</v>
      </c>
      <c r="J31" s="256" t="s">
        <v>641</v>
      </c>
      <c r="K31" s="256" t="s">
        <v>580</v>
      </c>
      <c r="L31" s="256" t="s">
        <v>588</v>
      </c>
      <c r="M31" s="256" t="s">
        <v>589</v>
      </c>
      <c r="N31" s="256" t="s">
        <v>590</v>
      </c>
      <c r="O31" s="256" t="s">
        <v>591</v>
      </c>
      <c r="P31" s="256" t="s">
        <v>592</v>
      </c>
      <c r="Q31" s="258">
        <v>1</v>
      </c>
      <c r="R31" s="258">
        <v>150</v>
      </c>
      <c r="S31" s="258">
        <v>4800</v>
      </c>
      <c r="T31" s="258">
        <v>1</v>
      </c>
      <c r="U31" s="258">
        <v>0</v>
      </c>
      <c r="V31" s="258">
        <v>0</v>
      </c>
      <c r="W31" s="258">
        <v>150</v>
      </c>
      <c r="X31" s="258">
        <v>720</v>
      </c>
      <c r="Y31" s="258">
        <v>1</v>
      </c>
      <c r="Z31" s="258">
        <v>0</v>
      </c>
      <c r="AA31" s="258">
        <v>0</v>
      </c>
      <c r="AB31" s="258">
        <v>150</v>
      </c>
      <c r="AC31" s="258">
        <v>720</v>
      </c>
      <c r="AD31" s="258">
        <v>0</v>
      </c>
      <c r="AE31" s="258">
        <v>0</v>
      </c>
      <c r="AF31" s="258">
        <v>0</v>
      </c>
      <c r="AG31" s="258">
        <v>0</v>
      </c>
      <c r="AH31" s="258">
        <v>0</v>
      </c>
      <c r="AI31" s="258">
        <v>0</v>
      </c>
      <c r="AJ31" s="258">
        <v>0</v>
      </c>
      <c r="AK31" s="258">
        <v>0</v>
      </c>
      <c r="AL31" s="258">
        <v>0</v>
      </c>
      <c r="AM31" s="258">
        <v>0</v>
      </c>
      <c r="AN31" s="258">
        <v>0</v>
      </c>
      <c r="AO31" s="258">
        <v>0</v>
      </c>
      <c r="AP31" s="258">
        <v>0</v>
      </c>
      <c r="AQ31" s="258">
        <v>0</v>
      </c>
      <c r="AR31" s="258">
        <v>0</v>
      </c>
      <c r="AS31" s="258">
        <v>8208</v>
      </c>
      <c r="AT31" s="258">
        <v>8208</v>
      </c>
      <c r="AU31" s="258">
        <v>1231200</v>
      </c>
      <c r="AV31" s="256" t="s">
        <v>1018</v>
      </c>
      <c r="AW31" s="256" t="s">
        <v>594</v>
      </c>
      <c r="AX31" s="257" t="s">
        <v>595</v>
      </c>
      <c r="AY31" s="257" t="s">
        <v>595</v>
      </c>
      <c r="AZ31" s="256" t="s">
        <v>1003</v>
      </c>
      <c r="BA31" s="256" t="s">
        <v>1019</v>
      </c>
      <c r="BB31" s="256" t="s">
        <v>1020</v>
      </c>
      <c r="BC31" s="256" t="s">
        <v>1021</v>
      </c>
      <c r="BD31" s="256" t="s">
        <v>1022</v>
      </c>
      <c r="BE31" s="258">
        <v>251</v>
      </c>
      <c r="BF31" s="256" t="s">
        <v>1098</v>
      </c>
      <c r="BG31" s="256" t="s">
        <v>636</v>
      </c>
      <c r="BH31" s="257" t="s">
        <v>637</v>
      </c>
      <c r="BI31" s="256" t="s">
        <v>595</v>
      </c>
      <c r="BJ31" s="256" t="s">
        <v>601</v>
      </c>
      <c r="BK31" s="256" t="s">
        <v>595</v>
      </c>
      <c r="BL31" s="256" t="s">
        <v>595</v>
      </c>
      <c r="BM31" s="256" t="s">
        <v>595</v>
      </c>
      <c r="BN31" s="256" t="s">
        <v>594</v>
      </c>
      <c r="BO31" s="256" t="s">
        <v>638</v>
      </c>
      <c r="BP31" s="257" t="s">
        <v>639</v>
      </c>
      <c r="BQ31" s="256" t="s">
        <v>611</v>
      </c>
      <c r="BR31" s="256" t="s">
        <v>612</v>
      </c>
      <c r="BS31" s="256" t="s">
        <v>595</v>
      </c>
      <c r="BT31" s="91">
        <f t="shared" si="0"/>
        <v>46049</v>
      </c>
      <c r="BU31" s="91">
        <f t="array" ref="BU31">MIN(IF(H:H=H31,BT:BT ))</f>
        <v>46049</v>
      </c>
    </row>
    <row r="32" spans="1:73" x14ac:dyDescent="0.3">
      <c r="A32" s="256" t="s">
        <v>581</v>
      </c>
      <c r="B32" s="256" t="s">
        <v>582</v>
      </c>
      <c r="C32" s="256" t="s">
        <v>1030</v>
      </c>
      <c r="D32" s="256" t="s">
        <v>1032</v>
      </c>
      <c r="E32" s="257" t="s">
        <v>1032</v>
      </c>
      <c r="F32" s="256" t="s">
        <v>583</v>
      </c>
      <c r="G32" s="257" t="s">
        <v>584</v>
      </c>
      <c r="H32" s="256">
        <v>332805</v>
      </c>
      <c r="I32" s="257" t="s">
        <v>640</v>
      </c>
      <c r="J32" s="256" t="s">
        <v>641</v>
      </c>
      <c r="K32" s="256" t="s">
        <v>580</v>
      </c>
      <c r="L32" s="256" t="s">
        <v>588</v>
      </c>
      <c r="M32" s="256" t="s">
        <v>589</v>
      </c>
      <c r="N32" s="256" t="s">
        <v>590</v>
      </c>
      <c r="O32" s="256" t="s">
        <v>591</v>
      </c>
      <c r="P32" s="256" t="s">
        <v>592</v>
      </c>
      <c r="Q32" s="258">
        <v>1</v>
      </c>
      <c r="R32" s="258">
        <v>150</v>
      </c>
      <c r="S32" s="258">
        <v>4800</v>
      </c>
      <c r="T32" s="258">
        <v>1</v>
      </c>
      <c r="U32" s="258">
        <v>0</v>
      </c>
      <c r="V32" s="258">
        <v>0</v>
      </c>
      <c r="W32" s="258">
        <v>150</v>
      </c>
      <c r="X32" s="258">
        <v>720</v>
      </c>
      <c r="Y32" s="258">
        <v>1</v>
      </c>
      <c r="Z32" s="258">
        <v>0</v>
      </c>
      <c r="AA32" s="258">
        <v>0</v>
      </c>
      <c r="AB32" s="258">
        <v>150</v>
      </c>
      <c r="AC32" s="258">
        <v>720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8">
        <v>0</v>
      </c>
      <c r="AK32" s="258">
        <v>0</v>
      </c>
      <c r="AL32" s="258">
        <v>0</v>
      </c>
      <c r="AM32" s="258">
        <v>0</v>
      </c>
      <c r="AN32" s="258">
        <v>0</v>
      </c>
      <c r="AO32" s="258">
        <v>0</v>
      </c>
      <c r="AP32" s="258">
        <v>0</v>
      </c>
      <c r="AQ32" s="258">
        <v>0</v>
      </c>
      <c r="AR32" s="258">
        <v>0</v>
      </c>
      <c r="AS32" s="258">
        <v>8208</v>
      </c>
      <c r="AT32" s="258">
        <v>8208</v>
      </c>
      <c r="AU32" s="258">
        <v>1231200</v>
      </c>
      <c r="AV32" s="256" t="s">
        <v>1018</v>
      </c>
      <c r="AW32" s="256" t="s">
        <v>594</v>
      </c>
      <c r="AX32" s="257" t="s">
        <v>595</v>
      </c>
      <c r="AY32" s="257" t="s">
        <v>595</v>
      </c>
      <c r="AZ32" s="256" t="s">
        <v>1003</v>
      </c>
      <c r="BA32" s="256" t="s">
        <v>1019</v>
      </c>
      <c r="BB32" s="256" t="s">
        <v>1020</v>
      </c>
      <c r="BC32" s="256" t="s">
        <v>1021</v>
      </c>
      <c r="BD32" s="256" t="s">
        <v>1022</v>
      </c>
      <c r="BE32" s="258">
        <v>251</v>
      </c>
      <c r="BF32" s="256" t="s">
        <v>1098</v>
      </c>
      <c r="BG32" s="256" t="s">
        <v>636</v>
      </c>
      <c r="BH32" s="257" t="s">
        <v>637</v>
      </c>
      <c r="BI32" s="256" t="s">
        <v>595</v>
      </c>
      <c r="BJ32" s="256" t="s">
        <v>601</v>
      </c>
      <c r="BK32" s="256" t="s">
        <v>595</v>
      </c>
      <c r="BL32" s="256" t="s">
        <v>595</v>
      </c>
      <c r="BM32" s="256" t="s">
        <v>595</v>
      </c>
      <c r="BN32" s="256" t="s">
        <v>594</v>
      </c>
      <c r="BO32" s="256" t="s">
        <v>638</v>
      </c>
      <c r="BP32" s="257" t="s">
        <v>639</v>
      </c>
      <c r="BQ32" s="256" t="s">
        <v>608</v>
      </c>
      <c r="BR32" s="256" t="s">
        <v>609</v>
      </c>
      <c r="BS32" s="256" t="s">
        <v>595</v>
      </c>
      <c r="BT32" s="91">
        <f t="shared" si="0"/>
        <v>46049</v>
      </c>
      <c r="BU32" s="91">
        <f t="array" ref="BU32">MIN(IF(H:H=H32,BT:BT ))</f>
        <v>46049</v>
      </c>
    </row>
    <row r="33" spans="1:73" x14ac:dyDescent="0.3">
      <c r="A33" s="256" t="s">
        <v>581</v>
      </c>
      <c r="B33" s="256" t="s">
        <v>582</v>
      </c>
      <c r="C33" s="256" t="s">
        <v>1030</v>
      </c>
      <c r="D33" s="256" t="s">
        <v>1033</v>
      </c>
      <c r="E33" s="257" t="s">
        <v>1033</v>
      </c>
      <c r="F33" s="256" t="s">
        <v>583</v>
      </c>
      <c r="G33" s="257" t="s">
        <v>584</v>
      </c>
      <c r="H33" s="256">
        <v>332805</v>
      </c>
      <c r="I33" s="257" t="s">
        <v>640</v>
      </c>
      <c r="J33" s="256" t="s">
        <v>641</v>
      </c>
      <c r="K33" s="256" t="s">
        <v>580</v>
      </c>
      <c r="L33" s="256" t="s">
        <v>588</v>
      </c>
      <c r="M33" s="256" t="s">
        <v>589</v>
      </c>
      <c r="N33" s="256" t="s">
        <v>590</v>
      </c>
      <c r="O33" s="256" t="s">
        <v>591</v>
      </c>
      <c r="P33" s="256" t="s">
        <v>592</v>
      </c>
      <c r="Q33" s="258">
        <v>1</v>
      </c>
      <c r="R33" s="258">
        <v>150</v>
      </c>
      <c r="S33" s="258">
        <v>4800</v>
      </c>
      <c r="T33" s="258">
        <v>1</v>
      </c>
      <c r="U33" s="258">
        <v>0</v>
      </c>
      <c r="V33" s="258">
        <v>0</v>
      </c>
      <c r="W33" s="258">
        <v>150</v>
      </c>
      <c r="X33" s="258">
        <v>720</v>
      </c>
      <c r="Y33" s="258">
        <v>1</v>
      </c>
      <c r="Z33" s="258">
        <v>0</v>
      </c>
      <c r="AA33" s="258">
        <v>0</v>
      </c>
      <c r="AB33" s="258">
        <v>150</v>
      </c>
      <c r="AC33" s="258">
        <v>720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8">
        <v>0</v>
      </c>
      <c r="AK33" s="258">
        <v>0</v>
      </c>
      <c r="AL33" s="258">
        <v>0</v>
      </c>
      <c r="AM33" s="258">
        <v>0</v>
      </c>
      <c r="AN33" s="258">
        <v>0</v>
      </c>
      <c r="AO33" s="258">
        <v>0</v>
      </c>
      <c r="AP33" s="258">
        <v>0</v>
      </c>
      <c r="AQ33" s="258">
        <v>0</v>
      </c>
      <c r="AR33" s="258">
        <v>0</v>
      </c>
      <c r="AS33" s="258">
        <v>8208</v>
      </c>
      <c r="AT33" s="258">
        <v>8208</v>
      </c>
      <c r="AU33" s="258">
        <v>1231200</v>
      </c>
      <c r="AV33" s="256" t="s">
        <v>1018</v>
      </c>
      <c r="AW33" s="256" t="s">
        <v>594</v>
      </c>
      <c r="AX33" s="257" t="s">
        <v>595</v>
      </c>
      <c r="AY33" s="257" t="s">
        <v>595</v>
      </c>
      <c r="AZ33" s="256" t="s">
        <v>1003</v>
      </c>
      <c r="BA33" s="256" t="s">
        <v>1019</v>
      </c>
      <c r="BB33" s="256" t="s">
        <v>1020</v>
      </c>
      <c r="BC33" s="256" t="s">
        <v>1021</v>
      </c>
      <c r="BD33" s="256" t="s">
        <v>1022</v>
      </c>
      <c r="BE33" s="258">
        <v>251</v>
      </c>
      <c r="BF33" s="256" t="s">
        <v>1098</v>
      </c>
      <c r="BG33" s="256" t="s">
        <v>636</v>
      </c>
      <c r="BH33" s="257" t="s">
        <v>637</v>
      </c>
      <c r="BI33" s="256" t="s">
        <v>595</v>
      </c>
      <c r="BJ33" s="256" t="s">
        <v>601</v>
      </c>
      <c r="BK33" s="256" t="s">
        <v>595</v>
      </c>
      <c r="BL33" s="256" t="s">
        <v>595</v>
      </c>
      <c r="BM33" s="256" t="s">
        <v>595</v>
      </c>
      <c r="BN33" s="256" t="s">
        <v>594</v>
      </c>
      <c r="BO33" s="256" t="s">
        <v>638</v>
      </c>
      <c r="BP33" s="257" t="s">
        <v>639</v>
      </c>
      <c r="BQ33" s="256" t="s">
        <v>615</v>
      </c>
      <c r="BR33" s="256" t="s">
        <v>616</v>
      </c>
      <c r="BS33" s="256" t="s">
        <v>595</v>
      </c>
      <c r="BT33" s="91">
        <f t="shared" si="0"/>
        <v>46049</v>
      </c>
      <c r="BU33" s="91">
        <f t="array" ref="BU33">MIN(IF(H:H=H33,BT:BT ))</f>
        <v>46049</v>
      </c>
    </row>
    <row r="34" spans="1:73" x14ac:dyDescent="0.3">
      <c r="A34" s="256" t="s">
        <v>581</v>
      </c>
      <c r="B34" s="256" t="s">
        <v>582</v>
      </c>
      <c r="C34" s="256" t="s">
        <v>798</v>
      </c>
      <c r="D34" s="256" t="s">
        <v>799</v>
      </c>
      <c r="E34" s="257" t="s">
        <v>799</v>
      </c>
      <c r="F34" s="256" t="s">
        <v>583</v>
      </c>
      <c r="G34" s="257" t="s">
        <v>584</v>
      </c>
      <c r="H34" s="256">
        <v>323073</v>
      </c>
      <c r="I34" s="257" t="s">
        <v>585</v>
      </c>
      <c r="J34" s="256" t="s">
        <v>586</v>
      </c>
      <c r="K34" s="256" t="s">
        <v>587</v>
      </c>
      <c r="L34" s="256" t="s">
        <v>588</v>
      </c>
      <c r="M34" s="256" t="s">
        <v>589</v>
      </c>
      <c r="N34" s="256" t="s">
        <v>590</v>
      </c>
      <c r="O34" s="256" t="s">
        <v>591</v>
      </c>
      <c r="P34" s="256" t="s">
        <v>592</v>
      </c>
      <c r="Q34" s="258">
        <v>8</v>
      </c>
      <c r="R34" s="258">
        <v>700</v>
      </c>
      <c r="S34" s="258">
        <v>600</v>
      </c>
      <c r="T34" s="258">
        <v>0</v>
      </c>
      <c r="U34" s="258">
        <v>74</v>
      </c>
      <c r="V34" s="258">
        <v>3</v>
      </c>
      <c r="W34" s="258">
        <v>595</v>
      </c>
      <c r="X34" s="258">
        <v>357</v>
      </c>
      <c r="Y34" s="258">
        <v>0</v>
      </c>
      <c r="Z34" s="258">
        <v>74</v>
      </c>
      <c r="AA34" s="258">
        <v>3</v>
      </c>
      <c r="AB34" s="258">
        <v>595</v>
      </c>
      <c r="AC34" s="258">
        <v>357</v>
      </c>
      <c r="AD34" s="258">
        <v>0</v>
      </c>
      <c r="AE34" s="258">
        <v>0</v>
      </c>
      <c r="AF34" s="258">
        <v>0</v>
      </c>
      <c r="AG34" s="258">
        <v>0</v>
      </c>
      <c r="AH34" s="258">
        <v>0</v>
      </c>
      <c r="AI34" s="258">
        <v>0</v>
      </c>
      <c r="AJ34" s="258">
        <v>0</v>
      </c>
      <c r="AK34" s="258">
        <v>0</v>
      </c>
      <c r="AL34" s="258">
        <v>0</v>
      </c>
      <c r="AM34" s="258">
        <v>0</v>
      </c>
      <c r="AN34" s="258">
        <v>0</v>
      </c>
      <c r="AO34" s="258">
        <v>0</v>
      </c>
      <c r="AP34" s="258">
        <v>0</v>
      </c>
      <c r="AQ34" s="258">
        <v>0</v>
      </c>
      <c r="AR34" s="258">
        <v>0</v>
      </c>
      <c r="AS34" s="258">
        <v>7100</v>
      </c>
      <c r="AT34" s="258">
        <v>7100</v>
      </c>
      <c r="AU34" s="258">
        <v>4224500</v>
      </c>
      <c r="AV34" s="256" t="s">
        <v>593</v>
      </c>
      <c r="AW34" s="256" t="s">
        <v>594</v>
      </c>
      <c r="AX34" s="257" t="s">
        <v>595</v>
      </c>
      <c r="AY34" s="257" t="s">
        <v>595</v>
      </c>
      <c r="AZ34" s="256" t="s">
        <v>596</v>
      </c>
      <c r="BA34" s="256" t="s">
        <v>597</v>
      </c>
      <c r="BB34" s="256" t="s">
        <v>598</v>
      </c>
      <c r="BC34" s="256" t="s">
        <v>989</v>
      </c>
      <c r="BD34" s="256" t="s">
        <v>990</v>
      </c>
      <c r="BE34" s="258">
        <v>280</v>
      </c>
      <c r="BF34" s="256" t="s">
        <v>1097</v>
      </c>
      <c r="BG34" s="256" t="s">
        <v>599</v>
      </c>
      <c r="BH34" s="257" t="s">
        <v>600</v>
      </c>
      <c r="BI34" s="256" t="s">
        <v>595</v>
      </c>
      <c r="BJ34" s="256" t="s">
        <v>601</v>
      </c>
      <c r="BK34" s="256" t="s">
        <v>595</v>
      </c>
      <c r="BL34" s="256" t="s">
        <v>595</v>
      </c>
      <c r="BM34" s="256" t="s">
        <v>595</v>
      </c>
      <c r="BN34" s="256" t="s">
        <v>594</v>
      </c>
      <c r="BO34" s="256" t="s">
        <v>602</v>
      </c>
      <c r="BP34" s="257" t="s">
        <v>603</v>
      </c>
      <c r="BQ34" s="256" t="s">
        <v>604</v>
      </c>
      <c r="BR34" s="256" t="s">
        <v>605</v>
      </c>
      <c r="BS34" s="256" t="s">
        <v>595</v>
      </c>
      <c r="BT34" s="91">
        <f t="shared" si="0"/>
        <v>46078</v>
      </c>
      <c r="BU34" s="91">
        <f t="array" ref="BU34">MIN(IF(H:H=H34,BT:BT ))</f>
        <v>46078</v>
      </c>
    </row>
    <row r="35" spans="1:73" x14ac:dyDescent="0.3">
      <c r="A35" s="256" t="s">
        <v>581</v>
      </c>
      <c r="B35" s="256" t="s">
        <v>582</v>
      </c>
      <c r="C35" s="256" t="s">
        <v>798</v>
      </c>
      <c r="D35" s="256" t="s">
        <v>1034</v>
      </c>
      <c r="E35" s="257" t="s">
        <v>1034</v>
      </c>
      <c r="F35" s="256" t="s">
        <v>583</v>
      </c>
      <c r="G35" s="257" t="s">
        <v>584</v>
      </c>
      <c r="H35" s="256">
        <v>332805</v>
      </c>
      <c r="I35" s="257" t="s">
        <v>640</v>
      </c>
      <c r="J35" s="256" t="s">
        <v>641</v>
      </c>
      <c r="K35" s="256" t="s">
        <v>580</v>
      </c>
      <c r="L35" s="256" t="s">
        <v>588</v>
      </c>
      <c r="M35" s="256" t="s">
        <v>589</v>
      </c>
      <c r="N35" s="256" t="s">
        <v>590</v>
      </c>
      <c r="O35" s="256" t="s">
        <v>591</v>
      </c>
      <c r="P35" s="256" t="s">
        <v>592</v>
      </c>
      <c r="Q35" s="258">
        <v>1</v>
      </c>
      <c r="R35" s="258">
        <v>150</v>
      </c>
      <c r="S35" s="258">
        <v>4800</v>
      </c>
      <c r="T35" s="258">
        <v>1</v>
      </c>
      <c r="U35" s="258">
        <v>0</v>
      </c>
      <c r="V35" s="258">
        <v>0</v>
      </c>
      <c r="W35" s="258">
        <v>150</v>
      </c>
      <c r="X35" s="258">
        <v>720</v>
      </c>
      <c r="Y35" s="258">
        <v>1</v>
      </c>
      <c r="Z35" s="258">
        <v>0</v>
      </c>
      <c r="AA35" s="258">
        <v>0</v>
      </c>
      <c r="AB35" s="258">
        <v>150</v>
      </c>
      <c r="AC35" s="258">
        <v>720</v>
      </c>
      <c r="AD35" s="258">
        <v>0</v>
      </c>
      <c r="AE35" s="258">
        <v>0</v>
      </c>
      <c r="AF35" s="258">
        <v>0</v>
      </c>
      <c r="AG35" s="258">
        <v>0</v>
      </c>
      <c r="AH35" s="258">
        <v>0</v>
      </c>
      <c r="AI35" s="258">
        <v>0</v>
      </c>
      <c r="AJ35" s="258">
        <v>0</v>
      </c>
      <c r="AK35" s="258">
        <v>0</v>
      </c>
      <c r="AL35" s="258">
        <v>0</v>
      </c>
      <c r="AM35" s="258">
        <v>0</v>
      </c>
      <c r="AN35" s="258">
        <v>0</v>
      </c>
      <c r="AO35" s="258">
        <v>0</v>
      </c>
      <c r="AP35" s="258">
        <v>0</v>
      </c>
      <c r="AQ35" s="258">
        <v>0</v>
      </c>
      <c r="AR35" s="258">
        <v>0</v>
      </c>
      <c r="AS35" s="258">
        <v>8208</v>
      </c>
      <c r="AT35" s="258">
        <v>8208</v>
      </c>
      <c r="AU35" s="258">
        <v>1231200</v>
      </c>
      <c r="AV35" s="256" t="s">
        <v>1018</v>
      </c>
      <c r="AW35" s="256" t="s">
        <v>594</v>
      </c>
      <c r="AX35" s="257" t="s">
        <v>595</v>
      </c>
      <c r="AY35" s="257" t="s">
        <v>595</v>
      </c>
      <c r="AZ35" s="256" t="s">
        <v>1003</v>
      </c>
      <c r="BA35" s="256" t="s">
        <v>1019</v>
      </c>
      <c r="BB35" s="256" t="s">
        <v>1020</v>
      </c>
      <c r="BC35" s="256" t="s">
        <v>1021</v>
      </c>
      <c r="BD35" s="256" t="s">
        <v>1022</v>
      </c>
      <c r="BE35" s="258">
        <v>251</v>
      </c>
      <c r="BF35" s="256" t="s">
        <v>1098</v>
      </c>
      <c r="BG35" s="256" t="s">
        <v>636</v>
      </c>
      <c r="BH35" s="257" t="s">
        <v>637</v>
      </c>
      <c r="BI35" s="256" t="s">
        <v>595</v>
      </c>
      <c r="BJ35" s="256" t="s">
        <v>601</v>
      </c>
      <c r="BK35" s="256" t="s">
        <v>595</v>
      </c>
      <c r="BL35" s="256" t="s">
        <v>595</v>
      </c>
      <c r="BM35" s="256" t="s">
        <v>595</v>
      </c>
      <c r="BN35" s="256" t="s">
        <v>594</v>
      </c>
      <c r="BO35" s="256" t="s">
        <v>638</v>
      </c>
      <c r="BP35" s="257" t="s">
        <v>639</v>
      </c>
      <c r="BQ35" s="256" t="s">
        <v>615</v>
      </c>
      <c r="BR35" s="256" t="s">
        <v>616</v>
      </c>
      <c r="BS35" s="256" t="s">
        <v>595</v>
      </c>
      <c r="BT35" s="91">
        <f t="shared" si="0"/>
        <v>46049</v>
      </c>
      <c r="BU35" s="91">
        <f t="array" ref="BU35">MIN(IF(H:H=H35,BT:BT ))</f>
        <v>46049</v>
      </c>
    </row>
    <row r="36" spans="1:73" x14ac:dyDescent="0.3">
      <c r="A36" s="256" t="s">
        <v>581</v>
      </c>
      <c r="B36" s="256" t="s">
        <v>582</v>
      </c>
      <c r="C36" s="256" t="s">
        <v>798</v>
      </c>
      <c r="D36" s="256" t="s">
        <v>1035</v>
      </c>
      <c r="E36" s="257" t="s">
        <v>1035</v>
      </c>
      <c r="F36" s="256" t="s">
        <v>583</v>
      </c>
      <c r="G36" s="257" t="s">
        <v>584</v>
      </c>
      <c r="H36" s="256">
        <v>332805</v>
      </c>
      <c r="I36" s="257" t="s">
        <v>640</v>
      </c>
      <c r="J36" s="256" t="s">
        <v>641</v>
      </c>
      <c r="K36" s="256" t="s">
        <v>580</v>
      </c>
      <c r="L36" s="256" t="s">
        <v>588</v>
      </c>
      <c r="M36" s="256" t="s">
        <v>589</v>
      </c>
      <c r="N36" s="256" t="s">
        <v>590</v>
      </c>
      <c r="O36" s="256" t="s">
        <v>591</v>
      </c>
      <c r="P36" s="256" t="s">
        <v>592</v>
      </c>
      <c r="Q36" s="258">
        <v>1</v>
      </c>
      <c r="R36" s="258">
        <v>150</v>
      </c>
      <c r="S36" s="258">
        <v>4800</v>
      </c>
      <c r="T36" s="258">
        <v>1</v>
      </c>
      <c r="U36" s="258">
        <v>0</v>
      </c>
      <c r="V36" s="258">
        <v>0</v>
      </c>
      <c r="W36" s="258">
        <v>150</v>
      </c>
      <c r="X36" s="258">
        <v>720</v>
      </c>
      <c r="Y36" s="258">
        <v>1</v>
      </c>
      <c r="Z36" s="258">
        <v>0</v>
      </c>
      <c r="AA36" s="258">
        <v>0</v>
      </c>
      <c r="AB36" s="258">
        <v>150</v>
      </c>
      <c r="AC36" s="258">
        <v>720</v>
      </c>
      <c r="AD36" s="258">
        <v>0</v>
      </c>
      <c r="AE36" s="258">
        <v>0</v>
      </c>
      <c r="AF36" s="258">
        <v>0</v>
      </c>
      <c r="AG36" s="258">
        <v>0</v>
      </c>
      <c r="AH36" s="258">
        <v>0</v>
      </c>
      <c r="AI36" s="258">
        <v>0</v>
      </c>
      <c r="AJ36" s="258">
        <v>0</v>
      </c>
      <c r="AK36" s="258">
        <v>0</v>
      </c>
      <c r="AL36" s="258">
        <v>0</v>
      </c>
      <c r="AM36" s="258">
        <v>0</v>
      </c>
      <c r="AN36" s="258">
        <v>0</v>
      </c>
      <c r="AO36" s="258">
        <v>0</v>
      </c>
      <c r="AP36" s="258">
        <v>0</v>
      </c>
      <c r="AQ36" s="258">
        <v>0</v>
      </c>
      <c r="AR36" s="258">
        <v>0</v>
      </c>
      <c r="AS36" s="258">
        <v>8208</v>
      </c>
      <c r="AT36" s="258">
        <v>8208</v>
      </c>
      <c r="AU36" s="258">
        <v>1231200</v>
      </c>
      <c r="AV36" s="256" t="s">
        <v>1018</v>
      </c>
      <c r="AW36" s="256" t="s">
        <v>594</v>
      </c>
      <c r="AX36" s="257" t="s">
        <v>595</v>
      </c>
      <c r="AY36" s="257" t="s">
        <v>595</v>
      </c>
      <c r="AZ36" s="256" t="s">
        <v>1003</v>
      </c>
      <c r="BA36" s="256" t="s">
        <v>1019</v>
      </c>
      <c r="BB36" s="256" t="s">
        <v>1020</v>
      </c>
      <c r="BC36" s="256" t="s">
        <v>1021</v>
      </c>
      <c r="BD36" s="256" t="s">
        <v>1022</v>
      </c>
      <c r="BE36" s="258">
        <v>251</v>
      </c>
      <c r="BF36" s="256" t="s">
        <v>1098</v>
      </c>
      <c r="BG36" s="256" t="s">
        <v>636</v>
      </c>
      <c r="BH36" s="257" t="s">
        <v>637</v>
      </c>
      <c r="BI36" s="256" t="s">
        <v>595</v>
      </c>
      <c r="BJ36" s="256" t="s">
        <v>601</v>
      </c>
      <c r="BK36" s="256" t="s">
        <v>595</v>
      </c>
      <c r="BL36" s="256" t="s">
        <v>595</v>
      </c>
      <c r="BM36" s="256" t="s">
        <v>595</v>
      </c>
      <c r="BN36" s="256" t="s">
        <v>594</v>
      </c>
      <c r="BO36" s="256" t="s">
        <v>638</v>
      </c>
      <c r="BP36" s="257" t="s">
        <v>639</v>
      </c>
      <c r="BQ36" s="256" t="s">
        <v>608</v>
      </c>
      <c r="BR36" s="256" t="s">
        <v>609</v>
      </c>
      <c r="BS36" s="256" t="s">
        <v>595</v>
      </c>
      <c r="BT36" s="91">
        <f t="shared" si="0"/>
        <v>46049</v>
      </c>
      <c r="BU36" s="91">
        <f t="array" ref="BU36">MIN(IF(H:H=H36,BT:BT ))</f>
        <v>46049</v>
      </c>
    </row>
    <row r="37" spans="1:73" x14ac:dyDescent="0.3">
      <c r="A37" s="256" t="s">
        <v>581</v>
      </c>
      <c r="B37" s="256" t="s">
        <v>582</v>
      </c>
      <c r="C37" s="256" t="s">
        <v>798</v>
      </c>
      <c r="D37" s="256" t="s">
        <v>1036</v>
      </c>
      <c r="E37" s="257" t="s">
        <v>1036</v>
      </c>
      <c r="F37" s="256" t="s">
        <v>583</v>
      </c>
      <c r="G37" s="257" t="s">
        <v>584</v>
      </c>
      <c r="H37" s="256">
        <v>332805</v>
      </c>
      <c r="I37" s="257" t="s">
        <v>640</v>
      </c>
      <c r="J37" s="256" t="s">
        <v>641</v>
      </c>
      <c r="K37" s="256" t="s">
        <v>580</v>
      </c>
      <c r="L37" s="256" t="s">
        <v>588</v>
      </c>
      <c r="M37" s="256" t="s">
        <v>589</v>
      </c>
      <c r="N37" s="256" t="s">
        <v>590</v>
      </c>
      <c r="O37" s="256" t="s">
        <v>591</v>
      </c>
      <c r="P37" s="256" t="s">
        <v>592</v>
      </c>
      <c r="Q37" s="258">
        <v>1</v>
      </c>
      <c r="R37" s="258">
        <v>150</v>
      </c>
      <c r="S37" s="258">
        <v>4800</v>
      </c>
      <c r="T37" s="258">
        <v>1</v>
      </c>
      <c r="U37" s="258">
        <v>0</v>
      </c>
      <c r="V37" s="258">
        <v>0</v>
      </c>
      <c r="W37" s="258">
        <v>150</v>
      </c>
      <c r="X37" s="258">
        <v>720</v>
      </c>
      <c r="Y37" s="258">
        <v>1</v>
      </c>
      <c r="Z37" s="258">
        <v>0</v>
      </c>
      <c r="AA37" s="258">
        <v>0</v>
      </c>
      <c r="AB37" s="258">
        <v>150</v>
      </c>
      <c r="AC37" s="258">
        <v>720</v>
      </c>
      <c r="AD37" s="258">
        <v>0</v>
      </c>
      <c r="AE37" s="258">
        <v>0</v>
      </c>
      <c r="AF37" s="258">
        <v>0</v>
      </c>
      <c r="AG37" s="258">
        <v>0</v>
      </c>
      <c r="AH37" s="258">
        <v>0</v>
      </c>
      <c r="AI37" s="258">
        <v>0</v>
      </c>
      <c r="AJ37" s="258">
        <v>0</v>
      </c>
      <c r="AK37" s="258">
        <v>0</v>
      </c>
      <c r="AL37" s="258">
        <v>0</v>
      </c>
      <c r="AM37" s="258">
        <v>0</v>
      </c>
      <c r="AN37" s="258">
        <v>0</v>
      </c>
      <c r="AO37" s="258">
        <v>0</v>
      </c>
      <c r="AP37" s="258">
        <v>0</v>
      </c>
      <c r="AQ37" s="258">
        <v>0</v>
      </c>
      <c r="AR37" s="258">
        <v>0</v>
      </c>
      <c r="AS37" s="258">
        <v>8208</v>
      </c>
      <c r="AT37" s="258">
        <v>8208</v>
      </c>
      <c r="AU37" s="258">
        <v>1231200</v>
      </c>
      <c r="AV37" s="256" t="s">
        <v>1018</v>
      </c>
      <c r="AW37" s="256" t="s">
        <v>594</v>
      </c>
      <c r="AX37" s="257" t="s">
        <v>595</v>
      </c>
      <c r="AY37" s="257" t="s">
        <v>595</v>
      </c>
      <c r="AZ37" s="256" t="s">
        <v>1003</v>
      </c>
      <c r="BA37" s="256" t="s">
        <v>1019</v>
      </c>
      <c r="BB37" s="256" t="s">
        <v>1020</v>
      </c>
      <c r="BC37" s="256" t="s">
        <v>1021</v>
      </c>
      <c r="BD37" s="256" t="s">
        <v>1022</v>
      </c>
      <c r="BE37" s="258">
        <v>251</v>
      </c>
      <c r="BF37" s="256" t="s">
        <v>1098</v>
      </c>
      <c r="BG37" s="256" t="s">
        <v>636</v>
      </c>
      <c r="BH37" s="257" t="s">
        <v>637</v>
      </c>
      <c r="BI37" s="256" t="s">
        <v>595</v>
      </c>
      <c r="BJ37" s="256" t="s">
        <v>601</v>
      </c>
      <c r="BK37" s="256" t="s">
        <v>595</v>
      </c>
      <c r="BL37" s="256" t="s">
        <v>595</v>
      </c>
      <c r="BM37" s="256" t="s">
        <v>595</v>
      </c>
      <c r="BN37" s="256" t="s">
        <v>594</v>
      </c>
      <c r="BO37" s="256" t="s">
        <v>638</v>
      </c>
      <c r="BP37" s="257" t="s">
        <v>639</v>
      </c>
      <c r="BQ37" s="256" t="s">
        <v>611</v>
      </c>
      <c r="BR37" s="256" t="s">
        <v>612</v>
      </c>
      <c r="BS37" s="256" t="s">
        <v>595</v>
      </c>
      <c r="BT37" s="91">
        <f t="shared" si="0"/>
        <v>46049</v>
      </c>
      <c r="BU37" s="91">
        <f t="array" ref="BU37">MIN(IF(H:H=H37,BT:BT ))</f>
        <v>46049</v>
      </c>
    </row>
    <row r="38" spans="1:73" x14ac:dyDescent="0.3">
      <c r="A38" s="256" t="s">
        <v>581</v>
      </c>
      <c r="B38" s="256" t="s">
        <v>582</v>
      </c>
      <c r="C38" s="256" t="s">
        <v>798</v>
      </c>
      <c r="D38" s="256" t="s">
        <v>1037</v>
      </c>
      <c r="E38" s="257" t="s">
        <v>1037</v>
      </c>
      <c r="F38" s="256" t="s">
        <v>583</v>
      </c>
      <c r="G38" s="257" t="s">
        <v>584</v>
      </c>
      <c r="H38" s="256">
        <v>332805</v>
      </c>
      <c r="I38" s="257" t="s">
        <v>640</v>
      </c>
      <c r="J38" s="256" t="s">
        <v>641</v>
      </c>
      <c r="K38" s="256" t="s">
        <v>580</v>
      </c>
      <c r="L38" s="256" t="s">
        <v>588</v>
      </c>
      <c r="M38" s="256" t="s">
        <v>589</v>
      </c>
      <c r="N38" s="256" t="s">
        <v>590</v>
      </c>
      <c r="O38" s="256" t="s">
        <v>591</v>
      </c>
      <c r="P38" s="256" t="s">
        <v>592</v>
      </c>
      <c r="Q38" s="258">
        <v>1</v>
      </c>
      <c r="R38" s="258">
        <v>150</v>
      </c>
      <c r="S38" s="258">
        <v>4800</v>
      </c>
      <c r="T38" s="258">
        <v>1</v>
      </c>
      <c r="U38" s="258">
        <v>0</v>
      </c>
      <c r="V38" s="258">
        <v>0</v>
      </c>
      <c r="W38" s="258">
        <v>150</v>
      </c>
      <c r="X38" s="258">
        <v>720</v>
      </c>
      <c r="Y38" s="258">
        <v>1</v>
      </c>
      <c r="Z38" s="258">
        <v>0</v>
      </c>
      <c r="AA38" s="258">
        <v>0</v>
      </c>
      <c r="AB38" s="258">
        <v>150</v>
      </c>
      <c r="AC38" s="258">
        <v>720</v>
      </c>
      <c r="AD38" s="258">
        <v>0</v>
      </c>
      <c r="AE38" s="258">
        <v>0</v>
      </c>
      <c r="AF38" s="258">
        <v>0</v>
      </c>
      <c r="AG38" s="258">
        <v>0</v>
      </c>
      <c r="AH38" s="258">
        <v>0</v>
      </c>
      <c r="AI38" s="258">
        <v>0</v>
      </c>
      <c r="AJ38" s="258">
        <v>0</v>
      </c>
      <c r="AK38" s="258">
        <v>0</v>
      </c>
      <c r="AL38" s="258">
        <v>0</v>
      </c>
      <c r="AM38" s="258">
        <v>0</v>
      </c>
      <c r="AN38" s="258">
        <v>0</v>
      </c>
      <c r="AO38" s="258">
        <v>0</v>
      </c>
      <c r="AP38" s="258">
        <v>0</v>
      </c>
      <c r="AQ38" s="258">
        <v>0</v>
      </c>
      <c r="AR38" s="258">
        <v>0</v>
      </c>
      <c r="AS38" s="258">
        <v>8208</v>
      </c>
      <c r="AT38" s="258">
        <v>8208</v>
      </c>
      <c r="AU38" s="258">
        <v>1231200</v>
      </c>
      <c r="AV38" s="256" t="s">
        <v>1018</v>
      </c>
      <c r="AW38" s="256" t="s">
        <v>594</v>
      </c>
      <c r="AX38" s="257" t="s">
        <v>595</v>
      </c>
      <c r="AY38" s="257" t="s">
        <v>595</v>
      </c>
      <c r="AZ38" s="256" t="s">
        <v>1003</v>
      </c>
      <c r="BA38" s="256" t="s">
        <v>1019</v>
      </c>
      <c r="BB38" s="256" t="s">
        <v>1020</v>
      </c>
      <c r="BC38" s="256" t="s">
        <v>1021</v>
      </c>
      <c r="BD38" s="256" t="s">
        <v>1022</v>
      </c>
      <c r="BE38" s="258">
        <v>251</v>
      </c>
      <c r="BF38" s="256" t="s">
        <v>1098</v>
      </c>
      <c r="BG38" s="256" t="s">
        <v>636</v>
      </c>
      <c r="BH38" s="257" t="s">
        <v>637</v>
      </c>
      <c r="BI38" s="256" t="s">
        <v>595</v>
      </c>
      <c r="BJ38" s="256" t="s">
        <v>601</v>
      </c>
      <c r="BK38" s="256" t="s">
        <v>595</v>
      </c>
      <c r="BL38" s="256" t="s">
        <v>595</v>
      </c>
      <c r="BM38" s="256" t="s">
        <v>595</v>
      </c>
      <c r="BN38" s="256" t="s">
        <v>594</v>
      </c>
      <c r="BO38" s="256" t="s">
        <v>638</v>
      </c>
      <c r="BP38" s="257" t="s">
        <v>639</v>
      </c>
      <c r="BQ38" s="256" t="s">
        <v>608</v>
      </c>
      <c r="BR38" s="256" t="s">
        <v>609</v>
      </c>
      <c r="BS38" s="256" t="s">
        <v>595</v>
      </c>
      <c r="BT38" s="91">
        <f t="shared" si="0"/>
        <v>46049</v>
      </c>
      <c r="BU38" s="91">
        <f t="array" ref="BU38">MIN(IF(H:H=H38,BT:BT ))</f>
        <v>46049</v>
      </c>
    </row>
    <row r="39" spans="1:73" x14ac:dyDescent="0.3">
      <c r="A39" s="256" t="s">
        <v>581</v>
      </c>
      <c r="B39" s="256" t="s">
        <v>582</v>
      </c>
      <c r="C39" s="256" t="s">
        <v>798</v>
      </c>
      <c r="D39" s="256" t="s">
        <v>1038</v>
      </c>
      <c r="E39" s="257" t="s">
        <v>1038</v>
      </c>
      <c r="F39" s="256" t="s">
        <v>583</v>
      </c>
      <c r="G39" s="257" t="s">
        <v>584</v>
      </c>
      <c r="H39" s="256">
        <v>332805</v>
      </c>
      <c r="I39" s="257" t="s">
        <v>640</v>
      </c>
      <c r="J39" s="256" t="s">
        <v>641</v>
      </c>
      <c r="K39" s="256" t="s">
        <v>580</v>
      </c>
      <c r="L39" s="256" t="s">
        <v>588</v>
      </c>
      <c r="M39" s="256" t="s">
        <v>589</v>
      </c>
      <c r="N39" s="256" t="s">
        <v>590</v>
      </c>
      <c r="O39" s="256" t="s">
        <v>591</v>
      </c>
      <c r="P39" s="256" t="s">
        <v>592</v>
      </c>
      <c r="Q39" s="258">
        <v>1</v>
      </c>
      <c r="R39" s="258">
        <v>150</v>
      </c>
      <c r="S39" s="258">
        <v>4800</v>
      </c>
      <c r="T39" s="258">
        <v>1</v>
      </c>
      <c r="U39" s="258">
        <v>0</v>
      </c>
      <c r="V39" s="258">
        <v>0</v>
      </c>
      <c r="W39" s="258">
        <v>150</v>
      </c>
      <c r="X39" s="258">
        <v>720</v>
      </c>
      <c r="Y39" s="258">
        <v>1</v>
      </c>
      <c r="Z39" s="258">
        <v>0</v>
      </c>
      <c r="AA39" s="258">
        <v>0</v>
      </c>
      <c r="AB39" s="258">
        <v>150</v>
      </c>
      <c r="AC39" s="258">
        <v>720</v>
      </c>
      <c r="AD39" s="258">
        <v>0</v>
      </c>
      <c r="AE39" s="258">
        <v>0</v>
      </c>
      <c r="AF39" s="258">
        <v>0</v>
      </c>
      <c r="AG39" s="258">
        <v>0</v>
      </c>
      <c r="AH39" s="258">
        <v>0</v>
      </c>
      <c r="AI39" s="258">
        <v>0</v>
      </c>
      <c r="AJ39" s="258">
        <v>0</v>
      </c>
      <c r="AK39" s="258">
        <v>0</v>
      </c>
      <c r="AL39" s="258">
        <v>0</v>
      </c>
      <c r="AM39" s="258">
        <v>0</v>
      </c>
      <c r="AN39" s="258">
        <v>0</v>
      </c>
      <c r="AO39" s="258">
        <v>0</v>
      </c>
      <c r="AP39" s="258">
        <v>0</v>
      </c>
      <c r="AQ39" s="258">
        <v>0</v>
      </c>
      <c r="AR39" s="258">
        <v>0</v>
      </c>
      <c r="AS39" s="258">
        <v>8208</v>
      </c>
      <c r="AT39" s="258">
        <v>8208</v>
      </c>
      <c r="AU39" s="258">
        <v>1231200</v>
      </c>
      <c r="AV39" s="256" t="s">
        <v>1018</v>
      </c>
      <c r="AW39" s="256" t="s">
        <v>594</v>
      </c>
      <c r="AX39" s="257" t="s">
        <v>595</v>
      </c>
      <c r="AY39" s="257" t="s">
        <v>595</v>
      </c>
      <c r="AZ39" s="256" t="s">
        <v>1003</v>
      </c>
      <c r="BA39" s="256" t="s">
        <v>1019</v>
      </c>
      <c r="BB39" s="256" t="s">
        <v>1020</v>
      </c>
      <c r="BC39" s="256" t="s">
        <v>1021</v>
      </c>
      <c r="BD39" s="256" t="s">
        <v>1022</v>
      </c>
      <c r="BE39" s="258">
        <v>251</v>
      </c>
      <c r="BF39" s="256" t="s">
        <v>1098</v>
      </c>
      <c r="BG39" s="256" t="s">
        <v>636</v>
      </c>
      <c r="BH39" s="257" t="s">
        <v>637</v>
      </c>
      <c r="BI39" s="256" t="s">
        <v>595</v>
      </c>
      <c r="BJ39" s="256" t="s">
        <v>601</v>
      </c>
      <c r="BK39" s="256" t="s">
        <v>595</v>
      </c>
      <c r="BL39" s="256" t="s">
        <v>595</v>
      </c>
      <c r="BM39" s="256" t="s">
        <v>595</v>
      </c>
      <c r="BN39" s="256" t="s">
        <v>594</v>
      </c>
      <c r="BO39" s="256" t="s">
        <v>638</v>
      </c>
      <c r="BP39" s="257" t="s">
        <v>639</v>
      </c>
      <c r="BQ39" s="256" t="s">
        <v>615</v>
      </c>
      <c r="BR39" s="256" t="s">
        <v>616</v>
      </c>
      <c r="BS39" s="256" t="s">
        <v>595</v>
      </c>
      <c r="BT39" s="91">
        <f t="shared" si="0"/>
        <v>46049</v>
      </c>
      <c r="BU39" s="91">
        <f t="array" ref="BU39">MIN(IF(H:H=H39,BT:BT ))</f>
        <v>46049</v>
      </c>
    </row>
    <row r="40" spans="1:73" x14ac:dyDescent="0.3">
      <c r="A40" s="256" t="s">
        <v>581</v>
      </c>
      <c r="B40" s="256" t="s">
        <v>582</v>
      </c>
      <c r="C40" s="256" t="s">
        <v>798</v>
      </c>
      <c r="D40" s="256" t="s">
        <v>1039</v>
      </c>
      <c r="E40" s="257" t="s">
        <v>1039</v>
      </c>
      <c r="F40" s="256" t="s">
        <v>583</v>
      </c>
      <c r="G40" s="257" t="s">
        <v>584</v>
      </c>
      <c r="H40" s="256">
        <v>332805</v>
      </c>
      <c r="I40" s="257" t="s">
        <v>640</v>
      </c>
      <c r="J40" s="256" t="s">
        <v>641</v>
      </c>
      <c r="K40" s="256" t="s">
        <v>580</v>
      </c>
      <c r="L40" s="256" t="s">
        <v>588</v>
      </c>
      <c r="M40" s="256" t="s">
        <v>589</v>
      </c>
      <c r="N40" s="256" t="s">
        <v>590</v>
      </c>
      <c r="O40" s="256" t="s">
        <v>591</v>
      </c>
      <c r="P40" s="256" t="s">
        <v>592</v>
      </c>
      <c r="Q40" s="258">
        <v>1</v>
      </c>
      <c r="R40" s="258">
        <v>150</v>
      </c>
      <c r="S40" s="258">
        <v>4800</v>
      </c>
      <c r="T40" s="258">
        <v>1</v>
      </c>
      <c r="U40" s="258">
        <v>0</v>
      </c>
      <c r="V40" s="258">
        <v>0</v>
      </c>
      <c r="W40" s="258">
        <v>150</v>
      </c>
      <c r="X40" s="258">
        <v>720</v>
      </c>
      <c r="Y40" s="258">
        <v>1</v>
      </c>
      <c r="Z40" s="258">
        <v>0</v>
      </c>
      <c r="AA40" s="258">
        <v>0</v>
      </c>
      <c r="AB40" s="258">
        <v>150</v>
      </c>
      <c r="AC40" s="258">
        <v>720</v>
      </c>
      <c r="AD40" s="258">
        <v>0</v>
      </c>
      <c r="AE40" s="258">
        <v>0</v>
      </c>
      <c r="AF40" s="258">
        <v>0</v>
      </c>
      <c r="AG40" s="258">
        <v>0</v>
      </c>
      <c r="AH40" s="258">
        <v>0</v>
      </c>
      <c r="AI40" s="258">
        <v>0</v>
      </c>
      <c r="AJ40" s="258">
        <v>0</v>
      </c>
      <c r="AK40" s="258">
        <v>0</v>
      </c>
      <c r="AL40" s="258">
        <v>0</v>
      </c>
      <c r="AM40" s="258">
        <v>0</v>
      </c>
      <c r="AN40" s="258">
        <v>0</v>
      </c>
      <c r="AO40" s="258">
        <v>0</v>
      </c>
      <c r="AP40" s="258">
        <v>0</v>
      </c>
      <c r="AQ40" s="258">
        <v>0</v>
      </c>
      <c r="AR40" s="258">
        <v>0</v>
      </c>
      <c r="AS40" s="258">
        <v>8208</v>
      </c>
      <c r="AT40" s="258">
        <v>8208</v>
      </c>
      <c r="AU40" s="258">
        <v>1231200</v>
      </c>
      <c r="AV40" s="256" t="s">
        <v>1018</v>
      </c>
      <c r="AW40" s="256" t="s">
        <v>594</v>
      </c>
      <c r="AX40" s="257" t="s">
        <v>595</v>
      </c>
      <c r="AY40" s="257" t="s">
        <v>595</v>
      </c>
      <c r="AZ40" s="256" t="s">
        <v>1003</v>
      </c>
      <c r="BA40" s="256" t="s">
        <v>1019</v>
      </c>
      <c r="BB40" s="256" t="s">
        <v>1020</v>
      </c>
      <c r="BC40" s="256" t="s">
        <v>1021</v>
      </c>
      <c r="BD40" s="256" t="s">
        <v>1022</v>
      </c>
      <c r="BE40" s="258">
        <v>251</v>
      </c>
      <c r="BF40" s="256" t="s">
        <v>1098</v>
      </c>
      <c r="BG40" s="256" t="s">
        <v>636</v>
      </c>
      <c r="BH40" s="257" t="s">
        <v>637</v>
      </c>
      <c r="BI40" s="256" t="s">
        <v>595</v>
      </c>
      <c r="BJ40" s="256" t="s">
        <v>601</v>
      </c>
      <c r="BK40" s="256" t="s">
        <v>595</v>
      </c>
      <c r="BL40" s="256" t="s">
        <v>595</v>
      </c>
      <c r="BM40" s="256" t="s">
        <v>595</v>
      </c>
      <c r="BN40" s="256" t="s">
        <v>594</v>
      </c>
      <c r="BO40" s="256" t="s">
        <v>638</v>
      </c>
      <c r="BP40" s="257" t="s">
        <v>639</v>
      </c>
      <c r="BQ40" s="256" t="s">
        <v>608</v>
      </c>
      <c r="BR40" s="256" t="s">
        <v>609</v>
      </c>
      <c r="BS40" s="256" t="s">
        <v>595</v>
      </c>
      <c r="BT40" s="91">
        <f t="shared" si="0"/>
        <v>46049</v>
      </c>
      <c r="BU40" s="91">
        <f t="array" ref="BU40">MIN(IF(H:H=H40,BT:BT ))</f>
        <v>46049</v>
      </c>
    </row>
    <row r="41" spans="1:73" x14ac:dyDescent="0.3">
      <c r="A41" s="256" t="s">
        <v>581</v>
      </c>
      <c r="B41" s="256" t="s">
        <v>582</v>
      </c>
      <c r="C41" s="256" t="s">
        <v>649</v>
      </c>
      <c r="D41" s="256" t="s">
        <v>650</v>
      </c>
      <c r="E41" s="257" t="s">
        <v>650</v>
      </c>
      <c r="F41" s="256" t="s">
        <v>583</v>
      </c>
      <c r="G41" s="257" t="s">
        <v>584</v>
      </c>
      <c r="H41" s="256">
        <v>323769</v>
      </c>
      <c r="I41" s="257" t="s">
        <v>651</v>
      </c>
      <c r="J41" s="256" t="s">
        <v>652</v>
      </c>
      <c r="K41" s="256" t="s">
        <v>621</v>
      </c>
      <c r="L41" s="256" t="s">
        <v>653</v>
      </c>
      <c r="M41" s="256" t="s">
        <v>654</v>
      </c>
      <c r="N41" s="256" t="s">
        <v>655</v>
      </c>
      <c r="O41" s="256" t="s">
        <v>591</v>
      </c>
      <c r="P41" s="256" t="s">
        <v>592</v>
      </c>
      <c r="Q41" s="258">
        <v>10</v>
      </c>
      <c r="R41" s="258">
        <v>500</v>
      </c>
      <c r="S41" s="258">
        <v>1000</v>
      </c>
      <c r="T41" s="258">
        <v>1</v>
      </c>
      <c r="U41" s="258">
        <v>0</v>
      </c>
      <c r="V41" s="258">
        <v>0</v>
      </c>
      <c r="W41" s="258">
        <v>500</v>
      </c>
      <c r="X41" s="258">
        <v>500</v>
      </c>
      <c r="Y41" s="258">
        <v>1</v>
      </c>
      <c r="Z41" s="258">
        <v>0</v>
      </c>
      <c r="AA41" s="258">
        <v>0</v>
      </c>
      <c r="AB41" s="258">
        <v>500</v>
      </c>
      <c r="AC41" s="258">
        <v>500</v>
      </c>
      <c r="AD41" s="258">
        <v>0</v>
      </c>
      <c r="AE41" s="258">
        <v>0</v>
      </c>
      <c r="AF41" s="258">
        <v>0</v>
      </c>
      <c r="AG41" s="258">
        <v>0</v>
      </c>
      <c r="AH41" s="258">
        <v>0</v>
      </c>
      <c r="AI41" s="258">
        <v>0</v>
      </c>
      <c r="AJ41" s="258">
        <v>0</v>
      </c>
      <c r="AK41" s="258">
        <v>0</v>
      </c>
      <c r="AL41" s="258">
        <v>0</v>
      </c>
      <c r="AM41" s="258">
        <v>0</v>
      </c>
      <c r="AN41" s="258">
        <v>0</v>
      </c>
      <c r="AO41" s="258">
        <v>0</v>
      </c>
      <c r="AP41" s="258">
        <v>0</v>
      </c>
      <c r="AQ41" s="258">
        <v>0</v>
      </c>
      <c r="AR41" s="258">
        <v>0</v>
      </c>
      <c r="AS41" s="258">
        <v>8300</v>
      </c>
      <c r="AT41" s="258">
        <v>8300</v>
      </c>
      <c r="AU41" s="258">
        <v>4150000</v>
      </c>
      <c r="AV41" s="256" t="s">
        <v>656</v>
      </c>
      <c r="AW41" s="256" t="s">
        <v>594</v>
      </c>
      <c r="AX41" s="257" t="s">
        <v>595</v>
      </c>
      <c r="AY41" s="257" t="s">
        <v>595</v>
      </c>
      <c r="AZ41" s="256" t="s">
        <v>657</v>
      </c>
      <c r="BA41" s="256" t="s">
        <v>658</v>
      </c>
      <c r="BB41" s="256" t="s">
        <v>659</v>
      </c>
      <c r="BC41" s="256" t="s">
        <v>993</v>
      </c>
      <c r="BD41" s="256" t="s">
        <v>670</v>
      </c>
      <c r="BE41" s="258">
        <v>127</v>
      </c>
      <c r="BF41" s="256" t="s">
        <v>1099</v>
      </c>
      <c r="BG41" s="256" t="s">
        <v>660</v>
      </c>
      <c r="BH41" s="257" t="s">
        <v>661</v>
      </c>
      <c r="BI41" s="256" t="s">
        <v>595</v>
      </c>
      <c r="BJ41" s="256" t="s">
        <v>601</v>
      </c>
      <c r="BK41" s="256" t="s">
        <v>595</v>
      </c>
      <c r="BL41" s="256" t="s">
        <v>595</v>
      </c>
      <c r="BM41" s="256" t="s">
        <v>595</v>
      </c>
      <c r="BN41" s="256" t="s">
        <v>594</v>
      </c>
      <c r="BO41" s="256" t="s">
        <v>602</v>
      </c>
      <c r="BP41" s="257" t="s">
        <v>603</v>
      </c>
      <c r="BQ41" s="256" t="s">
        <v>608</v>
      </c>
      <c r="BR41" s="256" t="s">
        <v>609</v>
      </c>
      <c r="BS41" s="256" t="s">
        <v>595</v>
      </c>
      <c r="BT41" s="91">
        <f t="shared" si="0"/>
        <v>45925</v>
      </c>
      <c r="BU41" s="91">
        <f t="array" ref="BU41">MIN(IF(H:H=H41,BT:BT ))</f>
        <v>45911</v>
      </c>
    </row>
    <row r="42" spans="1:73" x14ac:dyDescent="0.3">
      <c r="A42" s="256" t="s">
        <v>581</v>
      </c>
      <c r="B42" s="256" t="s">
        <v>582</v>
      </c>
      <c r="C42" s="256" t="s">
        <v>649</v>
      </c>
      <c r="D42" s="256" t="s">
        <v>662</v>
      </c>
      <c r="E42" s="257" t="s">
        <v>662</v>
      </c>
      <c r="F42" s="256" t="s">
        <v>583</v>
      </c>
      <c r="G42" s="257" t="s">
        <v>584</v>
      </c>
      <c r="H42" s="256">
        <v>323769</v>
      </c>
      <c r="I42" s="257" t="s">
        <v>651</v>
      </c>
      <c r="J42" s="256" t="s">
        <v>652</v>
      </c>
      <c r="K42" s="256" t="s">
        <v>621</v>
      </c>
      <c r="L42" s="256" t="s">
        <v>653</v>
      </c>
      <c r="M42" s="256" t="s">
        <v>654</v>
      </c>
      <c r="N42" s="256" t="s">
        <v>655</v>
      </c>
      <c r="O42" s="256" t="s">
        <v>591</v>
      </c>
      <c r="P42" s="256" t="s">
        <v>592</v>
      </c>
      <c r="Q42" s="258">
        <v>10</v>
      </c>
      <c r="R42" s="258">
        <v>500</v>
      </c>
      <c r="S42" s="258">
        <v>1000</v>
      </c>
      <c r="T42" s="258">
        <v>1</v>
      </c>
      <c r="U42" s="258">
        <v>0</v>
      </c>
      <c r="V42" s="258">
        <v>0</v>
      </c>
      <c r="W42" s="258">
        <v>500</v>
      </c>
      <c r="X42" s="258">
        <v>500</v>
      </c>
      <c r="Y42" s="258">
        <v>1</v>
      </c>
      <c r="Z42" s="258">
        <v>0</v>
      </c>
      <c r="AA42" s="258">
        <v>0</v>
      </c>
      <c r="AB42" s="258">
        <v>500</v>
      </c>
      <c r="AC42" s="258">
        <v>500</v>
      </c>
      <c r="AD42" s="258">
        <v>0</v>
      </c>
      <c r="AE42" s="258">
        <v>0</v>
      </c>
      <c r="AF42" s="258">
        <v>0</v>
      </c>
      <c r="AG42" s="258">
        <v>0</v>
      </c>
      <c r="AH42" s="258">
        <v>0</v>
      </c>
      <c r="AI42" s="258">
        <v>0</v>
      </c>
      <c r="AJ42" s="258">
        <v>0</v>
      </c>
      <c r="AK42" s="258">
        <v>0</v>
      </c>
      <c r="AL42" s="258">
        <v>0</v>
      </c>
      <c r="AM42" s="258">
        <v>0</v>
      </c>
      <c r="AN42" s="258">
        <v>0</v>
      </c>
      <c r="AO42" s="258">
        <v>0</v>
      </c>
      <c r="AP42" s="258">
        <v>0</v>
      </c>
      <c r="AQ42" s="258">
        <v>0</v>
      </c>
      <c r="AR42" s="258">
        <v>0</v>
      </c>
      <c r="AS42" s="258">
        <v>8300</v>
      </c>
      <c r="AT42" s="258">
        <v>8300</v>
      </c>
      <c r="AU42" s="258">
        <v>4150000</v>
      </c>
      <c r="AV42" s="256" t="s">
        <v>656</v>
      </c>
      <c r="AW42" s="256" t="s">
        <v>594</v>
      </c>
      <c r="AX42" s="257" t="s">
        <v>595</v>
      </c>
      <c r="AY42" s="257" t="s">
        <v>595</v>
      </c>
      <c r="AZ42" s="256" t="s">
        <v>657</v>
      </c>
      <c r="BA42" s="256" t="s">
        <v>658</v>
      </c>
      <c r="BB42" s="256" t="s">
        <v>659</v>
      </c>
      <c r="BC42" s="256" t="s">
        <v>993</v>
      </c>
      <c r="BD42" s="256" t="s">
        <v>670</v>
      </c>
      <c r="BE42" s="258">
        <v>127</v>
      </c>
      <c r="BF42" s="256" t="s">
        <v>1099</v>
      </c>
      <c r="BG42" s="256" t="s">
        <v>660</v>
      </c>
      <c r="BH42" s="257" t="s">
        <v>661</v>
      </c>
      <c r="BI42" s="256" t="s">
        <v>595</v>
      </c>
      <c r="BJ42" s="256" t="s">
        <v>601</v>
      </c>
      <c r="BK42" s="256" t="s">
        <v>595</v>
      </c>
      <c r="BL42" s="256" t="s">
        <v>595</v>
      </c>
      <c r="BM42" s="256" t="s">
        <v>595</v>
      </c>
      <c r="BN42" s="256" t="s">
        <v>594</v>
      </c>
      <c r="BO42" s="256" t="s">
        <v>602</v>
      </c>
      <c r="BP42" s="257" t="s">
        <v>603</v>
      </c>
      <c r="BQ42" s="256" t="s">
        <v>608</v>
      </c>
      <c r="BR42" s="256" t="s">
        <v>609</v>
      </c>
      <c r="BS42" s="256" t="s">
        <v>595</v>
      </c>
      <c r="BT42" s="91">
        <f t="shared" si="0"/>
        <v>45925</v>
      </c>
      <c r="BU42" s="91">
        <f t="array" ref="BU42">MIN(IF(H:H=H42,BT:BT ))</f>
        <v>45911</v>
      </c>
    </row>
    <row r="43" spans="1:73" x14ac:dyDescent="0.3">
      <c r="A43" s="256" t="s">
        <v>581</v>
      </c>
      <c r="B43" s="256" t="s">
        <v>582</v>
      </c>
      <c r="C43" s="256" t="s">
        <v>649</v>
      </c>
      <c r="D43" s="256" t="s">
        <v>663</v>
      </c>
      <c r="E43" s="257" t="s">
        <v>663</v>
      </c>
      <c r="F43" s="256" t="s">
        <v>583</v>
      </c>
      <c r="G43" s="257" t="s">
        <v>584</v>
      </c>
      <c r="H43" s="256">
        <v>323769</v>
      </c>
      <c r="I43" s="257" t="s">
        <v>651</v>
      </c>
      <c r="J43" s="256" t="s">
        <v>652</v>
      </c>
      <c r="K43" s="256" t="s">
        <v>621</v>
      </c>
      <c r="L43" s="256" t="s">
        <v>653</v>
      </c>
      <c r="M43" s="256" t="s">
        <v>654</v>
      </c>
      <c r="N43" s="256" t="s">
        <v>655</v>
      </c>
      <c r="O43" s="256" t="s">
        <v>591</v>
      </c>
      <c r="P43" s="256" t="s">
        <v>592</v>
      </c>
      <c r="Q43" s="258">
        <v>10</v>
      </c>
      <c r="R43" s="258">
        <v>500</v>
      </c>
      <c r="S43" s="258">
        <v>1000</v>
      </c>
      <c r="T43" s="258">
        <v>1</v>
      </c>
      <c r="U43" s="258">
        <v>0</v>
      </c>
      <c r="V43" s="258">
        <v>0</v>
      </c>
      <c r="W43" s="258">
        <v>500</v>
      </c>
      <c r="X43" s="258">
        <v>500</v>
      </c>
      <c r="Y43" s="258">
        <v>1</v>
      </c>
      <c r="Z43" s="258">
        <v>0</v>
      </c>
      <c r="AA43" s="258">
        <v>0</v>
      </c>
      <c r="AB43" s="258">
        <v>500</v>
      </c>
      <c r="AC43" s="258">
        <v>500</v>
      </c>
      <c r="AD43" s="258">
        <v>0</v>
      </c>
      <c r="AE43" s="258">
        <v>0</v>
      </c>
      <c r="AF43" s="258">
        <v>0</v>
      </c>
      <c r="AG43" s="258">
        <v>0</v>
      </c>
      <c r="AH43" s="258">
        <v>0</v>
      </c>
      <c r="AI43" s="258">
        <v>0</v>
      </c>
      <c r="AJ43" s="258">
        <v>0</v>
      </c>
      <c r="AK43" s="258">
        <v>0</v>
      </c>
      <c r="AL43" s="258">
        <v>0</v>
      </c>
      <c r="AM43" s="258">
        <v>0</v>
      </c>
      <c r="AN43" s="258">
        <v>0</v>
      </c>
      <c r="AO43" s="258">
        <v>0</v>
      </c>
      <c r="AP43" s="258">
        <v>0</v>
      </c>
      <c r="AQ43" s="258">
        <v>0</v>
      </c>
      <c r="AR43" s="258">
        <v>0</v>
      </c>
      <c r="AS43" s="258">
        <v>8300</v>
      </c>
      <c r="AT43" s="258">
        <v>8300</v>
      </c>
      <c r="AU43" s="258">
        <v>4150000</v>
      </c>
      <c r="AV43" s="256" t="s">
        <v>656</v>
      </c>
      <c r="AW43" s="256" t="s">
        <v>594</v>
      </c>
      <c r="AX43" s="257" t="s">
        <v>595</v>
      </c>
      <c r="AY43" s="257" t="s">
        <v>595</v>
      </c>
      <c r="AZ43" s="256" t="s">
        <v>657</v>
      </c>
      <c r="BA43" s="256" t="s">
        <v>658</v>
      </c>
      <c r="BB43" s="256" t="s">
        <v>659</v>
      </c>
      <c r="BC43" s="256" t="s">
        <v>993</v>
      </c>
      <c r="BD43" s="256" t="s">
        <v>670</v>
      </c>
      <c r="BE43" s="258">
        <v>127</v>
      </c>
      <c r="BF43" s="256" t="s">
        <v>1099</v>
      </c>
      <c r="BG43" s="256" t="s">
        <v>660</v>
      </c>
      <c r="BH43" s="257" t="s">
        <v>661</v>
      </c>
      <c r="BI43" s="256" t="s">
        <v>595</v>
      </c>
      <c r="BJ43" s="256" t="s">
        <v>601</v>
      </c>
      <c r="BK43" s="256" t="s">
        <v>595</v>
      </c>
      <c r="BL43" s="256" t="s">
        <v>595</v>
      </c>
      <c r="BM43" s="256" t="s">
        <v>595</v>
      </c>
      <c r="BN43" s="256" t="s">
        <v>594</v>
      </c>
      <c r="BO43" s="256" t="s">
        <v>602</v>
      </c>
      <c r="BP43" s="257" t="s">
        <v>603</v>
      </c>
      <c r="BQ43" s="256" t="s">
        <v>608</v>
      </c>
      <c r="BR43" s="256" t="s">
        <v>609</v>
      </c>
      <c r="BS43" s="256" t="s">
        <v>595</v>
      </c>
      <c r="BT43" s="91">
        <f t="shared" si="0"/>
        <v>45925</v>
      </c>
      <c r="BU43" s="91">
        <f t="array" ref="BU43">MIN(IF(H:H=H43,BT:BT ))</f>
        <v>45911</v>
      </c>
    </row>
    <row r="44" spans="1:73" x14ac:dyDescent="0.3">
      <c r="A44" s="256" t="s">
        <v>581</v>
      </c>
      <c r="B44" s="256" t="s">
        <v>582</v>
      </c>
      <c r="C44" s="256" t="s">
        <v>649</v>
      </c>
      <c r="D44" s="256" t="s">
        <v>665</v>
      </c>
      <c r="E44" s="257" t="s">
        <v>665</v>
      </c>
      <c r="F44" s="256" t="s">
        <v>583</v>
      </c>
      <c r="G44" s="257" t="s">
        <v>584</v>
      </c>
      <c r="H44" s="256">
        <v>323769</v>
      </c>
      <c r="I44" s="257" t="s">
        <v>651</v>
      </c>
      <c r="J44" s="256" t="s">
        <v>652</v>
      </c>
      <c r="K44" s="256" t="s">
        <v>621</v>
      </c>
      <c r="L44" s="256" t="s">
        <v>653</v>
      </c>
      <c r="M44" s="256" t="s">
        <v>654</v>
      </c>
      <c r="N44" s="256" t="s">
        <v>655</v>
      </c>
      <c r="O44" s="256" t="s">
        <v>591</v>
      </c>
      <c r="P44" s="256" t="s">
        <v>592</v>
      </c>
      <c r="Q44" s="258">
        <v>10</v>
      </c>
      <c r="R44" s="258">
        <v>500</v>
      </c>
      <c r="S44" s="258">
        <v>1000</v>
      </c>
      <c r="T44" s="258">
        <v>0</v>
      </c>
      <c r="U44" s="258">
        <v>37</v>
      </c>
      <c r="V44" s="258">
        <v>6</v>
      </c>
      <c r="W44" s="258">
        <v>376</v>
      </c>
      <c r="X44" s="258">
        <v>376</v>
      </c>
      <c r="Y44" s="258">
        <v>0</v>
      </c>
      <c r="Z44" s="258">
        <v>37</v>
      </c>
      <c r="AA44" s="258">
        <v>6</v>
      </c>
      <c r="AB44" s="258">
        <v>376</v>
      </c>
      <c r="AC44" s="258">
        <v>376</v>
      </c>
      <c r="AD44" s="258">
        <v>0</v>
      </c>
      <c r="AE44" s="258">
        <v>0</v>
      </c>
      <c r="AF44" s="258">
        <v>0</v>
      </c>
      <c r="AG44" s="258">
        <v>0</v>
      </c>
      <c r="AH44" s="258">
        <v>0</v>
      </c>
      <c r="AI44" s="258">
        <v>0</v>
      </c>
      <c r="AJ44" s="258">
        <v>0</v>
      </c>
      <c r="AK44" s="258">
        <v>0</v>
      </c>
      <c r="AL44" s="258">
        <v>0</v>
      </c>
      <c r="AM44" s="258">
        <v>0</v>
      </c>
      <c r="AN44" s="258">
        <v>0</v>
      </c>
      <c r="AO44" s="258">
        <v>0</v>
      </c>
      <c r="AP44" s="258">
        <v>0</v>
      </c>
      <c r="AQ44" s="258">
        <v>0</v>
      </c>
      <c r="AR44" s="258">
        <v>0</v>
      </c>
      <c r="AS44" s="258">
        <v>8300</v>
      </c>
      <c r="AT44" s="258">
        <v>8300</v>
      </c>
      <c r="AU44" s="258">
        <v>3120800</v>
      </c>
      <c r="AV44" s="256" t="s">
        <v>656</v>
      </c>
      <c r="AW44" s="256" t="s">
        <v>594</v>
      </c>
      <c r="AX44" s="257" t="s">
        <v>595</v>
      </c>
      <c r="AY44" s="257" t="s">
        <v>595</v>
      </c>
      <c r="AZ44" s="256" t="s">
        <v>657</v>
      </c>
      <c r="BA44" s="256" t="s">
        <v>658</v>
      </c>
      <c r="BB44" s="256" t="s">
        <v>659</v>
      </c>
      <c r="BC44" s="256" t="s">
        <v>993</v>
      </c>
      <c r="BD44" s="256" t="s">
        <v>670</v>
      </c>
      <c r="BE44" s="258">
        <v>127</v>
      </c>
      <c r="BF44" s="256" t="s">
        <v>1099</v>
      </c>
      <c r="BG44" s="256" t="s">
        <v>660</v>
      </c>
      <c r="BH44" s="257" t="s">
        <v>661</v>
      </c>
      <c r="BI44" s="256" t="s">
        <v>595</v>
      </c>
      <c r="BJ44" s="256" t="s">
        <v>601</v>
      </c>
      <c r="BK44" s="256" t="s">
        <v>595</v>
      </c>
      <c r="BL44" s="256" t="s">
        <v>595</v>
      </c>
      <c r="BM44" s="256" t="s">
        <v>595</v>
      </c>
      <c r="BN44" s="256" t="s">
        <v>594</v>
      </c>
      <c r="BO44" s="256" t="s">
        <v>602</v>
      </c>
      <c r="BP44" s="257" t="s">
        <v>603</v>
      </c>
      <c r="BQ44" s="256" t="s">
        <v>608</v>
      </c>
      <c r="BR44" s="256" t="s">
        <v>609</v>
      </c>
      <c r="BS44" s="256" t="s">
        <v>595</v>
      </c>
      <c r="BT44" s="91">
        <f t="shared" si="0"/>
        <v>45925</v>
      </c>
      <c r="BU44" s="91">
        <f t="array" ref="BU44">MIN(IF(H:H=H44,BT:BT ))</f>
        <v>45911</v>
      </c>
    </row>
    <row r="45" spans="1:73" x14ac:dyDescent="0.3">
      <c r="A45" s="256" t="s">
        <v>581</v>
      </c>
      <c r="B45" s="256" t="s">
        <v>582</v>
      </c>
      <c r="C45" s="256" t="s">
        <v>649</v>
      </c>
      <c r="D45" s="256" t="s">
        <v>666</v>
      </c>
      <c r="E45" s="257" t="s">
        <v>666</v>
      </c>
      <c r="F45" s="256" t="s">
        <v>583</v>
      </c>
      <c r="G45" s="257" t="s">
        <v>584</v>
      </c>
      <c r="H45" s="256">
        <v>323769</v>
      </c>
      <c r="I45" s="257" t="s">
        <v>651</v>
      </c>
      <c r="J45" s="256" t="s">
        <v>652</v>
      </c>
      <c r="K45" s="256" t="s">
        <v>621</v>
      </c>
      <c r="L45" s="256" t="s">
        <v>653</v>
      </c>
      <c r="M45" s="256" t="s">
        <v>654</v>
      </c>
      <c r="N45" s="256" t="s">
        <v>655</v>
      </c>
      <c r="O45" s="256" t="s">
        <v>591</v>
      </c>
      <c r="P45" s="256" t="s">
        <v>592</v>
      </c>
      <c r="Q45" s="258">
        <v>10</v>
      </c>
      <c r="R45" s="258">
        <v>500</v>
      </c>
      <c r="S45" s="258">
        <v>1000</v>
      </c>
      <c r="T45" s="258">
        <v>0</v>
      </c>
      <c r="U45" s="258">
        <v>15</v>
      </c>
      <c r="V45" s="258">
        <v>1</v>
      </c>
      <c r="W45" s="258">
        <v>151</v>
      </c>
      <c r="X45" s="258">
        <v>151</v>
      </c>
      <c r="Y45" s="258">
        <v>0</v>
      </c>
      <c r="Z45" s="258">
        <v>15</v>
      </c>
      <c r="AA45" s="258">
        <v>1</v>
      </c>
      <c r="AB45" s="258">
        <v>151</v>
      </c>
      <c r="AC45" s="258">
        <v>151</v>
      </c>
      <c r="AD45" s="258">
        <v>0</v>
      </c>
      <c r="AE45" s="258">
        <v>0</v>
      </c>
      <c r="AF45" s="258">
        <v>0</v>
      </c>
      <c r="AG45" s="258">
        <v>0</v>
      </c>
      <c r="AH45" s="258">
        <v>0</v>
      </c>
      <c r="AI45" s="258">
        <v>0</v>
      </c>
      <c r="AJ45" s="258">
        <v>0</v>
      </c>
      <c r="AK45" s="258">
        <v>0</v>
      </c>
      <c r="AL45" s="258">
        <v>0</v>
      </c>
      <c r="AM45" s="258">
        <v>0</v>
      </c>
      <c r="AN45" s="258">
        <v>0</v>
      </c>
      <c r="AO45" s="258">
        <v>0</v>
      </c>
      <c r="AP45" s="258">
        <v>0</v>
      </c>
      <c r="AQ45" s="258">
        <v>0</v>
      </c>
      <c r="AR45" s="258">
        <v>0</v>
      </c>
      <c r="AS45" s="258">
        <v>8300</v>
      </c>
      <c r="AT45" s="258">
        <v>8300</v>
      </c>
      <c r="AU45" s="258">
        <v>1253300</v>
      </c>
      <c r="AV45" s="256" t="s">
        <v>667</v>
      </c>
      <c r="AW45" s="256" t="s">
        <v>594</v>
      </c>
      <c r="AX45" s="257" t="s">
        <v>595</v>
      </c>
      <c r="AY45" s="257" t="s">
        <v>595</v>
      </c>
      <c r="AZ45" s="256" t="s">
        <v>668</v>
      </c>
      <c r="BA45" s="256" t="s">
        <v>669</v>
      </c>
      <c r="BB45" s="256" t="s">
        <v>670</v>
      </c>
      <c r="BC45" s="256" t="s">
        <v>742</v>
      </c>
      <c r="BD45" s="256" t="s">
        <v>994</v>
      </c>
      <c r="BE45" s="258">
        <v>113</v>
      </c>
      <c r="BF45" s="256" t="s">
        <v>1100</v>
      </c>
      <c r="BG45" s="256" t="s">
        <v>660</v>
      </c>
      <c r="BH45" s="257" t="s">
        <v>661</v>
      </c>
      <c r="BI45" s="256" t="s">
        <v>595</v>
      </c>
      <c r="BJ45" s="256" t="s">
        <v>601</v>
      </c>
      <c r="BK45" s="256" t="s">
        <v>595</v>
      </c>
      <c r="BL45" s="256" t="s">
        <v>595</v>
      </c>
      <c r="BM45" s="256" t="s">
        <v>595</v>
      </c>
      <c r="BN45" s="256" t="s">
        <v>594</v>
      </c>
      <c r="BO45" s="256" t="s">
        <v>602</v>
      </c>
      <c r="BP45" s="257" t="s">
        <v>603</v>
      </c>
      <c r="BQ45" s="256" t="s">
        <v>604</v>
      </c>
      <c r="BR45" s="256" t="s">
        <v>605</v>
      </c>
      <c r="BS45" s="256" t="s">
        <v>595</v>
      </c>
      <c r="BT45" s="91">
        <f t="shared" si="0"/>
        <v>45911</v>
      </c>
      <c r="BU45" s="91">
        <f t="array" ref="BU45">MIN(IF(H:H=H45,BT:BT ))</f>
        <v>45911</v>
      </c>
    </row>
    <row r="46" spans="1:73" x14ac:dyDescent="0.3">
      <c r="A46" s="256" t="s">
        <v>581</v>
      </c>
      <c r="B46" s="256" t="s">
        <v>582</v>
      </c>
      <c r="C46" s="256" t="s">
        <v>671</v>
      </c>
      <c r="D46" s="256" t="s">
        <v>875</v>
      </c>
      <c r="E46" s="257" t="s">
        <v>875</v>
      </c>
      <c r="F46" s="256" t="s">
        <v>583</v>
      </c>
      <c r="G46" s="257" t="s">
        <v>584</v>
      </c>
      <c r="H46" s="256">
        <v>334659</v>
      </c>
      <c r="I46" s="257" t="s">
        <v>672</v>
      </c>
      <c r="J46" s="256" t="s">
        <v>673</v>
      </c>
      <c r="K46" s="256" t="s">
        <v>621</v>
      </c>
      <c r="L46" s="256" t="s">
        <v>674</v>
      </c>
      <c r="M46" s="256" t="s">
        <v>675</v>
      </c>
      <c r="N46" s="256" t="s">
        <v>655</v>
      </c>
      <c r="O46" s="256" t="s">
        <v>591</v>
      </c>
      <c r="P46" s="256" t="s">
        <v>592</v>
      </c>
      <c r="Q46" s="258">
        <v>20</v>
      </c>
      <c r="R46" s="258">
        <v>800</v>
      </c>
      <c r="S46" s="258">
        <v>300</v>
      </c>
      <c r="T46" s="258">
        <v>0</v>
      </c>
      <c r="U46" s="258">
        <v>33</v>
      </c>
      <c r="V46" s="258">
        <v>15</v>
      </c>
      <c r="W46" s="258">
        <v>675</v>
      </c>
      <c r="X46" s="258">
        <v>202.5</v>
      </c>
      <c r="Y46" s="258">
        <v>0</v>
      </c>
      <c r="Z46" s="258">
        <v>33</v>
      </c>
      <c r="AA46" s="258">
        <v>15</v>
      </c>
      <c r="AB46" s="258">
        <v>675</v>
      </c>
      <c r="AC46" s="258">
        <v>202.5</v>
      </c>
      <c r="AD46" s="258">
        <v>0</v>
      </c>
      <c r="AE46" s="258">
        <v>0</v>
      </c>
      <c r="AF46" s="258">
        <v>0</v>
      </c>
      <c r="AG46" s="258">
        <v>0</v>
      </c>
      <c r="AH46" s="258">
        <v>0</v>
      </c>
      <c r="AI46" s="258">
        <v>0</v>
      </c>
      <c r="AJ46" s="258">
        <v>0</v>
      </c>
      <c r="AK46" s="258">
        <v>0</v>
      </c>
      <c r="AL46" s="258">
        <v>0</v>
      </c>
      <c r="AM46" s="258">
        <v>0</v>
      </c>
      <c r="AN46" s="258">
        <v>0</v>
      </c>
      <c r="AO46" s="258">
        <v>0</v>
      </c>
      <c r="AP46" s="258">
        <v>0</v>
      </c>
      <c r="AQ46" s="258">
        <v>0</v>
      </c>
      <c r="AR46" s="258">
        <v>0</v>
      </c>
      <c r="AS46" s="258">
        <v>2657</v>
      </c>
      <c r="AT46" s="258" t="s">
        <v>595</v>
      </c>
      <c r="AU46" s="258">
        <v>1793475</v>
      </c>
      <c r="AV46" s="256" t="s">
        <v>676</v>
      </c>
      <c r="AW46" s="256" t="s">
        <v>594</v>
      </c>
      <c r="AX46" s="257" t="s">
        <v>595</v>
      </c>
      <c r="AY46" s="257" t="s">
        <v>595</v>
      </c>
      <c r="AZ46" s="256" t="s">
        <v>677</v>
      </c>
      <c r="BA46" s="256" t="s">
        <v>678</v>
      </c>
      <c r="BB46" s="256" t="s">
        <v>679</v>
      </c>
      <c r="BC46" s="256" t="s">
        <v>595</v>
      </c>
      <c r="BD46" s="256" t="s">
        <v>995</v>
      </c>
      <c r="BE46" s="258">
        <v>136</v>
      </c>
      <c r="BF46" s="256" t="s">
        <v>1097</v>
      </c>
      <c r="BG46" s="256" t="s">
        <v>680</v>
      </c>
      <c r="BH46" s="257" t="s">
        <v>681</v>
      </c>
      <c r="BI46" s="256" t="s">
        <v>595</v>
      </c>
      <c r="BJ46" s="256" t="s">
        <v>682</v>
      </c>
      <c r="BK46" s="256" t="s">
        <v>595</v>
      </c>
      <c r="BL46" s="256" t="s">
        <v>595</v>
      </c>
      <c r="BM46" s="256" t="s">
        <v>595</v>
      </c>
      <c r="BN46" s="256" t="s">
        <v>594</v>
      </c>
      <c r="BO46" s="256" t="s">
        <v>683</v>
      </c>
      <c r="BP46" s="257" t="s">
        <v>874</v>
      </c>
      <c r="BQ46" s="256" t="s">
        <v>604</v>
      </c>
      <c r="BR46" s="256" t="s">
        <v>605</v>
      </c>
      <c r="BS46" s="256" t="s">
        <v>595</v>
      </c>
      <c r="BT46" s="91">
        <f t="shared" si="0"/>
        <v>45934</v>
      </c>
      <c r="BU46" s="91">
        <f t="array" ref="BU46">MIN(IF(H:H=H46,BT:BT ))</f>
        <v>45934</v>
      </c>
    </row>
    <row r="47" spans="1:73" x14ac:dyDescent="0.3">
      <c r="A47" s="256" t="s">
        <v>581</v>
      </c>
      <c r="B47" s="256" t="s">
        <v>582</v>
      </c>
      <c r="C47" s="256" t="s">
        <v>684</v>
      </c>
      <c r="D47" s="256" t="s">
        <v>1063</v>
      </c>
      <c r="E47" s="257" t="s">
        <v>1063</v>
      </c>
      <c r="F47" s="256" t="s">
        <v>583</v>
      </c>
      <c r="G47" s="257" t="s">
        <v>584</v>
      </c>
      <c r="H47" s="256">
        <v>259276</v>
      </c>
      <c r="I47" s="257" t="s">
        <v>686</v>
      </c>
      <c r="J47" s="256" t="s">
        <v>687</v>
      </c>
      <c r="K47" s="256" t="s">
        <v>587</v>
      </c>
      <c r="L47" s="256" t="s">
        <v>653</v>
      </c>
      <c r="M47" s="256" t="s">
        <v>654</v>
      </c>
      <c r="N47" s="256" t="s">
        <v>655</v>
      </c>
      <c r="O47" s="256" t="s">
        <v>591</v>
      </c>
      <c r="P47" s="256" t="s">
        <v>592</v>
      </c>
      <c r="Q47" s="258">
        <v>10</v>
      </c>
      <c r="R47" s="258">
        <v>540</v>
      </c>
      <c r="S47" s="258">
        <v>1050</v>
      </c>
      <c r="T47" s="258">
        <v>0</v>
      </c>
      <c r="U47" s="258">
        <v>16</v>
      </c>
      <c r="V47" s="258">
        <v>0</v>
      </c>
      <c r="W47" s="258">
        <v>160</v>
      </c>
      <c r="X47" s="258">
        <v>168</v>
      </c>
      <c r="Y47" s="258">
        <v>0</v>
      </c>
      <c r="Z47" s="258">
        <v>16</v>
      </c>
      <c r="AA47" s="258">
        <v>0</v>
      </c>
      <c r="AB47" s="258">
        <v>160</v>
      </c>
      <c r="AC47" s="258">
        <v>168</v>
      </c>
      <c r="AD47" s="258">
        <v>0</v>
      </c>
      <c r="AE47" s="258">
        <v>0</v>
      </c>
      <c r="AF47" s="258">
        <v>0</v>
      </c>
      <c r="AG47" s="258">
        <v>0</v>
      </c>
      <c r="AH47" s="258">
        <v>0</v>
      </c>
      <c r="AI47" s="258">
        <v>0</v>
      </c>
      <c r="AJ47" s="258">
        <v>0</v>
      </c>
      <c r="AK47" s="258">
        <v>0</v>
      </c>
      <c r="AL47" s="258">
        <v>0</v>
      </c>
      <c r="AM47" s="258">
        <v>0</v>
      </c>
      <c r="AN47" s="258">
        <v>0</v>
      </c>
      <c r="AO47" s="258">
        <v>0</v>
      </c>
      <c r="AP47" s="258">
        <v>0</v>
      </c>
      <c r="AQ47" s="258">
        <v>0</v>
      </c>
      <c r="AR47" s="258">
        <v>0</v>
      </c>
      <c r="AS47" s="258">
        <v>11568</v>
      </c>
      <c r="AT47" s="258">
        <v>11568</v>
      </c>
      <c r="AU47" s="258">
        <v>1850880</v>
      </c>
      <c r="AV47" s="256" t="s">
        <v>1064</v>
      </c>
      <c r="AW47" s="256" t="s">
        <v>594</v>
      </c>
      <c r="AX47" s="257" t="s">
        <v>595</v>
      </c>
      <c r="AY47" s="257" t="s">
        <v>595</v>
      </c>
      <c r="AZ47" s="256" t="s">
        <v>1061</v>
      </c>
      <c r="BA47" s="256" t="s">
        <v>1065</v>
      </c>
      <c r="BB47" s="256" t="s">
        <v>1066</v>
      </c>
      <c r="BC47" s="256" t="s">
        <v>1067</v>
      </c>
      <c r="BD47" s="256" t="s">
        <v>1068</v>
      </c>
      <c r="BE47" s="258">
        <v>262</v>
      </c>
      <c r="BF47" s="256" t="s">
        <v>1101</v>
      </c>
      <c r="BG47" s="256" t="s">
        <v>688</v>
      </c>
      <c r="BH47" s="257" t="s">
        <v>689</v>
      </c>
      <c r="BI47" s="256" t="s">
        <v>595</v>
      </c>
      <c r="BJ47" s="256" t="s">
        <v>685</v>
      </c>
      <c r="BK47" s="256" t="s">
        <v>595</v>
      </c>
      <c r="BL47" s="256" t="s">
        <v>595</v>
      </c>
      <c r="BM47" s="256" t="s">
        <v>595</v>
      </c>
      <c r="BN47" s="256" t="s">
        <v>594</v>
      </c>
      <c r="BO47" s="256" t="s">
        <v>602</v>
      </c>
      <c r="BP47" s="257" t="s">
        <v>603</v>
      </c>
      <c r="BQ47" s="256" t="s">
        <v>615</v>
      </c>
      <c r="BR47" s="256" t="s">
        <v>616</v>
      </c>
      <c r="BS47" s="256" t="s">
        <v>595</v>
      </c>
      <c r="BT47" s="91">
        <f t="shared" si="0"/>
        <v>46060</v>
      </c>
      <c r="BU47" s="91">
        <f t="array" ref="BU47">MIN(IF(H:H=H47,BT:BT ))</f>
        <v>46032</v>
      </c>
    </row>
    <row r="48" spans="1:73" x14ac:dyDescent="0.3">
      <c r="A48" s="256" t="s">
        <v>581</v>
      </c>
      <c r="B48" s="256" t="s">
        <v>582</v>
      </c>
      <c r="C48" s="256" t="s">
        <v>684</v>
      </c>
      <c r="D48" s="256" t="s">
        <v>690</v>
      </c>
      <c r="E48" s="257" t="s">
        <v>690</v>
      </c>
      <c r="F48" s="256" t="s">
        <v>583</v>
      </c>
      <c r="G48" s="257" t="s">
        <v>584</v>
      </c>
      <c r="H48" s="256">
        <v>259276</v>
      </c>
      <c r="I48" s="257" t="s">
        <v>686</v>
      </c>
      <c r="J48" s="256" t="s">
        <v>687</v>
      </c>
      <c r="K48" s="256" t="s">
        <v>587</v>
      </c>
      <c r="L48" s="256" t="s">
        <v>653</v>
      </c>
      <c r="M48" s="256" t="s">
        <v>654</v>
      </c>
      <c r="N48" s="256" t="s">
        <v>655</v>
      </c>
      <c r="O48" s="256" t="s">
        <v>591</v>
      </c>
      <c r="P48" s="256" t="s">
        <v>592</v>
      </c>
      <c r="Q48" s="258">
        <v>10</v>
      </c>
      <c r="R48" s="258">
        <v>540</v>
      </c>
      <c r="S48" s="258">
        <v>1050</v>
      </c>
      <c r="T48" s="258">
        <v>0</v>
      </c>
      <c r="U48" s="258">
        <v>12</v>
      </c>
      <c r="V48" s="258">
        <v>8</v>
      </c>
      <c r="W48" s="258">
        <v>128</v>
      </c>
      <c r="X48" s="258">
        <v>134.4</v>
      </c>
      <c r="Y48" s="258">
        <v>0</v>
      </c>
      <c r="Z48" s="258">
        <v>12</v>
      </c>
      <c r="AA48" s="258">
        <v>8</v>
      </c>
      <c r="AB48" s="258">
        <v>128</v>
      </c>
      <c r="AC48" s="258">
        <v>134.4</v>
      </c>
      <c r="AD48" s="258">
        <v>0</v>
      </c>
      <c r="AE48" s="258">
        <v>0</v>
      </c>
      <c r="AF48" s="258">
        <v>0</v>
      </c>
      <c r="AG48" s="258">
        <v>0</v>
      </c>
      <c r="AH48" s="258">
        <v>0</v>
      </c>
      <c r="AI48" s="258">
        <v>0</v>
      </c>
      <c r="AJ48" s="258">
        <v>0</v>
      </c>
      <c r="AK48" s="258">
        <v>0</v>
      </c>
      <c r="AL48" s="258">
        <v>0</v>
      </c>
      <c r="AM48" s="258">
        <v>0</v>
      </c>
      <c r="AN48" s="258">
        <v>0</v>
      </c>
      <c r="AO48" s="258">
        <v>0</v>
      </c>
      <c r="AP48" s="258">
        <v>0</v>
      </c>
      <c r="AQ48" s="258">
        <v>0</v>
      </c>
      <c r="AR48" s="258">
        <v>0</v>
      </c>
      <c r="AS48" s="258">
        <v>11568</v>
      </c>
      <c r="AT48" s="258">
        <v>11568</v>
      </c>
      <c r="AU48" s="258">
        <v>1480704</v>
      </c>
      <c r="AV48" s="256" t="s">
        <v>1043</v>
      </c>
      <c r="AW48" s="256" t="s">
        <v>594</v>
      </c>
      <c r="AX48" s="257" t="s">
        <v>595</v>
      </c>
      <c r="AY48" s="257" t="s">
        <v>595</v>
      </c>
      <c r="AZ48" s="256" t="s">
        <v>1003</v>
      </c>
      <c r="BA48" s="256" t="s">
        <v>1004</v>
      </c>
      <c r="BB48" s="256" t="s">
        <v>1044</v>
      </c>
      <c r="BC48" s="256" t="s">
        <v>892</v>
      </c>
      <c r="BD48" s="256" t="s">
        <v>1045</v>
      </c>
      <c r="BE48" s="258">
        <v>255</v>
      </c>
      <c r="BF48" s="256" t="s">
        <v>1062</v>
      </c>
      <c r="BG48" s="256" t="s">
        <v>688</v>
      </c>
      <c r="BH48" s="257" t="s">
        <v>689</v>
      </c>
      <c r="BI48" s="256" t="s">
        <v>595</v>
      </c>
      <c r="BJ48" s="256" t="s">
        <v>685</v>
      </c>
      <c r="BK48" s="256" t="s">
        <v>595</v>
      </c>
      <c r="BL48" s="256" t="s">
        <v>595</v>
      </c>
      <c r="BM48" s="256" t="s">
        <v>595</v>
      </c>
      <c r="BN48" s="256" t="s">
        <v>594</v>
      </c>
      <c r="BO48" s="256" t="s">
        <v>602</v>
      </c>
      <c r="BP48" s="257" t="s">
        <v>603</v>
      </c>
      <c r="BQ48" s="256" t="s">
        <v>604</v>
      </c>
      <c r="BR48" s="256" t="s">
        <v>605</v>
      </c>
      <c r="BS48" s="256" t="s">
        <v>595</v>
      </c>
      <c r="BT48" s="91">
        <f t="shared" si="0"/>
        <v>46053</v>
      </c>
      <c r="BU48" s="91">
        <f t="array" ref="BU48">MIN(IF(H:H=H48,BT:BT ))</f>
        <v>46032</v>
      </c>
    </row>
    <row r="49" spans="1:73" x14ac:dyDescent="0.3">
      <c r="A49" s="256" t="s">
        <v>581</v>
      </c>
      <c r="B49" s="256" t="s">
        <v>582</v>
      </c>
      <c r="C49" s="256" t="s">
        <v>684</v>
      </c>
      <c r="D49" s="256" t="s">
        <v>1069</v>
      </c>
      <c r="E49" s="257" t="s">
        <v>1069</v>
      </c>
      <c r="F49" s="256" t="s">
        <v>583</v>
      </c>
      <c r="G49" s="257" t="s">
        <v>584</v>
      </c>
      <c r="H49" s="256">
        <v>259276</v>
      </c>
      <c r="I49" s="257" t="s">
        <v>686</v>
      </c>
      <c r="J49" s="256" t="s">
        <v>687</v>
      </c>
      <c r="K49" s="256" t="s">
        <v>587</v>
      </c>
      <c r="L49" s="256" t="s">
        <v>653</v>
      </c>
      <c r="M49" s="256" t="s">
        <v>654</v>
      </c>
      <c r="N49" s="256" t="s">
        <v>655</v>
      </c>
      <c r="O49" s="256" t="s">
        <v>591</v>
      </c>
      <c r="P49" s="256" t="s">
        <v>592</v>
      </c>
      <c r="Q49" s="258">
        <v>10</v>
      </c>
      <c r="R49" s="258">
        <v>540</v>
      </c>
      <c r="S49" s="258">
        <v>1050</v>
      </c>
      <c r="T49" s="258">
        <v>1</v>
      </c>
      <c r="U49" s="258">
        <v>0</v>
      </c>
      <c r="V49" s="258">
        <v>0</v>
      </c>
      <c r="W49" s="258">
        <v>540</v>
      </c>
      <c r="X49" s="258">
        <v>567</v>
      </c>
      <c r="Y49" s="258">
        <v>1</v>
      </c>
      <c r="Z49" s="258">
        <v>0</v>
      </c>
      <c r="AA49" s="258">
        <v>0</v>
      </c>
      <c r="AB49" s="258">
        <v>540</v>
      </c>
      <c r="AC49" s="258">
        <v>567</v>
      </c>
      <c r="AD49" s="258">
        <v>0</v>
      </c>
      <c r="AE49" s="258">
        <v>0</v>
      </c>
      <c r="AF49" s="258">
        <v>0</v>
      </c>
      <c r="AG49" s="258">
        <v>0</v>
      </c>
      <c r="AH49" s="258">
        <v>0</v>
      </c>
      <c r="AI49" s="258">
        <v>0</v>
      </c>
      <c r="AJ49" s="258">
        <v>0</v>
      </c>
      <c r="AK49" s="258">
        <v>0</v>
      </c>
      <c r="AL49" s="258">
        <v>0</v>
      </c>
      <c r="AM49" s="258">
        <v>0</v>
      </c>
      <c r="AN49" s="258">
        <v>0</v>
      </c>
      <c r="AO49" s="258">
        <v>0</v>
      </c>
      <c r="AP49" s="258">
        <v>0</v>
      </c>
      <c r="AQ49" s="258">
        <v>0</v>
      </c>
      <c r="AR49" s="258">
        <v>0</v>
      </c>
      <c r="AS49" s="258">
        <v>11568</v>
      </c>
      <c r="AT49" s="258">
        <v>11568</v>
      </c>
      <c r="AU49" s="258">
        <v>6246720</v>
      </c>
      <c r="AV49" s="256" t="s">
        <v>1064</v>
      </c>
      <c r="AW49" s="256" t="s">
        <v>594</v>
      </c>
      <c r="AX49" s="257" t="s">
        <v>595</v>
      </c>
      <c r="AY49" s="257" t="s">
        <v>595</v>
      </c>
      <c r="AZ49" s="256" t="s">
        <v>1061</v>
      </c>
      <c r="BA49" s="256" t="s">
        <v>1065</v>
      </c>
      <c r="BB49" s="256" t="s">
        <v>1066</v>
      </c>
      <c r="BC49" s="256" t="s">
        <v>1067</v>
      </c>
      <c r="BD49" s="256" t="s">
        <v>1068</v>
      </c>
      <c r="BE49" s="258">
        <v>262</v>
      </c>
      <c r="BF49" s="256" t="s">
        <v>1101</v>
      </c>
      <c r="BG49" s="256" t="s">
        <v>688</v>
      </c>
      <c r="BH49" s="257" t="s">
        <v>689</v>
      </c>
      <c r="BI49" s="256" t="s">
        <v>595</v>
      </c>
      <c r="BJ49" s="256" t="s">
        <v>685</v>
      </c>
      <c r="BK49" s="256" t="s">
        <v>595</v>
      </c>
      <c r="BL49" s="256" t="s">
        <v>595</v>
      </c>
      <c r="BM49" s="256" t="s">
        <v>595</v>
      </c>
      <c r="BN49" s="256" t="s">
        <v>594</v>
      </c>
      <c r="BO49" s="256" t="s">
        <v>602</v>
      </c>
      <c r="BP49" s="257" t="s">
        <v>603</v>
      </c>
      <c r="BQ49" s="256" t="s">
        <v>615</v>
      </c>
      <c r="BR49" s="256" t="s">
        <v>616</v>
      </c>
      <c r="BS49" s="256" t="s">
        <v>595</v>
      </c>
      <c r="BT49" s="91">
        <f t="shared" si="0"/>
        <v>46060</v>
      </c>
      <c r="BU49" s="91">
        <f t="array" ref="BU49">MIN(IF(H:H=H49,BT:BT ))</f>
        <v>46032</v>
      </c>
    </row>
    <row r="50" spans="1:73" x14ac:dyDescent="0.3">
      <c r="A50" s="256" t="s">
        <v>581</v>
      </c>
      <c r="B50" s="256" t="s">
        <v>582</v>
      </c>
      <c r="C50" s="256" t="s">
        <v>691</v>
      </c>
      <c r="D50" s="256" t="s">
        <v>698</v>
      </c>
      <c r="E50" s="257" t="s">
        <v>698</v>
      </c>
      <c r="F50" s="256" t="s">
        <v>583</v>
      </c>
      <c r="G50" s="257" t="s">
        <v>584</v>
      </c>
      <c r="H50" s="256">
        <v>325230</v>
      </c>
      <c r="I50" s="257" t="s">
        <v>692</v>
      </c>
      <c r="J50" s="256" t="s">
        <v>693</v>
      </c>
      <c r="K50" s="256" t="s">
        <v>587</v>
      </c>
      <c r="L50" s="256" t="s">
        <v>653</v>
      </c>
      <c r="M50" s="256" t="s">
        <v>654</v>
      </c>
      <c r="N50" s="256" t="s">
        <v>655</v>
      </c>
      <c r="O50" s="256" t="s">
        <v>591</v>
      </c>
      <c r="P50" s="256" t="s">
        <v>592</v>
      </c>
      <c r="Q50" s="258">
        <v>20</v>
      </c>
      <c r="R50" s="258">
        <v>800</v>
      </c>
      <c r="S50" s="258">
        <v>500</v>
      </c>
      <c r="T50" s="258">
        <v>0</v>
      </c>
      <c r="U50" s="258">
        <v>26</v>
      </c>
      <c r="V50" s="258">
        <v>0</v>
      </c>
      <c r="W50" s="258">
        <v>520</v>
      </c>
      <c r="X50" s="258">
        <v>260</v>
      </c>
      <c r="Y50" s="258">
        <v>0</v>
      </c>
      <c r="Z50" s="258">
        <v>26</v>
      </c>
      <c r="AA50" s="258">
        <v>0</v>
      </c>
      <c r="AB50" s="258">
        <v>520</v>
      </c>
      <c r="AC50" s="258">
        <v>260</v>
      </c>
      <c r="AD50" s="258">
        <v>0</v>
      </c>
      <c r="AE50" s="258">
        <v>0</v>
      </c>
      <c r="AF50" s="258">
        <v>0</v>
      </c>
      <c r="AG50" s="258">
        <v>0</v>
      </c>
      <c r="AH50" s="258">
        <v>0</v>
      </c>
      <c r="AI50" s="258">
        <v>0</v>
      </c>
      <c r="AJ50" s="258">
        <v>0</v>
      </c>
      <c r="AK50" s="258">
        <v>0</v>
      </c>
      <c r="AL50" s="258">
        <v>0</v>
      </c>
      <c r="AM50" s="258">
        <v>0</v>
      </c>
      <c r="AN50" s="258">
        <v>0</v>
      </c>
      <c r="AO50" s="258">
        <v>0</v>
      </c>
      <c r="AP50" s="258">
        <v>0</v>
      </c>
      <c r="AQ50" s="258">
        <v>0</v>
      </c>
      <c r="AR50" s="258">
        <v>0</v>
      </c>
      <c r="AS50" s="258">
        <v>4800</v>
      </c>
      <c r="AT50" s="258">
        <v>4800</v>
      </c>
      <c r="AU50" s="258">
        <v>2496000</v>
      </c>
      <c r="AV50" s="256" t="s">
        <v>699</v>
      </c>
      <c r="AW50" s="256" t="s">
        <v>594</v>
      </c>
      <c r="AX50" s="257" t="s">
        <v>595</v>
      </c>
      <c r="AY50" s="257" t="s">
        <v>595</v>
      </c>
      <c r="AZ50" s="256" t="s">
        <v>635</v>
      </c>
      <c r="BA50" s="256" t="s">
        <v>700</v>
      </c>
      <c r="BB50" s="256" t="s">
        <v>701</v>
      </c>
      <c r="BC50" s="256" t="s">
        <v>997</v>
      </c>
      <c r="BD50" s="256" t="s">
        <v>998</v>
      </c>
      <c r="BE50" s="258">
        <v>153</v>
      </c>
      <c r="BF50" s="256" t="s">
        <v>1102</v>
      </c>
      <c r="BG50" s="256" t="s">
        <v>688</v>
      </c>
      <c r="BH50" s="257" t="s">
        <v>689</v>
      </c>
      <c r="BI50" s="256" t="s">
        <v>595</v>
      </c>
      <c r="BJ50" s="256" t="s">
        <v>601</v>
      </c>
      <c r="BK50" s="256" t="s">
        <v>595</v>
      </c>
      <c r="BL50" s="256" t="s">
        <v>595</v>
      </c>
      <c r="BM50" s="256" t="s">
        <v>595</v>
      </c>
      <c r="BN50" s="256" t="s">
        <v>594</v>
      </c>
      <c r="BO50" s="256" t="s">
        <v>602</v>
      </c>
      <c r="BP50" s="257" t="s">
        <v>603</v>
      </c>
      <c r="BQ50" s="256" t="s">
        <v>615</v>
      </c>
      <c r="BR50" s="256" t="s">
        <v>616</v>
      </c>
      <c r="BS50" s="256" t="s">
        <v>595</v>
      </c>
      <c r="BT50" s="91">
        <f t="shared" si="0"/>
        <v>45951</v>
      </c>
      <c r="BU50" s="91">
        <f t="array" ref="BU50">MIN(IF(H:H=H50,BT:BT ))</f>
        <v>45924</v>
      </c>
    </row>
    <row r="51" spans="1:73" x14ac:dyDescent="0.3">
      <c r="A51" s="256" t="s">
        <v>581</v>
      </c>
      <c r="B51" s="256" t="s">
        <v>582</v>
      </c>
      <c r="C51" s="256" t="s">
        <v>691</v>
      </c>
      <c r="D51" s="256" t="s">
        <v>702</v>
      </c>
      <c r="E51" s="257" t="s">
        <v>702</v>
      </c>
      <c r="F51" s="256" t="s">
        <v>583</v>
      </c>
      <c r="G51" s="257" t="s">
        <v>584</v>
      </c>
      <c r="H51" s="256">
        <v>325230</v>
      </c>
      <c r="I51" s="257" t="s">
        <v>692</v>
      </c>
      <c r="J51" s="256" t="s">
        <v>693</v>
      </c>
      <c r="K51" s="256" t="s">
        <v>587</v>
      </c>
      <c r="L51" s="256" t="s">
        <v>653</v>
      </c>
      <c r="M51" s="256" t="s">
        <v>654</v>
      </c>
      <c r="N51" s="256" t="s">
        <v>655</v>
      </c>
      <c r="O51" s="256" t="s">
        <v>591</v>
      </c>
      <c r="P51" s="256" t="s">
        <v>592</v>
      </c>
      <c r="Q51" s="258">
        <v>20</v>
      </c>
      <c r="R51" s="258">
        <v>800</v>
      </c>
      <c r="S51" s="258">
        <v>500</v>
      </c>
      <c r="T51" s="258">
        <v>0</v>
      </c>
      <c r="U51" s="258">
        <v>37</v>
      </c>
      <c r="V51" s="258">
        <v>8</v>
      </c>
      <c r="W51" s="258">
        <v>748</v>
      </c>
      <c r="X51" s="258">
        <v>374</v>
      </c>
      <c r="Y51" s="258">
        <v>0</v>
      </c>
      <c r="Z51" s="258">
        <v>37</v>
      </c>
      <c r="AA51" s="258">
        <v>8</v>
      </c>
      <c r="AB51" s="258">
        <v>748</v>
      </c>
      <c r="AC51" s="258">
        <v>374</v>
      </c>
      <c r="AD51" s="258">
        <v>0</v>
      </c>
      <c r="AE51" s="258">
        <v>0</v>
      </c>
      <c r="AF51" s="258">
        <v>0</v>
      </c>
      <c r="AG51" s="258">
        <v>0</v>
      </c>
      <c r="AH51" s="258">
        <v>0</v>
      </c>
      <c r="AI51" s="258">
        <v>0</v>
      </c>
      <c r="AJ51" s="258">
        <v>0</v>
      </c>
      <c r="AK51" s="258">
        <v>0</v>
      </c>
      <c r="AL51" s="258">
        <v>0</v>
      </c>
      <c r="AM51" s="258">
        <v>0</v>
      </c>
      <c r="AN51" s="258">
        <v>0</v>
      </c>
      <c r="AO51" s="258">
        <v>0</v>
      </c>
      <c r="AP51" s="258">
        <v>0</v>
      </c>
      <c r="AQ51" s="258">
        <v>0</v>
      </c>
      <c r="AR51" s="258">
        <v>0</v>
      </c>
      <c r="AS51" s="258">
        <v>4800</v>
      </c>
      <c r="AT51" s="258">
        <v>4800</v>
      </c>
      <c r="AU51" s="258">
        <v>3590400</v>
      </c>
      <c r="AV51" s="256" t="s">
        <v>694</v>
      </c>
      <c r="AW51" s="256" t="s">
        <v>594</v>
      </c>
      <c r="AX51" s="257" t="s">
        <v>595</v>
      </c>
      <c r="AY51" s="257" t="s">
        <v>595</v>
      </c>
      <c r="AZ51" s="256" t="s">
        <v>695</v>
      </c>
      <c r="BA51" s="256" t="s">
        <v>696</v>
      </c>
      <c r="BB51" s="256" t="s">
        <v>697</v>
      </c>
      <c r="BC51" s="256" t="s">
        <v>999</v>
      </c>
      <c r="BD51" s="256" t="s">
        <v>960</v>
      </c>
      <c r="BE51" s="258">
        <v>126</v>
      </c>
      <c r="BF51" s="256" t="s">
        <v>1103</v>
      </c>
      <c r="BG51" s="256" t="s">
        <v>688</v>
      </c>
      <c r="BH51" s="257" t="s">
        <v>689</v>
      </c>
      <c r="BI51" s="256" t="s">
        <v>595</v>
      </c>
      <c r="BJ51" s="256" t="s">
        <v>601</v>
      </c>
      <c r="BK51" s="256" t="s">
        <v>595</v>
      </c>
      <c r="BL51" s="256" t="s">
        <v>595</v>
      </c>
      <c r="BM51" s="256" t="s">
        <v>595</v>
      </c>
      <c r="BN51" s="256" t="s">
        <v>594</v>
      </c>
      <c r="BO51" s="256" t="s">
        <v>602</v>
      </c>
      <c r="BP51" s="257" t="s">
        <v>603</v>
      </c>
      <c r="BQ51" s="256" t="s">
        <v>604</v>
      </c>
      <c r="BR51" s="256" t="s">
        <v>605</v>
      </c>
      <c r="BS51" s="256" t="s">
        <v>595</v>
      </c>
      <c r="BT51" s="91">
        <f t="shared" si="0"/>
        <v>45924</v>
      </c>
      <c r="BU51" s="91">
        <f t="array" ref="BU51">MIN(IF(H:H=H51,BT:BT ))</f>
        <v>45924</v>
      </c>
    </row>
    <row r="52" spans="1:73" x14ac:dyDescent="0.3">
      <c r="A52" s="256" t="s">
        <v>581</v>
      </c>
      <c r="B52" s="256" t="s">
        <v>582</v>
      </c>
      <c r="C52" s="256" t="s">
        <v>691</v>
      </c>
      <c r="D52" s="256" t="s">
        <v>702</v>
      </c>
      <c r="E52" s="257" t="s">
        <v>702</v>
      </c>
      <c r="F52" s="256" t="s">
        <v>583</v>
      </c>
      <c r="G52" s="257" t="s">
        <v>584</v>
      </c>
      <c r="H52" s="256">
        <v>325230</v>
      </c>
      <c r="I52" s="257" t="s">
        <v>692</v>
      </c>
      <c r="J52" s="256" t="s">
        <v>693</v>
      </c>
      <c r="K52" s="256" t="s">
        <v>587</v>
      </c>
      <c r="L52" s="256" t="s">
        <v>653</v>
      </c>
      <c r="M52" s="256" t="s">
        <v>654</v>
      </c>
      <c r="N52" s="256" t="s">
        <v>655</v>
      </c>
      <c r="O52" s="256" t="s">
        <v>591</v>
      </c>
      <c r="P52" s="256" t="s">
        <v>592</v>
      </c>
      <c r="Q52" s="258">
        <v>20</v>
      </c>
      <c r="R52" s="258">
        <v>800</v>
      </c>
      <c r="S52" s="258">
        <v>500</v>
      </c>
      <c r="T52" s="258">
        <v>0</v>
      </c>
      <c r="U52" s="258">
        <v>3</v>
      </c>
      <c r="V52" s="258">
        <v>18</v>
      </c>
      <c r="W52" s="258">
        <v>78</v>
      </c>
      <c r="X52" s="258">
        <v>39</v>
      </c>
      <c r="Y52" s="258">
        <v>0</v>
      </c>
      <c r="Z52" s="258">
        <v>3</v>
      </c>
      <c r="AA52" s="258">
        <v>18</v>
      </c>
      <c r="AB52" s="258">
        <v>78</v>
      </c>
      <c r="AC52" s="258">
        <v>39</v>
      </c>
      <c r="AD52" s="258">
        <v>0</v>
      </c>
      <c r="AE52" s="258">
        <v>0</v>
      </c>
      <c r="AF52" s="258">
        <v>0</v>
      </c>
      <c r="AG52" s="258">
        <v>0</v>
      </c>
      <c r="AH52" s="258">
        <v>0</v>
      </c>
      <c r="AI52" s="258">
        <v>0</v>
      </c>
      <c r="AJ52" s="258">
        <v>0</v>
      </c>
      <c r="AK52" s="258">
        <v>0</v>
      </c>
      <c r="AL52" s="258">
        <v>0</v>
      </c>
      <c r="AM52" s="258">
        <v>0</v>
      </c>
      <c r="AN52" s="258">
        <v>0</v>
      </c>
      <c r="AO52" s="258">
        <v>0</v>
      </c>
      <c r="AP52" s="258">
        <v>0</v>
      </c>
      <c r="AQ52" s="258">
        <v>0</v>
      </c>
      <c r="AR52" s="258">
        <v>0</v>
      </c>
      <c r="AS52" s="258">
        <v>4800</v>
      </c>
      <c r="AT52" s="258">
        <v>4800</v>
      </c>
      <c r="AU52" s="258">
        <v>374400</v>
      </c>
      <c r="AV52" s="256" t="s">
        <v>904</v>
      </c>
      <c r="AW52" s="256" t="s">
        <v>594</v>
      </c>
      <c r="AX52" s="257" t="s">
        <v>595</v>
      </c>
      <c r="AY52" s="257" t="s">
        <v>595</v>
      </c>
      <c r="AZ52" s="256" t="s">
        <v>883</v>
      </c>
      <c r="BA52" s="256" t="s">
        <v>885</v>
      </c>
      <c r="BB52" s="256" t="s">
        <v>697</v>
      </c>
      <c r="BC52" s="256" t="s">
        <v>999</v>
      </c>
      <c r="BD52" s="256" t="s">
        <v>960</v>
      </c>
      <c r="BE52" s="258">
        <v>126</v>
      </c>
      <c r="BF52" s="256" t="s">
        <v>1103</v>
      </c>
      <c r="BG52" s="256" t="s">
        <v>688</v>
      </c>
      <c r="BH52" s="257" t="s">
        <v>689</v>
      </c>
      <c r="BI52" s="256" t="s">
        <v>595</v>
      </c>
      <c r="BJ52" s="256" t="s">
        <v>601</v>
      </c>
      <c r="BK52" s="256" t="s">
        <v>595</v>
      </c>
      <c r="BL52" s="256" t="s">
        <v>595</v>
      </c>
      <c r="BM52" s="256" t="s">
        <v>595</v>
      </c>
      <c r="BN52" s="256" t="s">
        <v>594</v>
      </c>
      <c r="BO52" s="256" t="s">
        <v>602</v>
      </c>
      <c r="BP52" s="257" t="s">
        <v>603</v>
      </c>
      <c r="BQ52" s="256" t="s">
        <v>604</v>
      </c>
      <c r="BR52" s="256" t="s">
        <v>605</v>
      </c>
      <c r="BS52" s="256" t="s">
        <v>595</v>
      </c>
      <c r="BT52" s="91">
        <f t="shared" si="0"/>
        <v>45924</v>
      </c>
      <c r="BU52" s="91">
        <f t="array" ref="BU52">MIN(IF(H:H=H52,BT:BT ))</f>
        <v>45924</v>
      </c>
    </row>
    <row r="53" spans="1:73" x14ac:dyDescent="0.3">
      <c r="A53" s="256" t="s">
        <v>581</v>
      </c>
      <c r="B53" s="256" t="s">
        <v>582</v>
      </c>
      <c r="C53" s="256" t="s">
        <v>897</v>
      </c>
      <c r="D53" s="256" t="s">
        <v>898</v>
      </c>
      <c r="E53" s="257" t="s">
        <v>898</v>
      </c>
      <c r="F53" s="256" t="s">
        <v>583</v>
      </c>
      <c r="G53" s="257" t="s">
        <v>584</v>
      </c>
      <c r="H53" s="256">
        <v>325230</v>
      </c>
      <c r="I53" s="257" t="s">
        <v>692</v>
      </c>
      <c r="J53" s="256" t="s">
        <v>693</v>
      </c>
      <c r="K53" s="256" t="s">
        <v>587</v>
      </c>
      <c r="L53" s="256" t="s">
        <v>653</v>
      </c>
      <c r="M53" s="256" t="s">
        <v>654</v>
      </c>
      <c r="N53" s="256" t="s">
        <v>655</v>
      </c>
      <c r="O53" s="256" t="s">
        <v>591</v>
      </c>
      <c r="P53" s="256" t="s">
        <v>592</v>
      </c>
      <c r="Q53" s="258">
        <v>20</v>
      </c>
      <c r="R53" s="258">
        <v>800</v>
      </c>
      <c r="S53" s="258">
        <v>500</v>
      </c>
      <c r="T53" s="258">
        <v>0</v>
      </c>
      <c r="U53" s="258">
        <v>9</v>
      </c>
      <c r="V53" s="258">
        <v>0</v>
      </c>
      <c r="W53" s="258">
        <v>180</v>
      </c>
      <c r="X53" s="258">
        <v>90</v>
      </c>
      <c r="Y53" s="258">
        <v>0</v>
      </c>
      <c r="Z53" s="258">
        <v>9</v>
      </c>
      <c r="AA53" s="258">
        <v>0</v>
      </c>
      <c r="AB53" s="258">
        <v>180</v>
      </c>
      <c r="AC53" s="258">
        <v>90</v>
      </c>
      <c r="AD53" s="258">
        <v>0</v>
      </c>
      <c r="AE53" s="258">
        <v>0</v>
      </c>
      <c r="AF53" s="258">
        <v>0</v>
      </c>
      <c r="AG53" s="258">
        <v>0</v>
      </c>
      <c r="AH53" s="258">
        <v>0</v>
      </c>
      <c r="AI53" s="258">
        <v>0</v>
      </c>
      <c r="AJ53" s="258">
        <v>0</v>
      </c>
      <c r="AK53" s="258">
        <v>0</v>
      </c>
      <c r="AL53" s="258">
        <v>0</v>
      </c>
      <c r="AM53" s="258">
        <v>0</v>
      </c>
      <c r="AN53" s="258">
        <v>0</v>
      </c>
      <c r="AO53" s="258">
        <v>0</v>
      </c>
      <c r="AP53" s="258">
        <v>0</v>
      </c>
      <c r="AQ53" s="258">
        <v>0</v>
      </c>
      <c r="AR53" s="258">
        <v>0</v>
      </c>
      <c r="AS53" s="258">
        <v>4800</v>
      </c>
      <c r="AT53" s="258">
        <v>4800</v>
      </c>
      <c r="AU53" s="258">
        <v>864000</v>
      </c>
      <c r="AV53" s="256" t="s">
        <v>884</v>
      </c>
      <c r="AW53" s="256" t="s">
        <v>594</v>
      </c>
      <c r="AX53" s="257" t="s">
        <v>595</v>
      </c>
      <c r="AY53" s="257" t="s">
        <v>595</v>
      </c>
      <c r="AZ53" s="256" t="s">
        <v>883</v>
      </c>
      <c r="BA53" s="256" t="s">
        <v>885</v>
      </c>
      <c r="BB53" s="256" t="s">
        <v>886</v>
      </c>
      <c r="BC53" s="256" t="s">
        <v>892</v>
      </c>
      <c r="BD53" s="256" t="s">
        <v>1000</v>
      </c>
      <c r="BE53" s="258">
        <v>300</v>
      </c>
      <c r="BF53" s="256" t="s">
        <v>1104</v>
      </c>
      <c r="BG53" s="256" t="s">
        <v>688</v>
      </c>
      <c r="BH53" s="257" t="s">
        <v>689</v>
      </c>
      <c r="BI53" s="256" t="s">
        <v>595</v>
      </c>
      <c r="BJ53" s="256" t="s">
        <v>601</v>
      </c>
      <c r="BK53" s="256" t="s">
        <v>595</v>
      </c>
      <c r="BL53" s="256" t="s">
        <v>595</v>
      </c>
      <c r="BM53" s="256" t="s">
        <v>595</v>
      </c>
      <c r="BN53" s="256" t="s">
        <v>594</v>
      </c>
      <c r="BO53" s="256" t="s">
        <v>602</v>
      </c>
      <c r="BP53" s="257" t="s">
        <v>603</v>
      </c>
      <c r="BQ53" s="256" t="s">
        <v>615</v>
      </c>
      <c r="BR53" s="256" t="s">
        <v>616</v>
      </c>
      <c r="BS53" s="256" t="s">
        <v>595</v>
      </c>
      <c r="BT53" s="91">
        <f t="shared" si="0"/>
        <v>46098</v>
      </c>
      <c r="BU53" s="91">
        <f t="array" ref="BU53">MIN(IF(H:H=H53,BT:BT ))</f>
        <v>45924</v>
      </c>
    </row>
    <row r="54" spans="1:73" x14ac:dyDescent="0.3">
      <c r="A54" s="256" t="s">
        <v>581</v>
      </c>
      <c r="B54" s="256" t="s">
        <v>582</v>
      </c>
      <c r="C54" s="256" t="s">
        <v>703</v>
      </c>
      <c r="D54" s="256" t="s">
        <v>707</v>
      </c>
      <c r="E54" s="257" t="s">
        <v>707</v>
      </c>
      <c r="F54" s="256" t="s">
        <v>583</v>
      </c>
      <c r="G54" s="257" t="s">
        <v>584</v>
      </c>
      <c r="H54" s="256">
        <v>331934</v>
      </c>
      <c r="I54" s="257" t="s">
        <v>708</v>
      </c>
      <c r="J54" s="256" t="s">
        <v>634</v>
      </c>
      <c r="K54" s="256" t="s">
        <v>587</v>
      </c>
      <c r="L54" s="256" t="s">
        <v>704</v>
      </c>
      <c r="M54" s="256" t="s">
        <v>705</v>
      </c>
      <c r="N54" s="256" t="s">
        <v>706</v>
      </c>
      <c r="O54" s="256" t="s">
        <v>591</v>
      </c>
      <c r="P54" s="256" t="s">
        <v>592</v>
      </c>
      <c r="Q54" s="258">
        <v>10</v>
      </c>
      <c r="R54" s="258">
        <v>800</v>
      </c>
      <c r="S54" s="258">
        <v>1000</v>
      </c>
      <c r="T54" s="258">
        <v>0</v>
      </c>
      <c r="U54" s="258">
        <v>40</v>
      </c>
      <c r="V54" s="258">
        <v>8</v>
      </c>
      <c r="W54" s="258">
        <v>408</v>
      </c>
      <c r="X54" s="258">
        <v>408</v>
      </c>
      <c r="Y54" s="258">
        <v>0</v>
      </c>
      <c r="Z54" s="258">
        <v>40</v>
      </c>
      <c r="AA54" s="258">
        <v>8</v>
      </c>
      <c r="AB54" s="258">
        <v>408</v>
      </c>
      <c r="AC54" s="258">
        <v>408</v>
      </c>
      <c r="AD54" s="258">
        <v>0</v>
      </c>
      <c r="AE54" s="258">
        <v>0</v>
      </c>
      <c r="AF54" s="258">
        <v>0</v>
      </c>
      <c r="AG54" s="258">
        <v>0</v>
      </c>
      <c r="AH54" s="258">
        <v>0</v>
      </c>
      <c r="AI54" s="258">
        <v>0</v>
      </c>
      <c r="AJ54" s="258">
        <v>0</v>
      </c>
      <c r="AK54" s="258">
        <v>0</v>
      </c>
      <c r="AL54" s="258">
        <v>0</v>
      </c>
      <c r="AM54" s="258">
        <v>0</v>
      </c>
      <c r="AN54" s="258">
        <v>0</v>
      </c>
      <c r="AO54" s="258">
        <v>0</v>
      </c>
      <c r="AP54" s="258">
        <v>0</v>
      </c>
      <c r="AQ54" s="258">
        <v>0</v>
      </c>
      <c r="AR54" s="258">
        <v>0</v>
      </c>
      <c r="AS54" s="258">
        <v>2900</v>
      </c>
      <c r="AT54" s="258">
        <v>2900</v>
      </c>
      <c r="AU54" s="258">
        <v>1183200</v>
      </c>
      <c r="AV54" s="256" t="s">
        <v>858</v>
      </c>
      <c r="AW54" s="256" t="s">
        <v>594</v>
      </c>
      <c r="AX54" s="257" t="s">
        <v>595</v>
      </c>
      <c r="AY54" s="257" t="s">
        <v>595</v>
      </c>
      <c r="AZ54" s="256" t="s">
        <v>859</v>
      </c>
      <c r="BA54" s="256" t="s">
        <v>860</v>
      </c>
      <c r="BB54" s="256" t="s">
        <v>861</v>
      </c>
      <c r="BC54" s="256" t="s">
        <v>1001</v>
      </c>
      <c r="BD54" s="256" t="s">
        <v>1002</v>
      </c>
      <c r="BE54" s="258">
        <v>77</v>
      </c>
      <c r="BF54" s="256" t="s">
        <v>1102</v>
      </c>
      <c r="BG54" s="256" t="s">
        <v>636</v>
      </c>
      <c r="BH54" s="257" t="s">
        <v>637</v>
      </c>
      <c r="BI54" s="256" t="s">
        <v>595</v>
      </c>
      <c r="BJ54" s="256" t="s">
        <v>601</v>
      </c>
      <c r="BK54" s="256" t="s">
        <v>595</v>
      </c>
      <c r="BL54" s="256" t="s">
        <v>595</v>
      </c>
      <c r="BM54" s="256" t="s">
        <v>595</v>
      </c>
      <c r="BN54" s="256" t="s">
        <v>594</v>
      </c>
      <c r="BO54" s="256" t="s">
        <v>905</v>
      </c>
      <c r="BP54" s="257" t="s">
        <v>906</v>
      </c>
      <c r="BQ54" s="256" t="s">
        <v>604</v>
      </c>
      <c r="BR54" s="256" t="s">
        <v>605</v>
      </c>
      <c r="BS54" s="256" t="s">
        <v>595</v>
      </c>
      <c r="BT54" s="91">
        <f t="shared" si="0"/>
        <v>45875</v>
      </c>
      <c r="BU54" s="91">
        <f t="array" ref="BU54">MIN(IF(H:H=H54,BT:BT ))</f>
        <v>45875</v>
      </c>
    </row>
    <row r="55" spans="1:73" x14ac:dyDescent="0.3">
      <c r="A55" s="256" t="s">
        <v>581</v>
      </c>
      <c r="B55" s="256" t="s">
        <v>582</v>
      </c>
      <c r="C55" s="256" t="s">
        <v>783</v>
      </c>
      <c r="D55" s="256" t="s">
        <v>862</v>
      </c>
      <c r="E55" s="257" t="s">
        <v>862</v>
      </c>
      <c r="F55" s="256" t="s">
        <v>583</v>
      </c>
      <c r="G55" s="257" t="s">
        <v>584</v>
      </c>
      <c r="H55" s="256">
        <v>331934</v>
      </c>
      <c r="I55" s="257" t="s">
        <v>708</v>
      </c>
      <c r="J55" s="256" t="s">
        <v>634</v>
      </c>
      <c r="K55" s="256" t="s">
        <v>587</v>
      </c>
      <c r="L55" s="256" t="s">
        <v>704</v>
      </c>
      <c r="M55" s="256" t="s">
        <v>705</v>
      </c>
      <c r="N55" s="256" t="s">
        <v>706</v>
      </c>
      <c r="O55" s="256" t="s">
        <v>591</v>
      </c>
      <c r="P55" s="256" t="s">
        <v>592</v>
      </c>
      <c r="Q55" s="258">
        <v>10</v>
      </c>
      <c r="R55" s="258">
        <v>800</v>
      </c>
      <c r="S55" s="258">
        <v>1000</v>
      </c>
      <c r="T55" s="258">
        <v>1</v>
      </c>
      <c r="U55" s="258">
        <v>0</v>
      </c>
      <c r="V55" s="258">
        <v>0</v>
      </c>
      <c r="W55" s="258">
        <v>800</v>
      </c>
      <c r="X55" s="258">
        <v>800</v>
      </c>
      <c r="Y55" s="258">
        <v>1</v>
      </c>
      <c r="Z55" s="258">
        <v>0</v>
      </c>
      <c r="AA55" s="258">
        <v>0</v>
      </c>
      <c r="AB55" s="258">
        <v>800</v>
      </c>
      <c r="AC55" s="258">
        <v>800</v>
      </c>
      <c r="AD55" s="258">
        <v>0</v>
      </c>
      <c r="AE55" s="258">
        <v>0</v>
      </c>
      <c r="AF55" s="258">
        <v>0</v>
      </c>
      <c r="AG55" s="258">
        <v>0</v>
      </c>
      <c r="AH55" s="258">
        <v>0</v>
      </c>
      <c r="AI55" s="258">
        <v>0</v>
      </c>
      <c r="AJ55" s="258">
        <v>0</v>
      </c>
      <c r="AK55" s="258">
        <v>0</v>
      </c>
      <c r="AL55" s="258">
        <v>0</v>
      </c>
      <c r="AM55" s="258">
        <v>0</v>
      </c>
      <c r="AN55" s="258">
        <v>0</v>
      </c>
      <c r="AO55" s="258">
        <v>0</v>
      </c>
      <c r="AP55" s="258">
        <v>0</v>
      </c>
      <c r="AQ55" s="258">
        <v>0</v>
      </c>
      <c r="AR55" s="258">
        <v>0</v>
      </c>
      <c r="AS55" s="258">
        <v>2900</v>
      </c>
      <c r="AT55" s="258">
        <v>2900</v>
      </c>
      <c r="AU55" s="258">
        <v>2320000</v>
      </c>
      <c r="AV55" s="256" t="s">
        <v>858</v>
      </c>
      <c r="AW55" s="256" t="s">
        <v>594</v>
      </c>
      <c r="AX55" s="257" t="s">
        <v>595</v>
      </c>
      <c r="AY55" s="257" t="s">
        <v>595</v>
      </c>
      <c r="AZ55" s="256" t="s">
        <v>859</v>
      </c>
      <c r="BA55" s="256" t="s">
        <v>860</v>
      </c>
      <c r="BB55" s="256" t="s">
        <v>861</v>
      </c>
      <c r="BC55" s="256" t="s">
        <v>1001</v>
      </c>
      <c r="BD55" s="256" t="s">
        <v>1002</v>
      </c>
      <c r="BE55" s="258">
        <v>77</v>
      </c>
      <c r="BF55" s="256" t="s">
        <v>1102</v>
      </c>
      <c r="BG55" s="256" t="s">
        <v>636</v>
      </c>
      <c r="BH55" s="257" t="s">
        <v>637</v>
      </c>
      <c r="BI55" s="256" t="s">
        <v>595</v>
      </c>
      <c r="BJ55" s="256" t="s">
        <v>601</v>
      </c>
      <c r="BK55" s="256" t="s">
        <v>595</v>
      </c>
      <c r="BL55" s="256" t="s">
        <v>595</v>
      </c>
      <c r="BM55" s="256" t="s">
        <v>595</v>
      </c>
      <c r="BN55" s="256" t="s">
        <v>594</v>
      </c>
      <c r="BO55" s="256" t="s">
        <v>905</v>
      </c>
      <c r="BP55" s="257" t="s">
        <v>906</v>
      </c>
      <c r="BQ55" s="256" t="s">
        <v>615</v>
      </c>
      <c r="BR55" s="256" t="s">
        <v>616</v>
      </c>
      <c r="BS55" s="256" t="s">
        <v>595</v>
      </c>
      <c r="BT55" s="91">
        <f t="shared" si="0"/>
        <v>45875</v>
      </c>
      <c r="BU55" s="91">
        <f t="array" ref="BU55">MIN(IF(H:H=H55,BT:BT ))</f>
        <v>45875</v>
      </c>
    </row>
    <row r="56" spans="1:73" x14ac:dyDescent="0.3">
      <c r="A56" s="256" t="s">
        <v>581</v>
      </c>
      <c r="B56" s="256" t="s">
        <v>582</v>
      </c>
      <c r="C56" s="256" t="s">
        <v>783</v>
      </c>
      <c r="D56" s="256" t="s">
        <v>863</v>
      </c>
      <c r="E56" s="257" t="s">
        <v>863</v>
      </c>
      <c r="F56" s="256" t="s">
        <v>583</v>
      </c>
      <c r="G56" s="257" t="s">
        <v>584</v>
      </c>
      <c r="H56" s="256">
        <v>331934</v>
      </c>
      <c r="I56" s="257" t="s">
        <v>708</v>
      </c>
      <c r="J56" s="256" t="s">
        <v>634</v>
      </c>
      <c r="K56" s="256" t="s">
        <v>587</v>
      </c>
      <c r="L56" s="256" t="s">
        <v>704</v>
      </c>
      <c r="M56" s="256" t="s">
        <v>705</v>
      </c>
      <c r="N56" s="256" t="s">
        <v>706</v>
      </c>
      <c r="O56" s="256" t="s">
        <v>591</v>
      </c>
      <c r="P56" s="256" t="s">
        <v>592</v>
      </c>
      <c r="Q56" s="258">
        <v>10</v>
      </c>
      <c r="R56" s="258">
        <v>800</v>
      </c>
      <c r="S56" s="258">
        <v>1000</v>
      </c>
      <c r="T56" s="258">
        <v>1</v>
      </c>
      <c r="U56" s="258">
        <v>0</v>
      </c>
      <c r="V56" s="258">
        <v>0</v>
      </c>
      <c r="W56" s="258">
        <v>800</v>
      </c>
      <c r="X56" s="258">
        <v>800</v>
      </c>
      <c r="Y56" s="258">
        <v>1</v>
      </c>
      <c r="Z56" s="258">
        <v>0</v>
      </c>
      <c r="AA56" s="258">
        <v>0</v>
      </c>
      <c r="AB56" s="258">
        <v>800</v>
      </c>
      <c r="AC56" s="258">
        <v>800</v>
      </c>
      <c r="AD56" s="258">
        <v>0</v>
      </c>
      <c r="AE56" s="258">
        <v>0</v>
      </c>
      <c r="AF56" s="258">
        <v>0</v>
      </c>
      <c r="AG56" s="258">
        <v>0</v>
      </c>
      <c r="AH56" s="258">
        <v>0</v>
      </c>
      <c r="AI56" s="258">
        <v>0</v>
      </c>
      <c r="AJ56" s="258">
        <v>0</v>
      </c>
      <c r="AK56" s="258">
        <v>0</v>
      </c>
      <c r="AL56" s="258">
        <v>0</v>
      </c>
      <c r="AM56" s="258">
        <v>0</v>
      </c>
      <c r="AN56" s="258">
        <v>0</v>
      </c>
      <c r="AO56" s="258">
        <v>0</v>
      </c>
      <c r="AP56" s="258">
        <v>0</v>
      </c>
      <c r="AQ56" s="258">
        <v>0</v>
      </c>
      <c r="AR56" s="258">
        <v>0</v>
      </c>
      <c r="AS56" s="258">
        <v>2900</v>
      </c>
      <c r="AT56" s="258">
        <v>2900</v>
      </c>
      <c r="AU56" s="258">
        <v>2320000</v>
      </c>
      <c r="AV56" s="256" t="s">
        <v>858</v>
      </c>
      <c r="AW56" s="256" t="s">
        <v>594</v>
      </c>
      <c r="AX56" s="257" t="s">
        <v>595</v>
      </c>
      <c r="AY56" s="257" t="s">
        <v>595</v>
      </c>
      <c r="AZ56" s="256" t="s">
        <v>859</v>
      </c>
      <c r="BA56" s="256" t="s">
        <v>860</v>
      </c>
      <c r="BB56" s="256" t="s">
        <v>861</v>
      </c>
      <c r="BC56" s="256" t="s">
        <v>1001</v>
      </c>
      <c r="BD56" s="256" t="s">
        <v>1002</v>
      </c>
      <c r="BE56" s="258">
        <v>77</v>
      </c>
      <c r="BF56" s="256" t="s">
        <v>1102</v>
      </c>
      <c r="BG56" s="256" t="s">
        <v>636</v>
      </c>
      <c r="BH56" s="257" t="s">
        <v>637</v>
      </c>
      <c r="BI56" s="256" t="s">
        <v>595</v>
      </c>
      <c r="BJ56" s="256" t="s">
        <v>601</v>
      </c>
      <c r="BK56" s="256" t="s">
        <v>595</v>
      </c>
      <c r="BL56" s="256" t="s">
        <v>595</v>
      </c>
      <c r="BM56" s="256" t="s">
        <v>595</v>
      </c>
      <c r="BN56" s="256" t="s">
        <v>594</v>
      </c>
      <c r="BO56" s="256" t="s">
        <v>905</v>
      </c>
      <c r="BP56" s="257" t="s">
        <v>906</v>
      </c>
      <c r="BQ56" s="256" t="s">
        <v>615</v>
      </c>
      <c r="BR56" s="256" t="s">
        <v>616</v>
      </c>
      <c r="BS56" s="256" t="s">
        <v>595</v>
      </c>
      <c r="BT56" s="91">
        <f t="shared" si="0"/>
        <v>45875</v>
      </c>
      <c r="BU56" s="91">
        <f t="array" ref="BU56">MIN(IF(H:H=H56,BT:BT ))</f>
        <v>45875</v>
      </c>
    </row>
    <row r="57" spans="1:73" x14ac:dyDescent="0.3">
      <c r="A57" s="256" t="s">
        <v>581</v>
      </c>
      <c r="B57" s="256" t="s">
        <v>582</v>
      </c>
      <c r="C57" s="256" t="s">
        <v>783</v>
      </c>
      <c r="D57" s="256" t="s">
        <v>864</v>
      </c>
      <c r="E57" s="257" t="s">
        <v>864</v>
      </c>
      <c r="F57" s="256" t="s">
        <v>583</v>
      </c>
      <c r="G57" s="257" t="s">
        <v>584</v>
      </c>
      <c r="H57" s="256">
        <v>331934</v>
      </c>
      <c r="I57" s="257" t="s">
        <v>708</v>
      </c>
      <c r="J57" s="256" t="s">
        <v>634</v>
      </c>
      <c r="K57" s="256" t="s">
        <v>587</v>
      </c>
      <c r="L57" s="256" t="s">
        <v>704</v>
      </c>
      <c r="M57" s="256" t="s">
        <v>705</v>
      </c>
      <c r="N57" s="256" t="s">
        <v>706</v>
      </c>
      <c r="O57" s="256" t="s">
        <v>591</v>
      </c>
      <c r="P57" s="256" t="s">
        <v>592</v>
      </c>
      <c r="Q57" s="258">
        <v>10</v>
      </c>
      <c r="R57" s="258">
        <v>800</v>
      </c>
      <c r="S57" s="258">
        <v>1000</v>
      </c>
      <c r="T57" s="258">
        <v>1</v>
      </c>
      <c r="U57" s="258">
        <v>0</v>
      </c>
      <c r="V57" s="258">
        <v>0</v>
      </c>
      <c r="W57" s="258">
        <v>800</v>
      </c>
      <c r="X57" s="258">
        <v>800</v>
      </c>
      <c r="Y57" s="258">
        <v>1</v>
      </c>
      <c r="Z57" s="258">
        <v>0</v>
      </c>
      <c r="AA57" s="258">
        <v>0</v>
      </c>
      <c r="AB57" s="258">
        <v>800</v>
      </c>
      <c r="AC57" s="258">
        <v>800</v>
      </c>
      <c r="AD57" s="258">
        <v>0</v>
      </c>
      <c r="AE57" s="258">
        <v>0</v>
      </c>
      <c r="AF57" s="258">
        <v>0</v>
      </c>
      <c r="AG57" s="258">
        <v>0</v>
      </c>
      <c r="AH57" s="258">
        <v>0</v>
      </c>
      <c r="AI57" s="258">
        <v>0</v>
      </c>
      <c r="AJ57" s="258">
        <v>0</v>
      </c>
      <c r="AK57" s="258">
        <v>0</v>
      </c>
      <c r="AL57" s="258">
        <v>0</v>
      </c>
      <c r="AM57" s="258">
        <v>0</v>
      </c>
      <c r="AN57" s="258">
        <v>0</v>
      </c>
      <c r="AO57" s="258">
        <v>0</v>
      </c>
      <c r="AP57" s="258">
        <v>0</v>
      </c>
      <c r="AQ57" s="258">
        <v>0</v>
      </c>
      <c r="AR57" s="258">
        <v>0</v>
      </c>
      <c r="AS57" s="258">
        <v>2900</v>
      </c>
      <c r="AT57" s="258">
        <v>2900</v>
      </c>
      <c r="AU57" s="258">
        <v>2320000</v>
      </c>
      <c r="AV57" s="256" t="s">
        <v>858</v>
      </c>
      <c r="AW57" s="256" t="s">
        <v>594</v>
      </c>
      <c r="AX57" s="257" t="s">
        <v>595</v>
      </c>
      <c r="AY57" s="257" t="s">
        <v>595</v>
      </c>
      <c r="AZ57" s="256" t="s">
        <v>859</v>
      </c>
      <c r="BA57" s="256" t="s">
        <v>860</v>
      </c>
      <c r="BB57" s="256" t="s">
        <v>861</v>
      </c>
      <c r="BC57" s="256" t="s">
        <v>1001</v>
      </c>
      <c r="BD57" s="256" t="s">
        <v>1002</v>
      </c>
      <c r="BE57" s="258">
        <v>77</v>
      </c>
      <c r="BF57" s="256" t="s">
        <v>1102</v>
      </c>
      <c r="BG57" s="256" t="s">
        <v>636</v>
      </c>
      <c r="BH57" s="257" t="s">
        <v>637</v>
      </c>
      <c r="BI57" s="256" t="s">
        <v>595</v>
      </c>
      <c r="BJ57" s="256" t="s">
        <v>601</v>
      </c>
      <c r="BK57" s="256" t="s">
        <v>595</v>
      </c>
      <c r="BL57" s="256" t="s">
        <v>595</v>
      </c>
      <c r="BM57" s="256" t="s">
        <v>595</v>
      </c>
      <c r="BN57" s="256" t="s">
        <v>594</v>
      </c>
      <c r="BO57" s="256" t="s">
        <v>905</v>
      </c>
      <c r="BP57" s="257" t="s">
        <v>906</v>
      </c>
      <c r="BQ57" s="256" t="s">
        <v>611</v>
      </c>
      <c r="BR57" s="256" t="s">
        <v>612</v>
      </c>
      <c r="BS57" s="256" t="s">
        <v>595</v>
      </c>
      <c r="BT57" s="91">
        <f t="shared" si="0"/>
        <v>45875</v>
      </c>
      <c r="BU57" s="91">
        <f t="array" ref="BU57">MIN(IF(H:H=H57,BT:BT ))</f>
        <v>45875</v>
      </c>
    </row>
    <row r="58" spans="1:73" x14ac:dyDescent="0.3">
      <c r="A58" s="256" t="s">
        <v>581</v>
      </c>
      <c r="B58" s="256" t="s">
        <v>582</v>
      </c>
      <c r="C58" s="256" t="s">
        <v>783</v>
      </c>
      <c r="D58" s="256" t="s">
        <v>865</v>
      </c>
      <c r="E58" s="257" t="s">
        <v>865</v>
      </c>
      <c r="F58" s="256" t="s">
        <v>583</v>
      </c>
      <c r="G58" s="257" t="s">
        <v>584</v>
      </c>
      <c r="H58" s="256">
        <v>331934</v>
      </c>
      <c r="I58" s="257" t="s">
        <v>708</v>
      </c>
      <c r="J58" s="256" t="s">
        <v>634</v>
      </c>
      <c r="K58" s="256" t="s">
        <v>587</v>
      </c>
      <c r="L58" s="256" t="s">
        <v>704</v>
      </c>
      <c r="M58" s="256" t="s">
        <v>705</v>
      </c>
      <c r="N58" s="256" t="s">
        <v>706</v>
      </c>
      <c r="O58" s="256" t="s">
        <v>591</v>
      </c>
      <c r="P58" s="256" t="s">
        <v>592</v>
      </c>
      <c r="Q58" s="258">
        <v>10</v>
      </c>
      <c r="R58" s="258">
        <v>800</v>
      </c>
      <c r="S58" s="258">
        <v>1000</v>
      </c>
      <c r="T58" s="258">
        <v>1</v>
      </c>
      <c r="U58" s="258">
        <v>0</v>
      </c>
      <c r="V58" s="258">
        <v>0</v>
      </c>
      <c r="W58" s="258">
        <v>800</v>
      </c>
      <c r="X58" s="258">
        <v>800</v>
      </c>
      <c r="Y58" s="258">
        <v>1</v>
      </c>
      <c r="Z58" s="258">
        <v>0</v>
      </c>
      <c r="AA58" s="258">
        <v>0</v>
      </c>
      <c r="AB58" s="258">
        <v>800</v>
      </c>
      <c r="AC58" s="258">
        <v>800</v>
      </c>
      <c r="AD58" s="258">
        <v>0</v>
      </c>
      <c r="AE58" s="258">
        <v>0</v>
      </c>
      <c r="AF58" s="258">
        <v>0</v>
      </c>
      <c r="AG58" s="258">
        <v>0</v>
      </c>
      <c r="AH58" s="258">
        <v>0</v>
      </c>
      <c r="AI58" s="258">
        <v>0</v>
      </c>
      <c r="AJ58" s="258">
        <v>0</v>
      </c>
      <c r="AK58" s="258">
        <v>0</v>
      </c>
      <c r="AL58" s="258">
        <v>0</v>
      </c>
      <c r="AM58" s="258">
        <v>0</v>
      </c>
      <c r="AN58" s="258">
        <v>0</v>
      </c>
      <c r="AO58" s="258">
        <v>0</v>
      </c>
      <c r="AP58" s="258">
        <v>0</v>
      </c>
      <c r="AQ58" s="258">
        <v>0</v>
      </c>
      <c r="AR58" s="258">
        <v>0</v>
      </c>
      <c r="AS58" s="258">
        <v>2900</v>
      </c>
      <c r="AT58" s="258">
        <v>2900</v>
      </c>
      <c r="AU58" s="258">
        <v>2320000</v>
      </c>
      <c r="AV58" s="256" t="s">
        <v>858</v>
      </c>
      <c r="AW58" s="256" t="s">
        <v>594</v>
      </c>
      <c r="AX58" s="257" t="s">
        <v>595</v>
      </c>
      <c r="AY58" s="257" t="s">
        <v>595</v>
      </c>
      <c r="AZ58" s="256" t="s">
        <v>859</v>
      </c>
      <c r="BA58" s="256" t="s">
        <v>860</v>
      </c>
      <c r="BB58" s="256" t="s">
        <v>861</v>
      </c>
      <c r="BC58" s="256" t="s">
        <v>1001</v>
      </c>
      <c r="BD58" s="256" t="s">
        <v>1002</v>
      </c>
      <c r="BE58" s="258">
        <v>77</v>
      </c>
      <c r="BF58" s="256" t="s">
        <v>1102</v>
      </c>
      <c r="BG58" s="256" t="s">
        <v>636</v>
      </c>
      <c r="BH58" s="257" t="s">
        <v>637</v>
      </c>
      <c r="BI58" s="256" t="s">
        <v>595</v>
      </c>
      <c r="BJ58" s="256" t="s">
        <v>601</v>
      </c>
      <c r="BK58" s="256" t="s">
        <v>595</v>
      </c>
      <c r="BL58" s="256" t="s">
        <v>595</v>
      </c>
      <c r="BM58" s="256" t="s">
        <v>595</v>
      </c>
      <c r="BN58" s="256" t="s">
        <v>594</v>
      </c>
      <c r="BO58" s="256" t="s">
        <v>905</v>
      </c>
      <c r="BP58" s="257" t="s">
        <v>906</v>
      </c>
      <c r="BQ58" s="256" t="s">
        <v>611</v>
      </c>
      <c r="BR58" s="256" t="s">
        <v>612</v>
      </c>
      <c r="BS58" s="256" t="s">
        <v>595</v>
      </c>
      <c r="BT58" s="91">
        <f t="shared" si="0"/>
        <v>45875</v>
      </c>
      <c r="BU58" s="91">
        <f t="array" ref="BU58">MIN(IF(H:H=H58,BT:BT ))</f>
        <v>45875</v>
      </c>
    </row>
    <row r="59" spans="1:73" x14ac:dyDescent="0.3">
      <c r="A59" s="256" t="s">
        <v>581</v>
      </c>
      <c r="B59" s="256" t="s">
        <v>582</v>
      </c>
      <c r="C59" s="256" t="s">
        <v>783</v>
      </c>
      <c r="D59" s="256" t="s">
        <v>866</v>
      </c>
      <c r="E59" s="257" t="s">
        <v>866</v>
      </c>
      <c r="F59" s="256" t="s">
        <v>583</v>
      </c>
      <c r="G59" s="257" t="s">
        <v>584</v>
      </c>
      <c r="H59" s="256">
        <v>331934</v>
      </c>
      <c r="I59" s="257" t="s">
        <v>708</v>
      </c>
      <c r="J59" s="256" t="s">
        <v>634</v>
      </c>
      <c r="K59" s="256" t="s">
        <v>587</v>
      </c>
      <c r="L59" s="256" t="s">
        <v>704</v>
      </c>
      <c r="M59" s="256" t="s">
        <v>705</v>
      </c>
      <c r="N59" s="256" t="s">
        <v>706</v>
      </c>
      <c r="O59" s="256" t="s">
        <v>591</v>
      </c>
      <c r="P59" s="256" t="s">
        <v>592</v>
      </c>
      <c r="Q59" s="258">
        <v>10</v>
      </c>
      <c r="R59" s="258">
        <v>800</v>
      </c>
      <c r="S59" s="258">
        <v>1000</v>
      </c>
      <c r="T59" s="258">
        <v>1</v>
      </c>
      <c r="U59" s="258">
        <v>0</v>
      </c>
      <c r="V59" s="258">
        <v>0</v>
      </c>
      <c r="W59" s="258">
        <v>800</v>
      </c>
      <c r="X59" s="258">
        <v>800</v>
      </c>
      <c r="Y59" s="258">
        <v>1</v>
      </c>
      <c r="Z59" s="258">
        <v>0</v>
      </c>
      <c r="AA59" s="258">
        <v>0</v>
      </c>
      <c r="AB59" s="258">
        <v>800</v>
      </c>
      <c r="AC59" s="258">
        <v>800</v>
      </c>
      <c r="AD59" s="258">
        <v>0</v>
      </c>
      <c r="AE59" s="258">
        <v>0</v>
      </c>
      <c r="AF59" s="258">
        <v>0</v>
      </c>
      <c r="AG59" s="258">
        <v>0</v>
      </c>
      <c r="AH59" s="258">
        <v>0</v>
      </c>
      <c r="AI59" s="258">
        <v>0</v>
      </c>
      <c r="AJ59" s="258">
        <v>0</v>
      </c>
      <c r="AK59" s="258">
        <v>0</v>
      </c>
      <c r="AL59" s="258">
        <v>0</v>
      </c>
      <c r="AM59" s="258">
        <v>0</v>
      </c>
      <c r="AN59" s="258">
        <v>0</v>
      </c>
      <c r="AO59" s="258">
        <v>0</v>
      </c>
      <c r="AP59" s="258">
        <v>0</v>
      </c>
      <c r="AQ59" s="258">
        <v>0</v>
      </c>
      <c r="AR59" s="258">
        <v>0</v>
      </c>
      <c r="AS59" s="258">
        <v>2900</v>
      </c>
      <c r="AT59" s="258">
        <v>2900</v>
      </c>
      <c r="AU59" s="258">
        <v>2320000</v>
      </c>
      <c r="AV59" s="256" t="s">
        <v>858</v>
      </c>
      <c r="AW59" s="256" t="s">
        <v>594</v>
      </c>
      <c r="AX59" s="257" t="s">
        <v>595</v>
      </c>
      <c r="AY59" s="257" t="s">
        <v>595</v>
      </c>
      <c r="AZ59" s="256" t="s">
        <v>859</v>
      </c>
      <c r="BA59" s="256" t="s">
        <v>860</v>
      </c>
      <c r="BB59" s="256" t="s">
        <v>861</v>
      </c>
      <c r="BC59" s="256" t="s">
        <v>1001</v>
      </c>
      <c r="BD59" s="256" t="s">
        <v>1002</v>
      </c>
      <c r="BE59" s="258">
        <v>77</v>
      </c>
      <c r="BF59" s="256" t="s">
        <v>1102</v>
      </c>
      <c r="BG59" s="256" t="s">
        <v>636</v>
      </c>
      <c r="BH59" s="257" t="s">
        <v>637</v>
      </c>
      <c r="BI59" s="256" t="s">
        <v>595</v>
      </c>
      <c r="BJ59" s="256" t="s">
        <v>601</v>
      </c>
      <c r="BK59" s="256" t="s">
        <v>595</v>
      </c>
      <c r="BL59" s="256" t="s">
        <v>595</v>
      </c>
      <c r="BM59" s="256" t="s">
        <v>595</v>
      </c>
      <c r="BN59" s="256" t="s">
        <v>594</v>
      </c>
      <c r="BO59" s="256" t="s">
        <v>905</v>
      </c>
      <c r="BP59" s="257" t="s">
        <v>906</v>
      </c>
      <c r="BQ59" s="256" t="s">
        <v>615</v>
      </c>
      <c r="BR59" s="256" t="s">
        <v>616</v>
      </c>
      <c r="BS59" s="256" t="s">
        <v>595</v>
      </c>
      <c r="BT59" s="91">
        <f t="shared" si="0"/>
        <v>45875</v>
      </c>
      <c r="BU59" s="91">
        <f t="array" ref="BU59">MIN(IF(H:H=H59,BT:BT ))</f>
        <v>45875</v>
      </c>
    </row>
    <row r="60" spans="1:73" x14ac:dyDescent="0.3">
      <c r="A60" s="256" t="s">
        <v>581</v>
      </c>
      <c r="B60" s="256" t="s">
        <v>582</v>
      </c>
      <c r="C60" s="256" t="s">
        <v>783</v>
      </c>
      <c r="D60" s="256" t="s">
        <v>975</v>
      </c>
      <c r="E60" s="257" t="s">
        <v>975</v>
      </c>
      <c r="F60" s="256" t="s">
        <v>583</v>
      </c>
      <c r="G60" s="257" t="s">
        <v>584</v>
      </c>
      <c r="H60" s="256">
        <v>340495</v>
      </c>
      <c r="I60" s="257" t="s">
        <v>976</v>
      </c>
      <c r="J60" s="256" t="s">
        <v>634</v>
      </c>
      <c r="K60" s="256" t="s">
        <v>621</v>
      </c>
      <c r="L60" s="256" t="s">
        <v>704</v>
      </c>
      <c r="M60" s="256" t="s">
        <v>705</v>
      </c>
      <c r="N60" s="256" t="s">
        <v>706</v>
      </c>
      <c r="O60" s="256" t="s">
        <v>591</v>
      </c>
      <c r="P60" s="256" t="s">
        <v>592</v>
      </c>
      <c r="Q60" s="258">
        <v>10</v>
      </c>
      <c r="R60" s="258">
        <v>800</v>
      </c>
      <c r="S60" s="258">
        <v>1000</v>
      </c>
      <c r="T60" s="258">
        <v>0</v>
      </c>
      <c r="U60" s="258">
        <v>73</v>
      </c>
      <c r="V60" s="258">
        <v>4</v>
      </c>
      <c r="W60" s="258">
        <v>734</v>
      </c>
      <c r="X60" s="258">
        <v>734</v>
      </c>
      <c r="Y60" s="258">
        <v>0</v>
      </c>
      <c r="Z60" s="258">
        <v>73</v>
      </c>
      <c r="AA60" s="258">
        <v>4</v>
      </c>
      <c r="AB60" s="258">
        <v>734</v>
      </c>
      <c r="AC60" s="258">
        <v>734</v>
      </c>
      <c r="AD60" s="258">
        <v>0</v>
      </c>
      <c r="AE60" s="258">
        <v>0</v>
      </c>
      <c r="AF60" s="258">
        <v>0</v>
      </c>
      <c r="AG60" s="258">
        <v>0</v>
      </c>
      <c r="AH60" s="258">
        <v>0</v>
      </c>
      <c r="AI60" s="258">
        <v>0</v>
      </c>
      <c r="AJ60" s="258">
        <v>0</v>
      </c>
      <c r="AK60" s="258">
        <v>0</v>
      </c>
      <c r="AL60" s="258">
        <v>0</v>
      </c>
      <c r="AM60" s="258">
        <v>0</v>
      </c>
      <c r="AN60" s="258">
        <v>0</v>
      </c>
      <c r="AO60" s="258">
        <v>0</v>
      </c>
      <c r="AP60" s="258">
        <v>0</v>
      </c>
      <c r="AQ60" s="258">
        <v>0</v>
      </c>
      <c r="AR60" s="258">
        <v>0</v>
      </c>
      <c r="AS60" s="258">
        <v>2150</v>
      </c>
      <c r="AT60" s="258">
        <v>2150</v>
      </c>
      <c r="AU60" s="258">
        <v>1578100</v>
      </c>
      <c r="AV60" s="256" t="s">
        <v>977</v>
      </c>
      <c r="AW60" s="256" t="s">
        <v>594</v>
      </c>
      <c r="AX60" s="257" t="s">
        <v>595</v>
      </c>
      <c r="AY60" s="257" t="s">
        <v>595</v>
      </c>
      <c r="AZ60" s="256" t="s">
        <v>978</v>
      </c>
      <c r="BA60" s="256" t="s">
        <v>978</v>
      </c>
      <c r="BB60" s="256" t="s">
        <v>979</v>
      </c>
      <c r="BC60" s="256" t="s">
        <v>595</v>
      </c>
      <c r="BD60" s="256" t="s">
        <v>595</v>
      </c>
      <c r="BE60" s="258">
        <v>154</v>
      </c>
      <c r="BF60" s="256" t="s">
        <v>1105</v>
      </c>
      <c r="BG60" s="256" t="s">
        <v>636</v>
      </c>
      <c r="BH60" s="257" t="s">
        <v>637</v>
      </c>
      <c r="BI60" s="256" t="s">
        <v>595</v>
      </c>
      <c r="BJ60" s="256" t="s">
        <v>601</v>
      </c>
      <c r="BK60" s="256" t="s">
        <v>595</v>
      </c>
      <c r="BL60" s="256" t="s">
        <v>595</v>
      </c>
      <c r="BM60" s="256" t="s">
        <v>595</v>
      </c>
      <c r="BN60" s="256" t="s">
        <v>594</v>
      </c>
      <c r="BO60" s="256" t="s">
        <v>905</v>
      </c>
      <c r="BP60" s="257" t="s">
        <v>906</v>
      </c>
      <c r="BQ60" s="256" t="s">
        <v>604</v>
      </c>
      <c r="BR60" s="256" t="s">
        <v>605</v>
      </c>
      <c r="BS60" s="256" t="s">
        <v>595</v>
      </c>
      <c r="BT60" s="91">
        <f t="shared" si="0"/>
        <v>45952</v>
      </c>
      <c r="BU60" s="91">
        <f t="array" ref="BU60">MIN(IF(H:H=H60,BT:BT ))</f>
        <v>45952</v>
      </c>
    </row>
    <row r="61" spans="1:73" x14ac:dyDescent="0.3">
      <c r="A61" s="256" t="s">
        <v>581</v>
      </c>
      <c r="B61" s="256" t="s">
        <v>582</v>
      </c>
      <c r="C61" s="256" t="s">
        <v>783</v>
      </c>
      <c r="D61" s="256" t="s">
        <v>867</v>
      </c>
      <c r="E61" s="257" t="s">
        <v>867</v>
      </c>
      <c r="F61" s="256" t="s">
        <v>583</v>
      </c>
      <c r="G61" s="257" t="s">
        <v>584</v>
      </c>
      <c r="H61" s="256">
        <v>331934</v>
      </c>
      <c r="I61" s="257" t="s">
        <v>708</v>
      </c>
      <c r="J61" s="256" t="s">
        <v>634</v>
      </c>
      <c r="K61" s="256" t="s">
        <v>587</v>
      </c>
      <c r="L61" s="256" t="s">
        <v>704</v>
      </c>
      <c r="M61" s="256" t="s">
        <v>705</v>
      </c>
      <c r="N61" s="256" t="s">
        <v>706</v>
      </c>
      <c r="O61" s="256" t="s">
        <v>591</v>
      </c>
      <c r="P61" s="256" t="s">
        <v>592</v>
      </c>
      <c r="Q61" s="258">
        <v>10</v>
      </c>
      <c r="R61" s="258">
        <v>800</v>
      </c>
      <c r="S61" s="258">
        <v>1000</v>
      </c>
      <c r="T61" s="258">
        <v>1</v>
      </c>
      <c r="U61" s="258">
        <v>0</v>
      </c>
      <c r="V61" s="258">
        <v>0</v>
      </c>
      <c r="W61" s="258">
        <v>800</v>
      </c>
      <c r="X61" s="258">
        <v>800</v>
      </c>
      <c r="Y61" s="258">
        <v>1</v>
      </c>
      <c r="Z61" s="258">
        <v>0</v>
      </c>
      <c r="AA61" s="258">
        <v>0</v>
      </c>
      <c r="AB61" s="258">
        <v>800</v>
      </c>
      <c r="AC61" s="258">
        <v>800</v>
      </c>
      <c r="AD61" s="258">
        <v>0</v>
      </c>
      <c r="AE61" s="258">
        <v>0</v>
      </c>
      <c r="AF61" s="258">
        <v>0</v>
      </c>
      <c r="AG61" s="258">
        <v>0</v>
      </c>
      <c r="AH61" s="258">
        <v>0</v>
      </c>
      <c r="AI61" s="258">
        <v>0</v>
      </c>
      <c r="AJ61" s="258">
        <v>0</v>
      </c>
      <c r="AK61" s="258">
        <v>0</v>
      </c>
      <c r="AL61" s="258">
        <v>0</v>
      </c>
      <c r="AM61" s="258">
        <v>0</v>
      </c>
      <c r="AN61" s="258">
        <v>0</v>
      </c>
      <c r="AO61" s="258">
        <v>0</v>
      </c>
      <c r="AP61" s="258">
        <v>0</v>
      </c>
      <c r="AQ61" s="258">
        <v>0</v>
      </c>
      <c r="AR61" s="258">
        <v>0</v>
      </c>
      <c r="AS61" s="258">
        <v>2900</v>
      </c>
      <c r="AT61" s="258">
        <v>2900</v>
      </c>
      <c r="AU61" s="258">
        <v>2320000</v>
      </c>
      <c r="AV61" s="256" t="s">
        <v>858</v>
      </c>
      <c r="AW61" s="256" t="s">
        <v>594</v>
      </c>
      <c r="AX61" s="257" t="s">
        <v>595</v>
      </c>
      <c r="AY61" s="257" t="s">
        <v>595</v>
      </c>
      <c r="AZ61" s="256" t="s">
        <v>859</v>
      </c>
      <c r="BA61" s="256" t="s">
        <v>860</v>
      </c>
      <c r="BB61" s="256" t="s">
        <v>861</v>
      </c>
      <c r="BC61" s="256" t="s">
        <v>1001</v>
      </c>
      <c r="BD61" s="256" t="s">
        <v>1002</v>
      </c>
      <c r="BE61" s="258">
        <v>77</v>
      </c>
      <c r="BF61" s="256" t="s">
        <v>1102</v>
      </c>
      <c r="BG61" s="256" t="s">
        <v>636</v>
      </c>
      <c r="BH61" s="257" t="s">
        <v>637</v>
      </c>
      <c r="BI61" s="256" t="s">
        <v>595</v>
      </c>
      <c r="BJ61" s="256" t="s">
        <v>601</v>
      </c>
      <c r="BK61" s="256" t="s">
        <v>595</v>
      </c>
      <c r="BL61" s="256" t="s">
        <v>595</v>
      </c>
      <c r="BM61" s="256" t="s">
        <v>595</v>
      </c>
      <c r="BN61" s="256" t="s">
        <v>594</v>
      </c>
      <c r="BO61" s="256" t="s">
        <v>905</v>
      </c>
      <c r="BP61" s="257" t="s">
        <v>906</v>
      </c>
      <c r="BQ61" s="256" t="s">
        <v>615</v>
      </c>
      <c r="BR61" s="256" t="s">
        <v>616</v>
      </c>
      <c r="BS61" s="256" t="s">
        <v>595</v>
      </c>
      <c r="BT61" s="91">
        <f t="shared" si="0"/>
        <v>45875</v>
      </c>
      <c r="BU61" s="91">
        <f t="array" ref="BU61">MIN(IF(H:H=H61,BT:BT ))</f>
        <v>45875</v>
      </c>
    </row>
    <row r="62" spans="1:73" x14ac:dyDescent="0.3">
      <c r="A62" s="256" t="s">
        <v>581</v>
      </c>
      <c r="B62" s="256" t="s">
        <v>582</v>
      </c>
      <c r="C62" s="256" t="s">
        <v>783</v>
      </c>
      <c r="D62" s="256" t="s">
        <v>868</v>
      </c>
      <c r="E62" s="257" t="s">
        <v>868</v>
      </c>
      <c r="F62" s="256" t="s">
        <v>583</v>
      </c>
      <c r="G62" s="257" t="s">
        <v>584</v>
      </c>
      <c r="H62" s="256">
        <v>331934</v>
      </c>
      <c r="I62" s="257" t="s">
        <v>708</v>
      </c>
      <c r="J62" s="256" t="s">
        <v>634</v>
      </c>
      <c r="K62" s="256" t="s">
        <v>587</v>
      </c>
      <c r="L62" s="256" t="s">
        <v>704</v>
      </c>
      <c r="M62" s="256" t="s">
        <v>705</v>
      </c>
      <c r="N62" s="256" t="s">
        <v>706</v>
      </c>
      <c r="O62" s="256" t="s">
        <v>591</v>
      </c>
      <c r="P62" s="256" t="s">
        <v>592</v>
      </c>
      <c r="Q62" s="258">
        <v>10</v>
      </c>
      <c r="R62" s="258">
        <v>800</v>
      </c>
      <c r="S62" s="258">
        <v>1000</v>
      </c>
      <c r="T62" s="258">
        <v>1</v>
      </c>
      <c r="U62" s="258">
        <v>0</v>
      </c>
      <c r="V62" s="258">
        <v>0</v>
      </c>
      <c r="W62" s="258">
        <v>800</v>
      </c>
      <c r="X62" s="258">
        <v>800</v>
      </c>
      <c r="Y62" s="258">
        <v>1</v>
      </c>
      <c r="Z62" s="258">
        <v>0</v>
      </c>
      <c r="AA62" s="258">
        <v>0</v>
      </c>
      <c r="AB62" s="258">
        <v>800</v>
      </c>
      <c r="AC62" s="258">
        <v>800</v>
      </c>
      <c r="AD62" s="258">
        <v>0</v>
      </c>
      <c r="AE62" s="258">
        <v>0</v>
      </c>
      <c r="AF62" s="258">
        <v>0</v>
      </c>
      <c r="AG62" s="258">
        <v>0</v>
      </c>
      <c r="AH62" s="258">
        <v>0</v>
      </c>
      <c r="AI62" s="258">
        <v>0</v>
      </c>
      <c r="AJ62" s="258">
        <v>0</v>
      </c>
      <c r="AK62" s="258">
        <v>0</v>
      </c>
      <c r="AL62" s="258">
        <v>0</v>
      </c>
      <c r="AM62" s="258">
        <v>0</v>
      </c>
      <c r="AN62" s="258">
        <v>0</v>
      </c>
      <c r="AO62" s="258">
        <v>0</v>
      </c>
      <c r="AP62" s="258">
        <v>0</v>
      </c>
      <c r="AQ62" s="258">
        <v>0</v>
      </c>
      <c r="AR62" s="258">
        <v>0</v>
      </c>
      <c r="AS62" s="258">
        <v>2900</v>
      </c>
      <c r="AT62" s="258">
        <v>2900</v>
      </c>
      <c r="AU62" s="258">
        <v>2320000</v>
      </c>
      <c r="AV62" s="256" t="s">
        <v>858</v>
      </c>
      <c r="AW62" s="256" t="s">
        <v>594</v>
      </c>
      <c r="AX62" s="257" t="s">
        <v>595</v>
      </c>
      <c r="AY62" s="257" t="s">
        <v>595</v>
      </c>
      <c r="AZ62" s="256" t="s">
        <v>859</v>
      </c>
      <c r="BA62" s="256" t="s">
        <v>860</v>
      </c>
      <c r="BB62" s="256" t="s">
        <v>861</v>
      </c>
      <c r="BC62" s="256" t="s">
        <v>1001</v>
      </c>
      <c r="BD62" s="256" t="s">
        <v>1002</v>
      </c>
      <c r="BE62" s="258">
        <v>77</v>
      </c>
      <c r="BF62" s="256" t="s">
        <v>1102</v>
      </c>
      <c r="BG62" s="256" t="s">
        <v>636</v>
      </c>
      <c r="BH62" s="257" t="s">
        <v>637</v>
      </c>
      <c r="BI62" s="256" t="s">
        <v>595</v>
      </c>
      <c r="BJ62" s="256" t="s">
        <v>601</v>
      </c>
      <c r="BK62" s="256" t="s">
        <v>595</v>
      </c>
      <c r="BL62" s="256" t="s">
        <v>595</v>
      </c>
      <c r="BM62" s="256" t="s">
        <v>595</v>
      </c>
      <c r="BN62" s="256" t="s">
        <v>594</v>
      </c>
      <c r="BO62" s="256" t="s">
        <v>905</v>
      </c>
      <c r="BP62" s="257" t="s">
        <v>906</v>
      </c>
      <c r="BQ62" s="256" t="s">
        <v>615</v>
      </c>
      <c r="BR62" s="256" t="s">
        <v>616</v>
      </c>
      <c r="BS62" s="256" t="s">
        <v>595</v>
      </c>
      <c r="BT62" s="91">
        <f t="shared" si="0"/>
        <v>45875</v>
      </c>
      <c r="BU62" s="91">
        <f t="array" ref="BU62">MIN(IF(H:H=H62,BT:BT ))</f>
        <v>45875</v>
      </c>
    </row>
    <row r="63" spans="1:73" x14ac:dyDescent="0.3">
      <c r="A63" s="256" t="s">
        <v>581</v>
      </c>
      <c r="B63" s="256" t="s">
        <v>582</v>
      </c>
      <c r="C63" s="256" t="s">
        <v>783</v>
      </c>
      <c r="D63" s="256" t="s">
        <v>869</v>
      </c>
      <c r="E63" s="257" t="s">
        <v>869</v>
      </c>
      <c r="F63" s="256" t="s">
        <v>583</v>
      </c>
      <c r="G63" s="257" t="s">
        <v>584</v>
      </c>
      <c r="H63" s="256">
        <v>331934</v>
      </c>
      <c r="I63" s="257" t="s">
        <v>708</v>
      </c>
      <c r="J63" s="256" t="s">
        <v>634</v>
      </c>
      <c r="K63" s="256" t="s">
        <v>587</v>
      </c>
      <c r="L63" s="256" t="s">
        <v>704</v>
      </c>
      <c r="M63" s="256" t="s">
        <v>705</v>
      </c>
      <c r="N63" s="256" t="s">
        <v>706</v>
      </c>
      <c r="O63" s="256" t="s">
        <v>591</v>
      </c>
      <c r="P63" s="256" t="s">
        <v>592</v>
      </c>
      <c r="Q63" s="258">
        <v>10</v>
      </c>
      <c r="R63" s="258">
        <v>800</v>
      </c>
      <c r="S63" s="258">
        <v>1000</v>
      </c>
      <c r="T63" s="258">
        <v>1</v>
      </c>
      <c r="U63" s="258">
        <v>0</v>
      </c>
      <c r="V63" s="258">
        <v>0</v>
      </c>
      <c r="W63" s="258">
        <v>800</v>
      </c>
      <c r="X63" s="258">
        <v>800</v>
      </c>
      <c r="Y63" s="258">
        <v>1</v>
      </c>
      <c r="Z63" s="258">
        <v>0</v>
      </c>
      <c r="AA63" s="258">
        <v>0</v>
      </c>
      <c r="AB63" s="258">
        <v>800</v>
      </c>
      <c r="AC63" s="258">
        <v>800</v>
      </c>
      <c r="AD63" s="258">
        <v>0</v>
      </c>
      <c r="AE63" s="258">
        <v>0</v>
      </c>
      <c r="AF63" s="258">
        <v>0</v>
      </c>
      <c r="AG63" s="258">
        <v>0</v>
      </c>
      <c r="AH63" s="258">
        <v>0</v>
      </c>
      <c r="AI63" s="258">
        <v>0</v>
      </c>
      <c r="AJ63" s="258">
        <v>0</v>
      </c>
      <c r="AK63" s="258">
        <v>0</v>
      </c>
      <c r="AL63" s="258">
        <v>0</v>
      </c>
      <c r="AM63" s="258">
        <v>0</v>
      </c>
      <c r="AN63" s="258">
        <v>0</v>
      </c>
      <c r="AO63" s="258">
        <v>0</v>
      </c>
      <c r="AP63" s="258">
        <v>0</v>
      </c>
      <c r="AQ63" s="258">
        <v>0</v>
      </c>
      <c r="AR63" s="258">
        <v>0</v>
      </c>
      <c r="AS63" s="258">
        <v>2900</v>
      </c>
      <c r="AT63" s="258">
        <v>2900</v>
      </c>
      <c r="AU63" s="258">
        <v>2320000</v>
      </c>
      <c r="AV63" s="256" t="s">
        <v>858</v>
      </c>
      <c r="AW63" s="256" t="s">
        <v>594</v>
      </c>
      <c r="AX63" s="257" t="s">
        <v>595</v>
      </c>
      <c r="AY63" s="257" t="s">
        <v>595</v>
      </c>
      <c r="AZ63" s="256" t="s">
        <v>859</v>
      </c>
      <c r="BA63" s="256" t="s">
        <v>860</v>
      </c>
      <c r="BB63" s="256" t="s">
        <v>861</v>
      </c>
      <c r="BC63" s="256" t="s">
        <v>1001</v>
      </c>
      <c r="BD63" s="256" t="s">
        <v>1002</v>
      </c>
      <c r="BE63" s="258">
        <v>77</v>
      </c>
      <c r="BF63" s="256" t="s">
        <v>1102</v>
      </c>
      <c r="BG63" s="256" t="s">
        <v>636</v>
      </c>
      <c r="BH63" s="257" t="s">
        <v>637</v>
      </c>
      <c r="BI63" s="256" t="s">
        <v>595</v>
      </c>
      <c r="BJ63" s="256" t="s">
        <v>601</v>
      </c>
      <c r="BK63" s="256" t="s">
        <v>595</v>
      </c>
      <c r="BL63" s="256" t="s">
        <v>595</v>
      </c>
      <c r="BM63" s="256" t="s">
        <v>595</v>
      </c>
      <c r="BN63" s="256" t="s">
        <v>594</v>
      </c>
      <c r="BO63" s="256" t="s">
        <v>905</v>
      </c>
      <c r="BP63" s="257" t="s">
        <v>906</v>
      </c>
      <c r="BQ63" s="256" t="s">
        <v>611</v>
      </c>
      <c r="BR63" s="256" t="s">
        <v>612</v>
      </c>
      <c r="BS63" s="256" t="s">
        <v>595</v>
      </c>
      <c r="BT63" s="91">
        <f t="shared" si="0"/>
        <v>45875</v>
      </c>
      <c r="BU63" s="91">
        <f t="array" ref="BU63">MIN(IF(H:H=H63,BT:BT ))</f>
        <v>45875</v>
      </c>
    </row>
    <row r="64" spans="1:73" x14ac:dyDescent="0.3">
      <c r="A64" s="256" t="s">
        <v>581</v>
      </c>
      <c r="B64" s="256" t="s">
        <v>582</v>
      </c>
      <c r="C64" s="256" t="s">
        <v>870</v>
      </c>
      <c r="D64" s="256" t="s">
        <v>871</v>
      </c>
      <c r="E64" s="257" t="s">
        <v>871</v>
      </c>
      <c r="F64" s="256" t="s">
        <v>583</v>
      </c>
      <c r="G64" s="257" t="s">
        <v>584</v>
      </c>
      <c r="H64" s="256">
        <v>331934</v>
      </c>
      <c r="I64" s="257" t="s">
        <v>708</v>
      </c>
      <c r="J64" s="256" t="s">
        <v>634</v>
      </c>
      <c r="K64" s="256" t="s">
        <v>587</v>
      </c>
      <c r="L64" s="256" t="s">
        <v>704</v>
      </c>
      <c r="M64" s="256" t="s">
        <v>705</v>
      </c>
      <c r="N64" s="256" t="s">
        <v>706</v>
      </c>
      <c r="O64" s="256" t="s">
        <v>591</v>
      </c>
      <c r="P64" s="256" t="s">
        <v>592</v>
      </c>
      <c r="Q64" s="258">
        <v>10</v>
      </c>
      <c r="R64" s="258">
        <v>800</v>
      </c>
      <c r="S64" s="258">
        <v>1000</v>
      </c>
      <c r="T64" s="258">
        <v>1</v>
      </c>
      <c r="U64" s="258">
        <v>0</v>
      </c>
      <c r="V64" s="258">
        <v>0</v>
      </c>
      <c r="W64" s="258">
        <v>800</v>
      </c>
      <c r="X64" s="258">
        <v>800</v>
      </c>
      <c r="Y64" s="258">
        <v>1</v>
      </c>
      <c r="Z64" s="258">
        <v>0</v>
      </c>
      <c r="AA64" s="258">
        <v>0</v>
      </c>
      <c r="AB64" s="258">
        <v>800</v>
      </c>
      <c r="AC64" s="258">
        <v>800</v>
      </c>
      <c r="AD64" s="258">
        <v>0</v>
      </c>
      <c r="AE64" s="258">
        <v>0</v>
      </c>
      <c r="AF64" s="258">
        <v>0</v>
      </c>
      <c r="AG64" s="258">
        <v>0</v>
      </c>
      <c r="AH64" s="258">
        <v>0</v>
      </c>
      <c r="AI64" s="258">
        <v>0</v>
      </c>
      <c r="AJ64" s="258">
        <v>0</v>
      </c>
      <c r="AK64" s="258">
        <v>0</v>
      </c>
      <c r="AL64" s="258">
        <v>0</v>
      </c>
      <c r="AM64" s="258">
        <v>0</v>
      </c>
      <c r="AN64" s="258">
        <v>0</v>
      </c>
      <c r="AO64" s="258">
        <v>0</v>
      </c>
      <c r="AP64" s="258">
        <v>0</v>
      </c>
      <c r="AQ64" s="258">
        <v>0</v>
      </c>
      <c r="AR64" s="258">
        <v>0</v>
      </c>
      <c r="AS64" s="258">
        <v>2900</v>
      </c>
      <c r="AT64" s="258">
        <v>2900</v>
      </c>
      <c r="AU64" s="258">
        <v>2320000</v>
      </c>
      <c r="AV64" s="256" t="s">
        <v>858</v>
      </c>
      <c r="AW64" s="256" t="s">
        <v>594</v>
      </c>
      <c r="AX64" s="257" t="s">
        <v>595</v>
      </c>
      <c r="AY64" s="257" t="s">
        <v>595</v>
      </c>
      <c r="AZ64" s="256" t="s">
        <v>859</v>
      </c>
      <c r="BA64" s="256" t="s">
        <v>860</v>
      </c>
      <c r="BB64" s="256" t="s">
        <v>861</v>
      </c>
      <c r="BC64" s="256" t="s">
        <v>1001</v>
      </c>
      <c r="BD64" s="256" t="s">
        <v>1002</v>
      </c>
      <c r="BE64" s="258">
        <v>77</v>
      </c>
      <c r="BF64" s="256" t="s">
        <v>1102</v>
      </c>
      <c r="BG64" s="256" t="s">
        <v>636</v>
      </c>
      <c r="BH64" s="257" t="s">
        <v>637</v>
      </c>
      <c r="BI64" s="256" t="s">
        <v>595</v>
      </c>
      <c r="BJ64" s="256" t="s">
        <v>601</v>
      </c>
      <c r="BK64" s="256" t="s">
        <v>595</v>
      </c>
      <c r="BL64" s="256" t="s">
        <v>595</v>
      </c>
      <c r="BM64" s="256" t="s">
        <v>595</v>
      </c>
      <c r="BN64" s="256" t="s">
        <v>594</v>
      </c>
      <c r="BO64" s="256" t="s">
        <v>905</v>
      </c>
      <c r="BP64" s="257" t="s">
        <v>906</v>
      </c>
      <c r="BQ64" s="256" t="s">
        <v>615</v>
      </c>
      <c r="BR64" s="256" t="s">
        <v>616</v>
      </c>
      <c r="BS64" s="256" t="s">
        <v>595</v>
      </c>
      <c r="BT64" s="91">
        <f t="shared" si="0"/>
        <v>45875</v>
      </c>
      <c r="BU64" s="91">
        <f t="array" ref="BU64">MIN(IF(H:H=H64,BT:BT ))</f>
        <v>45875</v>
      </c>
    </row>
    <row r="65" spans="1:73" x14ac:dyDescent="0.3">
      <c r="A65" s="256" t="s">
        <v>581</v>
      </c>
      <c r="B65" s="256" t="s">
        <v>582</v>
      </c>
      <c r="C65" s="256" t="s">
        <v>870</v>
      </c>
      <c r="D65" s="256" t="s">
        <v>872</v>
      </c>
      <c r="E65" s="257" t="s">
        <v>872</v>
      </c>
      <c r="F65" s="256" t="s">
        <v>583</v>
      </c>
      <c r="G65" s="257" t="s">
        <v>584</v>
      </c>
      <c r="H65" s="256">
        <v>331934</v>
      </c>
      <c r="I65" s="257" t="s">
        <v>708</v>
      </c>
      <c r="J65" s="256" t="s">
        <v>634</v>
      </c>
      <c r="K65" s="256" t="s">
        <v>587</v>
      </c>
      <c r="L65" s="256" t="s">
        <v>704</v>
      </c>
      <c r="M65" s="256" t="s">
        <v>705</v>
      </c>
      <c r="N65" s="256" t="s">
        <v>706</v>
      </c>
      <c r="O65" s="256" t="s">
        <v>591</v>
      </c>
      <c r="P65" s="256" t="s">
        <v>592</v>
      </c>
      <c r="Q65" s="258">
        <v>10</v>
      </c>
      <c r="R65" s="258">
        <v>800</v>
      </c>
      <c r="S65" s="258">
        <v>1000</v>
      </c>
      <c r="T65" s="258">
        <v>1</v>
      </c>
      <c r="U65" s="258">
        <v>0</v>
      </c>
      <c r="V65" s="258">
        <v>0</v>
      </c>
      <c r="W65" s="258">
        <v>800</v>
      </c>
      <c r="X65" s="258">
        <v>800</v>
      </c>
      <c r="Y65" s="258">
        <v>1</v>
      </c>
      <c r="Z65" s="258">
        <v>0</v>
      </c>
      <c r="AA65" s="258">
        <v>0</v>
      </c>
      <c r="AB65" s="258">
        <v>800</v>
      </c>
      <c r="AC65" s="258">
        <v>800</v>
      </c>
      <c r="AD65" s="258">
        <v>0</v>
      </c>
      <c r="AE65" s="258">
        <v>0</v>
      </c>
      <c r="AF65" s="258">
        <v>0</v>
      </c>
      <c r="AG65" s="258">
        <v>0</v>
      </c>
      <c r="AH65" s="258">
        <v>0</v>
      </c>
      <c r="AI65" s="258">
        <v>0</v>
      </c>
      <c r="AJ65" s="258">
        <v>0</v>
      </c>
      <c r="AK65" s="258">
        <v>0</v>
      </c>
      <c r="AL65" s="258">
        <v>0</v>
      </c>
      <c r="AM65" s="258">
        <v>0</v>
      </c>
      <c r="AN65" s="258">
        <v>0</v>
      </c>
      <c r="AO65" s="258">
        <v>0</v>
      </c>
      <c r="AP65" s="258">
        <v>0</v>
      </c>
      <c r="AQ65" s="258">
        <v>0</v>
      </c>
      <c r="AR65" s="258">
        <v>0</v>
      </c>
      <c r="AS65" s="258">
        <v>2900</v>
      </c>
      <c r="AT65" s="258">
        <v>2900</v>
      </c>
      <c r="AU65" s="258">
        <v>2320000</v>
      </c>
      <c r="AV65" s="256" t="s">
        <v>858</v>
      </c>
      <c r="AW65" s="256" t="s">
        <v>594</v>
      </c>
      <c r="AX65" s="257" t="s">
        <v>595</v>
      </c>
      <c r="AY65" s="257" t="s">
        <v>595</v>
      </c>
      <c r="AZ65" s="256" t="s">
        <v>859</v>
      </c>
      <c r="BA65" s="256" t="s">
        <v>860</v>
      </c>
      <c r="BB65" s="256" t="s">
        <v>861</v>
      </c>
      <c r="BC65" s="256" t="s">
        <v>1001</v>
      </c>
      <c r="BD65" s="256" t="s">
        <v>1002</v>
      </c>
      <c r="BE65" s="258">
        <v>77</v>
      </c>
      <c r="BF65" s="256" t="s">
        <v>1102</v>
      </c>
      <c r="BG65" s="256" t="s">
        <v>636</v>
      </c>
      <c r="BH65" s="257" t="s">
        <v>637</v>
      </c>
      <c r="BI65" s="256" t="s">
        <v>595</v>
      </c>
      <c r="BJ65" s="256" t="s">
        <v>601</v>
      </c>
      <c r="BK65" s="256" t="s">
        <v>595</v>
      </c>
      <c r="BL65" s="256" t="s">
        <v>595</v>
      </c>
      <c r="BM65" s="256" t="s">
        <v>595</v>
      </c>
      <c r="BN65" s="256" t="s">
        <v>594</v>
      </c>
      <c r="BO65" s="256" t="s">
        <v>905</v>
      </c>
      <c r="BP65" s="257" t="s">
        <v>906</v>
      </c>
      <c r="BQ65" s="256" t="s">
        <v>615</v>
      </c>
      <c r="BR65" s="256" t="s">
        <v>616</v>
      </c>
      <c r="BS65" s="256" t="s">
        <v>595</v>
      </c>
      <c r="BT65" s="91">
        <f t="shared" si="0"/>
        <v>45875</v>
      </c>
      <c r="BU65" s="91">
        <f t="array" ref="BU65">MIN(IF(H:H=H65,BT:BT ))</f>
        <v>45875</v>
      </c>
    </row>
    <row r="66" spans="1:73" x14ac:dyDescent="0.3">
      <c r="A66" s="256" t="s">
        <v>581</v>
      </c>
      <c r="B66" s="256" t="s">
        <v>582</v>
      </c>
      <c r="C66" s="256" t="s">
        <v>870</v>
      </c>
      <c r="D66" s="256" t="s">
        <v>873</v>
      </c>
      <c r="E66" s="257" t="s">
        <v>873</v>
      </c>
      <c r="F66" s="256" t="s">
        <v>583</v>
      </c>
      <c r="G66" s="257" t="s">
        <v>584</v>
      </c>
      <c r="H66" s="256">
        <v>331934</v>
      </c>
      <c r="I66" s="257" t="s">
        <v>708</v>
      </c>
      <c r="J66" s="256" t="s">
        <v>634</v>
      </c>
      <c r="K66" s="256" t="s">
        <v>587</v>
      </c>
      <c r="L66" s="256" t="s">
        <v>704</v>
      </c>
      <c r="M66" s="256" t="s">
        <v>705</v>
      </c>
      <c r="N66" s="256" t="s">
        <v>706</v>
      </c>
      <c r="O66" s="256" t="s">
        <v>591</v>
      </c>
      <c r="P66" s="256" t="s">
        <v>592</v>
      </c>
      <c r="Q66" s="258">
        <v>10</v>
      </c>
      <c r="R66" s="258">
        <v>800</v>
      </c>
      <c r="S66" s="258">
        <v>1000</v>
      </c>
      <c r="T66" s="258">
        <v>1</v>
      </c>
      <c r="U66" s="258">
        <v>0</v>
      </c>
      <c r="V66" s="258">
        <v>0</v>
      </c>
      <c r="W66" s="258">
        <v>800</v>
      </c>
      <c r="X66" s="258">
        <v>800</v>
      </c>
      <c r="Y66" s="258">
        <v>1</v>
      </c>
      <c r="Z66" s="258">
        <v>0</v>
      </c>
      <c r="AA66" s="258">
        <v>0</v>
      </c>
      <c r="AB66" s="258">
        <v>800</v>
      </c>
      <c r="AC66" s="258">
        <v>800</v>
      </c>
      <c r="AD66" s="258">
        <v>0</v>
      </c>
      <c r="AE66" s="258">
        <v>0</v>
      </c>
      <c r="AF66" s="258">
        <v>0</v>
      </c>
      <c r="AG66" s="258">
        <v>0</v>
      </c>
      <c r="AH66" s="258">
        <v>0</v>
      </c>
      <c r="AI66" s="258">
        <v>0</v>
      </c>
      <c r="AJ66" s="258">
        <v>0</v>
      </c>
      <c r="AK66" s="258">
        <v>0</v>
      </c>
      <c r="AL66" s="258">
        <v>0</v>
      </c>
      <c r="AM66" s="258">
        <v>0</v>
      </c>
      <c r="AN66" s="258">
        <v>0</v>
      </c>
      <c r="AO66" s="258">
        <v>0</v>
      </c>
      <c r="AP66" s="258">
        <v>0</v>
      </c>
      <c r="AQ66" s="258">
        <v>0</v>
      </c>
      <c r="AR66" s="258">
        <v>0</v>
      </c>
      <c r="AS66" s="258">
        <v>2900</v>
      </c>
      <c r="AT66" s="258">
        <v>2900</v>
      </c>
      <c r="AU66" s="258">
        <v>2320000</v>
      </c>
      <c r="AV66" s="256" t="s">
        <v>858</v>
      </c>
      <c r="AW66" s="256" t="s">
        <v>594</v>
      </c>
      <c r="AX66" s="257" t="s">
        <v>595</v>
      </c>
      <c r="AY66" s="257" t="s">
        <v>595</v>
      </c>
      <c r="AZ66" s="256" t="s">
        <v>859</v>
      </c>
      <c r="BA66" s="256" t="s">
        <v>860</v>
      </c>
      <c r="BB66" s="256" t="s">
        <v>861</v>
      </c>
      <c r="BC66" s="256" t="s">
        <v>1001</v>
      </c>
      <c r="BD66" s="256" t="s">
        <v>1002</v>
      </c>
      <c r="BE66" s="258">
        <v>77</v>
      </c>
      <c r="BF66" s="256" t="s">
        <v>1102</v>
      </c>
      <c r="BG66" s="256" t="s">
        <v>636</v>
      </c>
      <c r="BH66" s="257" t="s">
        <v>637</v>
      </c>
      <c r="BI66" s="256" t="s">
        <v>595</v>
      </c>
      <c r="BJ66" s="256" t="s">
        <v>601</v>
      </c>
      <c r="BK66" s="256" t="s">
        <v>595</v>
      </c>
      <c r="BL66" s="256" t="s">
        <v>595</v>
      </c>
      <c r="BM66" s="256" t="s">
        <v>595</v>
      </c>
      <c r="BN66" s="256" t="s">
        <v>594</v>
      </c>
      <c r="BO66" s="256" t="s">
        <v>905</v>
      </c>
      <c r="BP66" s="257" t="s">
        <v>906</v>
      </c>
      <c r="BQ66" s="256" t="s">
        <v>611</v>
      </c>
      <c r="BR66" s="256" t="s">
        <v>612</v>
      </c>
      <c r="BS66" s="256" t="s">
        <v>595</v>
      </c>
      <c r="BT66" s="91">
        <f t="shared" si="0"/>
        <v>45875</v>
      </c>
      <c r="BU66" s="91">
        <f t="array" ref="BU66">MIN(IF(H:H=H66,BT:BT ))</f>
        <v>45875</v>
      </c>
    </row>
    <row r="67" spans="1:73" x14ac:dyDescent="0.3">
      <c r="A67" s="256" t="s">
        <v>581</v>
      </c>
      <c r="B67" s="256" t="s">
        <v>582</v>
      </c>
      <c r="C67" s="256" t="s">
        <v>980</v>
      </c>
      <c r="D67" s="256" t="s">
        <v>981</v>
      </c>
      <c r="E67" s="257" t="s">
        <v>981</v>
      </c>
      <c r="F67" s="256" t="s">
        <v>583</v>
      </c>
      <c r="G67" s="257" t="s">
        <v>584</v>
      </c>
      <c r="H67" s="256">
        <v>340495</v>
      </c>
      <c r="I67" s="257" t="s">
        <v>976</v>
      </c>
      <c r="J67" s="256" t="s">
        <v>634</v>
      </c>
      <c r="K67" s="256" t="s">
        <v>621</v>
      </c>
      <c r="L67" s="256" t="s">
        <v>704</v>
      </c>
      <c r="M67" s="256" t="s">
        <v>705</v>
      </c>
      <c r="N67" s="256" t="s">
        <v>706</v>
      </c>
      <c r="O67" s="256" t="s">
        <v>591</v>
      </c>
      <c r="P67" s="256" t="s">
        <v>592</v>
      </c>
      <c r="Q67" s="258">
        <v>10</v>
      </c>
      <c r="R67" s="258">
        <v>800</v>
      </c>
      <c r="S67" s="258">
        <v>1000</v>
      </c>
      <c r="T67" s="258">
        <v>1</v>
      </c>
      <c r="U67" s="258">
        <v>0</v>
      </c>
      <c r="V67" s="258">
        <v>0</v>
      </c>
      <c r="W67" s="258">
        <v>800</v>
      </c>
      <c r="X67" s="258">
        <v>800</v>
      </c>
      <c r="Y67" s="258">
        <v>1</v>
      </c>
      <c r="Z67" s="258">
        <v>0</v>
      </c>
      <c r="AA67" s="258">
        <v>0</v>
      </c>
      <c r="AB67" s="258">
        <v>800</v>
      </c>
      <c r="AC67" s="258">
        <v>800</v>
      </c>
      <c r="AD67" s="258">
        <v>0</v>
      </c>
      <c r="AE67" s="258">
        <v>0</v>
      </c>
      <c r="AF67" s="258">
        <v>0</v>
      </c>
      <c r="AG67" s="258">
        <v>0</v>
      </c>
      <c r="AH67" s="258">
        <v>0</v>
      </c>
      <c r="AI67" s="258">
        <v>0</v>
      </c>
      <c r="AJ67" s="258">
        <v>0</v>
      </c>
      <c r="AK67" s="258">
        <v>0</v>
      </c>
      <c r="AL67" s="258">
        <v>0</v>
      </c>
      <c r="AM67" s="258">
        <v>0</v>
      </c>
      <c r="AN67" s="258">
        <v>0</v>
      </c>
      <c r="AO67" s="258">
        <v>0</v>
      </c>
      <c r="AP67" s="258">
        <v>0</v>
      </c>
      <c r="AQ67" s="258">
        <v>0</v>
      </c>
      <c r="AR67" s="258">
        <v>0</v>
      </c>
      <c r="AS67" s="258">
        <v>2150</v>
      </c>
      <c r="AT67" s="258">
        <v>2150</v>
      </c>
      <c r="AU67" s="258">
        <v>1720000</v>
      </c>
      <c r="AV67" s="256" t="s">
        <v>977</v>
      </c>
      <c r="AW67" s="256" t="s">
        <v>594</v>
      </c>
      <c r="AX67" s="257" t="s">
        <v>595</v>
      </c>
      <c r="AY67" s="257" t="s">
        <v>595</v>
      </c>
      <c r="AZ67" s="256" t="s">
        <v>978</v>
      </c>
      <c r="BA67" s="256" t="s">
        <v>978</v>
      </c>
      <c r="BB67" s="256" t="s">
        <v>979</v>
      </c>
      <c r="BC67" s="256" t="s">
        <v>595</v>
      </c>
      <c r="BD67" s="256" t="s">
        <v>595</v>
      </c>
      <c r="BE67" s="258">
        <v>154</v>
      </c>
      <c r="BF67" s="256" t="s">
        <v>1105</v>
      </c>
      <c r="BG67" s="256" t="s">
        <v>636</v>
      </c>
      <c r="BH67" s="257" t="s">
        <v>637</v>
      </c>
      <c r="BI67" s="256" t="s">
        <v>595</v>
      </c>
      <c r="BJ67" s="256" t="s">
        <v>601</v>
      </c>
      <c r="BK67" s="256" t="s">
        <v>595</v>
      </c>
      <c r="BL67" s="256" t="s">
        <v>595</v>
      </c>
      <c r="BM67" s="256" t="s">
        <v>595</v>
      </c>
      <c r="BN67" s="256" t="s">
        <v>594</v>
      </c>
      <c r="BO67" s="256" t="s">
        <v>905</v>
      </c>
      <c r="BP67" s="257" t="s">
        <v>906</v>
      </c>
      <c r="BQ67" s="256" t="s">
        <v>611</v>
      </c>
      <c r="BR67" s="256" t="s">
        <v>612</v>
      </c>
      <c r="BS67" s="256" t="s">
        <v>595</v>
      </c>
      <c r="BT67" s="91">
        <f t="shared" si="0"/>
        <v>45952</v>
      </c>
      <c r="BU67" s="91">
        <f t="array" ref="BU67">MIN(IF(H:H=H67,BT:BT ))</f>
        <v>45952</v>
      </c>
    </row>
    <row r="68" spans="1:73" x14ac:dyDescent="0.3">
      <c r="A68" s="256" t="s">
        <v>581</v>
      </c>
      <c r="B68" s="256" t="s">
        <v>582</v>
      </c>
      <c r="C68" s="256" t="s">
        <v>980</v>
      </c>
      <c r="D68" s="256" t="s">
        <v>982</v>
      </c>
      <c r="E68" s="257" t="s">
        <v>982</v>
      </c>
      <c r="F68" s="256" t="s">
        <v>583</v>
      </c>
      <c r="G68" s="257" t="s">
        <v>584</v>
      </c>
      <c r="H68" s="256">
        <v>340495</v>
      </c>
      <c r="I68" s="257" t="s">
        <v>976</v>
      </c>
      <c r="J68" s="256" t="s">
        <v>634</v>
      </c>
      <c r="K68" s="256" t="s">
        <v>621</v>
      </c>
      <c r="L68" s="256" t="s">
        <v>704</v>
      </c>
      <c r="M68" s="256" t="s">
        <v>705</v>
      </c>
      <c r="N68" s="256" t="s">
        <v>706</v>
      </c>
      <c r="O68" s="256" t="s">
        <v>591</v>
      </c>
      <c r="P68" s="256" t="s">
        <v>592</v>
      </c>
      <c r="Q68" s="258">
        <v>10</v>
      </c>
      <c r="R68" s="258">
        <v>800</v>
      </c>
      <c r="S68" s="258">
        <v>1000</v>
      </c>
      <c r="T68" s="258">
        <v>1</v>
      </c>
      <c r="U68" s="258">
        <v>0</v>
      </c>
      <c r="V68" s="258">
        <v>0</v>
      </c>
      <c r="W68" s="258">
        <v>800</v>
      </c>
      <c r="X68" s="258">
        <v>800</v>
      </c>
      <c r="Y68" s="258">
        <v>1</v>
      </c>
      <c r="Z68" s="258">
        <v>0</v>
      </c>
      <c r="AA68" s="258">
        <v>0</v>
      </c>
      <c r="AB68" s="258">
        <v>800</v>
      </c>
      <c r="AC68" s="258">
        <v>800</v>
      </c>
      <c r="AD68" s="258">
        <v>0</v>
      </c>
      <c r="AE68" s="258">
        <v>0</v>
      </c>
      <c r="AF68" s="258">
        <v>0</v>
      </c>
      <c r="AG68" s="258">
        <v>0</v>
      </c>
      <c r="AH68" s="258">
        <v>0</v>
      </c>
      <c r="AI68" s="258">
        <v>0</v>
      </c>
      <c r="AJ68" s="258">
        <v>0</v>
      </c>
      <c r="AK68" s="258">
        <v>0</v>
      </c>
      <c r="AL68" s="258">
        <v>0</v>
      </c>
      <c r="AM68" s="258">
        <v>0</v>
      </c>
      <c r="AN68" s="258">
        <v>0</v>
      </c>
      <c r="AO68" s="258">
        <v>0</v>
      </c>
      <c r="AP68" s="258">
        <v>0</v>
      </c>
      <c r="AQ68" s="258">
        <v>0</v>
      </c>
      <c r="AR68" s="258">
        <v>0</v>
      </c>
      <c r="AS68" s="258">
        <v>2150</v>
      </c>
      <c r="AT68" s="258">
        <v>2150</v>
      </c>
      <c r="AU68" s="258">
        <v>1720000</v>
      </c>
      <c r="AV68" s="256" t="s">
        <v>977</v>
      </c>
      <c r="AW68" s="256" t="s">
        <v>594</v>
      </c>
      <c r="AX68" s="257" t="s">
        <v>595</v>
      </c>
      <c r="AY68" s="257" t="s">
        <v>595</v>
      </c>
      <c r="AZ68" s="256" t="s">
        <v>978</v>
      </c>
      <c r="BA68" s="256" t="s">
        <v>978</v>
      </c>
      <c r="BB68" s="256" t="s">
        <v>979</v>
      </c>
      <c r="BC68" s="256" t="s">
        <v>595</v>
      </c>
      <c r="BD68" s="256" t="s">
        <v>595</v>
      </c>
      <c r="BE68" s="258">
        <v>154</v>
      </c>
      <c r="BF68" s="256" t="s">
        <v>1105</v>
      </c>
      <c r="BG68" s="256" t="s">
        <v>636</v>
      </c>
      <c r="BH68" s="257" t="s">
        <v>637</v>
      </c>
      <c r="BI68" s="256" t="s">
        <v>595</v>
      </c>
      <c r="BJ68" s="256" t="s">
        <v>601</v>
      </c>
      <c r="BK68" s="256" t="s">
        <v>595</v>
      </c>
      <c r="BL68" s="256" t="s">
        <v>595</v>
      </c>
      <c r="BM68" s="256" t="s">
        <v>595</v>
      </c>
      <c r="BN68" s="256" t="s">
        <v>594</v>
      </c>
      <c r="BO68" s="256" t="s">
        <v>905</v>
      </c>
      <c r="BP68" s="257" t="s">
        <v>906</v>
      </c>
      <c r="BQ68" s="256" t="s">
        <v>611</v>
      </c>
      <c r="BR68" s="256" t="s">
        <v>612</v>
      </c>
      <c r="BS68" s="256" t="s">
        <v>595</v>
      </c>
      <c r="BT68" s="91">
        <f t="shared" ref="BT68:BT90" si="1">DATE(LEFT(BB68,4),MID(BB68,5,2),RIGHT(BB68,2))</f>
        <v>45952</v>
      </c>
      <c r="BU68" s="91">
        <f t="array" ref="BU68">MIN(IF(H:H=H68,BT:BT ))</f>
        <v>45952</v>
      </c>
    </row>
    <row r="69" spans="1:73" x14ac:dyDescent="0.3">
      <c r="A69" s="256" t="s">
        <v>581</v>
      </c>
      <c r="B69" s="256" t="s">
        <v>582</v>
      </c>
      <c r="C69" s="256" t="s">
        <v>980</v>
      </c>
      <c r="D69" s="256" t="s">
        <v>983</v>
      </c>
      <c r="E69" s="257" t="s">
        <v>983</v>
      </c>
      <c r="F69" s="256" t="s">
        <v>583</v>
      </c>
      <c r="G69" s="257" t="s">
        <v>584</v>
      </c>
      <c r="H69" s="256">
        <v>340495</v>
      </c>
      <c r="I69" s="257" t="s">
        <v>976</v>
      </c>
      <c r="J69" s="256" t="s">
        <v>634</v>
      </c>
      <c r="K69" s="256" t="s">
        <v>621</v>
      </c>
      <c r="L69" s="256" t="s">
        <v>704</v>
      </c>
      <c r="M69" s="256" t="s">
        <v>705</v>
      </c>
      <c r="N69" s="256" t="s">
        <v>706</v>
      </c>
      <c r="O69" s="256" t="s">
        <v>591</v>
      </c>
      <c r="P69" s="256" t="s">
        <v>592</v>
      </c>
      <c r="Q69" s="258">
        <v>10</v>
      </c>
      <c r="R69" s="258">
        <v>800</v>
      </c>
      <c r="S69" s="258">
        <v>1000</v>
      </c>
      <c r="T69" s="258">
        <v>1</v>
      </c>
      <c r="U69" s="258">
        <v>0</v>
      </c>
      <c r="V69" s="258">
        <v>0</v>
      </c>
      <c r="W69" s="258">
        <v>800</v>
      </c>
      <c r="X69" s="258">
        <v>800</v>
      </c>
      <c r="Y69" s="258">
        <v>1</v>
      </c>
      <c r="Z69" s="258">
        <v>0</v>
      </c>
      <c r="AA69" s="258">
        <v>0</v>
      </c>
      <c r="AB69" s="258">
        <v>800</v>
      </c>
      <c r="AC69" s="258">
        <v>800</v>
      </c>
      <c r="AD69" s="258">
        <v>0</v>
      </c>
      <c r="AE69" s="258">
        <v>0</v>
      </c>
      <c r="AF69" s="258">
        <v>0</v>
      </c>
      <c r="AG69" s="258">
        <v>0</v>
      </c>
      <c r="AH69" s="258">
        <v>0</v>
      </c>
      <c r="AI69" s="258">
        <v>0</v>
      </c>
      <c r="AJ69" s="258">
        <v>0</v>
      </c>
      <c r="AK69" s="258">
        <v>0</v>
      </c>
      <c r="AL69" s="258">
        <v>0</v>
      </c>
      <c r="AM69" s="258">
        <v>0</v>
      </c>
      <c r="AN69" s="258">
        <v>0</v>
      </c>
      <c r="AO69" s="258">
        <v>0</v>
      </c>
      <c r="AP69" s="258">
        <v>0</v>
      </c>
      <c r="AQ69" s="258">
        <v>0</v>
      </c>
      <c r="AR69" s="258">
        <v>0</v>
      </c>
      <c r="AS69" s="258">
        <v>2150</v>
      </c>
      <c r="AT69" s="258">
        <v>2150</v>
      </c>
      <c r="AU69" s="258">
        <v>1720000</v>
      </c>
      <c r="AV69" s="256" t="s">
        <v>977</v>
      </c>
      <c r="AW69" s="256" t="s">
        <v>594</v>
      </c>
      <c r="AX69" s="257" t="s">
        <v>595</v>
      </c>
      <c r="AY69" s="257" t="s">
        <v>595</v>
      </c>
      <c r="AZ69" s="256" t="s">
        <v>978</v>
      </c>
      <c r="BA69" s="256" t="s">
        <v>978</v>
      </c>
      <c r="BB69" s="256" t="s">
        <v>979</v>
      </c>
      <c r="BC69" s="256" t="s">
        <v>595</v>
      </c>
      <c r="BD69" s="256" t="s">
        <v>595</v>
      </c>
      <c r="BE69" s="258">
        <v>154</v>
      </c>
      <c r="BF69" s="256" t="s">
        <v>1105</v>
      </c>
      <c r="BG69" s="256" t="s">
        <v>636</v>
      </c>
      <c r="BH69" s="257" t="s">
        <v>637</v>
      </c>
      <c r="BI69" s="256" t="s">
        <v>595</v>
      </c>
      <c r="BJ69" s="256" t="s">
        <v>601</v>
      </c>
      <c r="BK69" s="256" t="s">
        <v>595</v>
      </c>
      <c r="BL69" s="256" t="s">
        <v>595</v>
      </c>
      <c r="BM69" s="256" t="s">
        <v>595</v>
      </c>
      <c r="BN69" s="256" t="s">
        <v>594</v>
      </c>
      <c r="BO69" s="256" t="s">
        <v>905</v>
      </c>
      <c r="BP69" s="257" t="s">
        <v>906</v>
      </c>
      <c r="BQ69" s="256" t="s">
        <v>611</v>
      </c>
      <c r="BR69" s="256" t="s">
        <v>612</v>
      </c>
      <c r="BS69" s="256" t="s">
        <v>595</v>
      </c>
      <c r="BT69" s="91">
        <f t="shared" si="1"/>
        <v>45952</v>
      </c>
      <c r="BU69" s="91">
        <f t="array" ref="BU69">MIN(IF(H:H=H69,BT:BT ))</f>
        <v>45952</v>
      </c>
    </row>
    <row r="70" spans="1:73" x14ac:dyDescent="0.3">
      <c r="A70" s="256" t="s">
        <v>581</v>
      </c>
      <c r="B70" s="256" t="s">
        <v>582</v>
      </c>
      <c r="C70" s="256" t="s">
        <v>980</v>
      </c>
      <c r="D70" s="256" t="s">
        <v>984</v>
      </c>
      <c r="E70" s="257" t="s">
        <v>984</v>
      </c>
      <c r="F70" s="256" t="s">
        <v>583</v>
      </c>
      <c r="G70" s="257" t="s">
        <v>584</v>
      </c>
      <c r="H70" s="256">
        <v>340495</v>
      </c>
      <c r="I70" s="257" t="s">
        <v>976</v>
      </c>
      <c r="J70" s="256" t="s">
        <v>634</v>
      </c>
      <c r="K70" s="256" t="s">
        <v>621</v>
      </c>
      <c r="L70" s="256" t="s">
        <v>704</v>
      </c>
      <c r="M70" s="256" t="s">
        <v>705</v>
      </c>
      <c r="N70" s="256" t="s">
        <v>706</v>
      </c>
      <c r="O70" s="256" t="s">
        <v>591</v>
      </c>
      <c r="P70" s="256" t="s">
        <v>592</v>
      </c>
      <c r="Q70" s="258">
        <v>10</v>
      </c>
      <c r="R70" s="258">
        <v>800</v>
      </c>
      <c r="S70" s="258">
        <v>1000</v>
      </c>
      <c r="T70" s="258">
        <v>0</v>
      </c>
      <c r="U70" s="258">
        <v>67</v>
      </c>
      <c r="V70" s="258">
        <v>0</v>
      </c>
      <c r="W70" s="258">
        <v>670</v>
      </c>
      <c r="X70" s="258">
        <v>670</v>
      </c>
      <c r="Y70" s="258">
        <v>0</v>
      </c>
      <c r="Z70" s="258">
        <v>67</v>
      </c>
      <c r="AA70" s="258">
        <v>0</v>
      </c>
      <c r="AB70" s="258">
        <v>670</v>
      </c>
      <c r="AC70" s="258">
        <v>670</v>
      </c>
      <c r="AD70" s="258">
        <v>0</v>
      </c>
      <c r="AE70" s="258">
        <v>0</v>
      </c>
      <c r="AF70" s="258">
        <v>0</v>
      </c>
      <c r="AG70" s="258">
        <v>0</v>
      </c>
      <c r="AH70" s="258">
        <v>0</v>
      </c>
      <c r="AI70" s="258">
        <v>0</v>
      </c>
      <c r="AJ70" s="258">
        <v>0</v>
      </c>
      <c r="AK70" s="258">
        <v>0</v>
      </c>
      <c r="AL70" s="258">
        <v>0</v>
      </c>
      <c r="AM70" s="258">
        <v>0</v>
      </c>
      <c r="AN70" s="258">
        <v>0</v>
      </c>
      <c r="AO70" s="258">
        <v>0</v>
      </c>
      <c r="AP70" s="258">
        <v>0</v>
      </c>
      <c r="AQ70" s="258">
        <v>0</v>
      </c>
      <c r="AR70" s="258">
        <v>0</v>
      </c>
      <c r="AS70" s="258">
        <v>2150</v>
      </c>
      <c r="AT70" s="258">
        <v>2150</v>
      </c>
      <c r="AU70" s="258">
        <v>1440500</v>
      </c>
      <c r="AV70" s="256" t="s">
        <v>977</v>
      </c>
      <c r="AW70" s="256" t="s">
        <v>594</v>
      </c>
      <c r="AX70" s="257" t="s">
        <v>595</v>
      </c>
      <c r="AY70" s="257" t="s">
        <v>595</v>
      </c>
      <c r="AZ70" s="256" t="s">
        <v>978</v>
      </c>
      <c r="BA70" s="256" t="s">
        <v>978</v>
      </c>
      <c r="BB70" s="256" t="s">
        <v>979</v>
      </c>
      <c r="BC70" s="256" t="s">
        <v>595</v>
      </c>
      <c r="BD70" s="256" t="s">
        <v>595</v>
      </c>
      <c r="BE70" s="258">
        <v>154</v>
      </c>
      <c r="BF70" s="256" t="s">
        <v>1105</v>
      </c>
      <c r="BG70" s="256" t="s">
        <v>636</v>
      </c>
      <c r="BH70" s="257" t="s">
        <v>637</v>
      </c>
      <c r="BI70" s="256" t="s">
        <v>595</v>
      </c>
      <c r="BJ70" s="256" t="s">
        <v>601</v>
      </c>
      <c r="BK70" s="256" t="s">
        <v>595</v>
      </c>
      <c r="BL70" s="256" t="s">
        <v>595</v>
      </c>
      <c r="BM70" s="256" t="s">
        <v>595</v>
      </c>
      <c r="BN70" s="256" t="s">
        <v>594</v>
      </c>
      <c r="BO70" s="256" t="s">
        <v>905</v>
      </c>
      <c r="BP70" s="257" t="s">
        <v>906</v>
      </c>
      <c r="BQ70" s="256" t="s">
        <v>608</v>
      </c>
      <c r="BR70" s="256" t="s">
        <v>609</v>
      </c>
      <c r="BS70" s="256" t="s">
        <v>595</v>
      </c>
      <c r="BT70" s="91">
        <f t="shared" si="1"/>
        <v>45952</v>
      </c>
      <c r="BU70" s="91">
        <f t="array" ref="BU70">MIN(IF(H:H=H70,BT:BT ))</f>
        <v>45952</v>
      </c>
    </row>
    <row r="71" spans="1:73" x14ac:dyDescent="0.3">
      <c r="A71" s="256" t="s">
        <v>581</v>
      </c>
      <c r="B71" s="256" t="s">
        <v>582</v>
      </c>
      <c r="C71" s="256" t="s">
        <v>1041</v>
      </c>
      <c r="D71" s="256" t="s">
        <v>1042</v>
      </c>
      <c r="E71" s="257" t="s">
        <v>1042</v>
      </c>
      <c r="F71" s="256" t="s">
        <v>583</v>
      </c>
      <c r="G71" s="257" t="s">
        <v>584</v>
      </c>
      <c r="H71" s="256">
        <v>259276</v>
      </c>
      <c r="I71" s="257" t="s">
        <v>686</v>
      </c>
      <c r="J71" s="256" t="s">
        <v>687</v>
      </c>
      <c r="K71" s="256" t="s">
        <v>587</v>
      </c>
      <c r="L71" s="256" t="s">
        <v>653</v>
      </c>
      <c r="M71" s="256" t="s">
        <v>654</v>
      </c>
      <c r="N71" s="256" t="s">
        <v>655</v>
      </c>
      <c r="O71" s="256" t="s">
        <v>591</v>
      </c>
      <c r="P71" s="256" t="s">
        <v>592</v>
      </c>
      <c r="Q71" s="258">
        <v>10</v>
      </c>
      <c r="R71" s="258">
        <v>540</v>
      </c>
      <c r="S71" s="258">
        <v>1050</v>
      </c>
      <c r="T71" s="258">
        <v>1</v>
      </c>
      <c r="U71" s="258">
        <v>0</v>
      </c>
      <c r="V71" s="258">
        <v>0</v>
      </c>
      <c r="W71" s="258">
        <v>540</v>
      </c>
      <c r="X71" s="258">
        <v>567</v>
      </c>
      <c r="Y71" s="258">
        <v>1</v>
      </c>
      <c r="Z71" s="258">
        <v>0</v>
      </c>
      <c r="AA71" s="258">
        <v>0</v>
      </c>
      <c r="AB71" s="258">
        <v>540</v>
      </c>
      <c r="AC71" s="258">
        <v>567</v>
      </c>
      <c r="AD71" s="258">
        <v>0</v>
      </c>
      <c r="AE71" s="258">
        <v>0</v>
      </c>
      <c r="AF71" s="258">
        <v>0</v>
      </c>
      <c r="AG71" s="258">
        <v>0</v>
      </c>
      <c r="AH71" s="258">
        <v>0</v>
      </c>
      <c r="AI71" s="258">
        <v>0</v>
      </c>
      <c r="AJ71" s="258">
        <v>0</v>
      </c>
      <c r="AK71" s="258">
        <v>0</v>
      </c>
      <c r="AL71" s="258">
        <v>0</v>
      </c>
      <c r="AM71" s="258">
        <v>0</v>
      </c>
      <c r="AN71" s="258">
        <v>0</v>
      </c>
      <c r="AO71" s="258">
        <v>0</v>
      </c>
      <c r="AP71" s="258">
        <v>0</v>
      </c>
      <c r="AQ71" s="258">
        <v>0</v>
      </c>
      <c r="AR71" s="258">
        <v>0</v>
      </c>
      <c r="AS71" s="258">
        <v>11568</v>
      </c>
      <c r="AT71" s="258">
        <v>11568</v>
      </c>
      <c r="AU71" s="258">
        <v>6246720</v>
      </c>
      <c r="AV71" s="256" t="s">
        <v>1043</v>
      </c>
      <c r="AW71" s="256" t="s">
        <v>594</v>
      </c>
      <c r="AX71" s="257" t="s">
        <v>595</v>
      </c>
      <c r="AY71" s="257" t="s">
        <v>595</v>
      </c>
      <c r="AZ71" s="256" t="s">
        <v>1003</v>
      </c>
      <c r="BA71" s="256" t="s">
        <v>1004</v>
      </c>
      <c r="BB71" s="256" t="s">
        <v>1044</v>
      </c>
      <c r="BC71" s="256" t="s">
        <v>892</v>
      </c>
      <c r="BD71" s="256" t="s">
        <v>1045</v>
      </c>
      <c r="BE71" s="258">
        <v>255</v>
      </c>
      <c r="BF71" s="256" t="s">
        <v>1062</v>
      </c>
      <c r="BG71" s="256" t="s">
        <v>688</v>
      </c>
      <c r="BH71" s="257" t="s">
        <v>689</v>
      </c>
      <c r="BI71" s="256" t="s">
        <v>595</v>
      </c>
      <c r="BJ71" s="256" t="s">
        <v>685</v>
      </c>
      <c r="BK71" s="256" t="s">
        <v>595</v>
      </c>
      <c r="BL71" s="256" t="s">
        <v>595</v>
      </c>
      <c r="BM71" s="256" t="s">
        <v>595</v>
      </c>
      <c r="BN71" s="256" t="s">
        <v>594</v>
      </c>
      <c r="BO71" s="256" t="s">
        <v>602</v>
      </c>
      <c r="BP71" s="257" t="s">
        <v>603</v>
      </c>
      <c r="BQ71" s="256" t="s">
        <v>611</v>
      </c>
      <c r="BR71" s="256" t="s">
        <v>612</v>
      </c>
      <c r="BS71" s="256" t="s">
        <v>595</v>
      </c>
      <c r="BT71" s="91">
        <f t="shared" si="1"/>
        <v>46053</v>
      </c>
      <c r="BU71" s="91">
        <f t="array" ref="BU71">MIN(IF(H:H=H71,BT:BT ))</f>
        <v>46032</v>
      </c>
    </row>
    <row r="72" spans="1:73" x14ac:dyDescent="0.3">
      <c r="A72" s="256" t="s">
        <v>581</v>
      </c>
      <c r="B72" s="256" t="s">
        <v>711</v>
      </c>
      <c r="C72" s="256" t="s">
        <v>711</v>
      </c>
      <c r="D72" s="256" t="s">
        <v>711</v>
      </c>
      <c r="E72" s="257" t="s">
        <v>712</v>
      </c>
      <c r="F72" s="256" t="s">
        <v>583</v>
      </c>
      <c r="G72" s="257" t="s">
        <v>584</v>
      </c>
      <c r="H72" s="256">
        <v>314433</v>
      </c>
      <c r="I72" s="257" t="s">
        <v>713</v>
      </c>
      <c r="J72" s="256" t="s">
        <v>652</v>
      </c>
      <c r="K72" s="256" t="s">
        <v>714</v>
      </c>
      <c r="L72" s="256" t="s">
        <v>715</v>
      </c>
      <c r="M72" s="256" t="s">
        <v>716</v>
      </c>
      <c r="N72" s="256" t="s">
        <v>655</v>
      </c>
      <c r="O72" s="256" t="s">
        <v>591</v>
      </c>
      <c r="P72" s="256" t="s">
        <v>592</v>
      </c>
      <c r="Q72" s="258">
        <v>8</v>
      </c>
      <c r="R72" s="258">
        <v>320</v>
      </c>
      <c r="S72" s="258">
        <v>1000</v>
      </c>
      <c r="T72" s="258">
        <v>0</v>
      </c>
      <c r="U72" s="258">
        <v>0</v>
      </c>
      <c r="V72" s="258">
        <v>1</v>
      </c>
      <c r="W72" s="258">
        <v>1</v>
      </c>
      <c r="X72" s="258">
        <v>1</v>
      </c>
      <c r="Y72" s="258">
        <v>0</v>
      </c>
      <c r="Z72" s="258">
        <v>0</v>
      </c>
      <c r="AA72" s="258">
        <v>0</v>
      </c>
      <c r="AB72" s="258">
        <v>0</v>
      </c>
      <c r="AC72" s="258">
        <v>0</v>
      </c>
      <c r="AD72" s="258">
        <v>0</v>
      </c>
      <c r="AE72" s="258">
        <v>0</v>
      </c>
      <c r="AF72" s="258">
        <v>1</v>
      </c>
      <c r="AG72" s="258">
        <v>1</v>
      </c>
      <c r="AH72" s="258">
        <v>1</v>
      </c>
      <c r="AI72" s="258">
        <v>0</v>
      </c>
      <c r="AJ72" s="258">
        <v>0</v>
      </c>
      <c r="AK72" s="258">
        <v>0</v>
      </c>
      <c r="AL72" s="258">
        <v>0</v>
      </c>
      <c r="AM72" s="258">
        <v>0</v>
      </c>
      <c r="AN72" s="258">
        <v>0</v>
      </c>
      <c r="AO72" s="258">
        <v>0</v>
      </c>
      <c r="AP72" s="258">
        <v>0</v>
      </c>
      <c r="AQ72" s="258">
        <v>0</v>
      </c>
      <c r="AR72" s="258">
        <v>0</v>
      </c>
      <c r="AS72" s="258">
        <v>5609</v>
      </c>
      <c r="AT72" s="258" t="s">
        <v>595</v>
      </c>
      <c r="AU72" s="258">
        <v>5609</v>
      </c>
      <c r="AV72" s="256" t="s">
        <v>1114</v>
      </c>
      <c r="AW72" s="256" t="s">
        <v>594</v>
      </c>
      <c r="AX72" s="257" t="s">
        <v>595</v>
      </c>
      <c r="AY72" s="257" t="s">
        <v>595</v>
      </c>
      <c r="AZ72" s="256" t="s">
        <v>1115</v>
      </c>
      <c r="BA72" s="256" t="s">
        <v>911</v>
      </c>
      <c r="BB72" s="256" t="s">
        <v>940</v>
      </c>
      <c r="BC72" s="256" t="s">
        <v>595</v>
      </c>
      <c r="BD72" s="256" t="s">
        <v>1005</v>
      </c>
      <c r="BE72" s="258">
        <v>319</v>
      </c>
      <c r="BF72" s="256" t="s">
        <v>1116</v>
      </c>
      <c r="BG72" s="256" t="s">
        <v>717</v>
      </c>
      <c r="BH72" s="257" t="s">
        <v>718</v>
      </c>
      <c r="BI72" s="256" t="s">
        <v>595</v>
      </c>
      <c r="BJ72" s="256" t="s">
        <v>664</v>
      </c>
      <c r="BK72" s="256" t="s">
        <v>595</v>
      </c>
      <c r="BL72" s="256" t="s">
        <v>595</v>
      </c>
      <c r="BM72" s="256" t="s">
        <v>595</v>
      </c>
      <c r="BN72" s="256" t="s">
        <v>594</v>
      </c>
      <c r="BO72" s="256" t="s">
        <v>719</v>
      </c>
      <c r="BP72" s="257" t="s">
        <v>720</v>
      </c>
      <c r="BQ72" s="256" t="s">
        <v>709</v>
      </c>
      <c r="BR72" s="256" t="s">
        <v>710</v>
      </c>
      <c r="BS72" s="256" t="s">
        <v>595</v>
      </c>
      <c r="BT72" s="91">
        <f t="shared" si="1"/>
        <v>46117</v>
      </c>
      <c r="BU72" s="91">
        <f t="array" ref="BU72">MIN(IF(H:H=H72,BT:BT ))</f>
        <v>46117</v>
      </c>
    </row>
    <row r="73" spans="1:73" x14ac:dyDescent="0.3">
      <c r="A73" s="256" t="s">
        <v>581</v>
      </c>
      <c r="B73" s="256" t="s">
        <v>711</v>
      </c>
      <c r="C73" s="256" t="s">
        <v>711</v>
      </c>
      <c r="D73" s="256" t="s">
        <v>711</v>
      </c>
      <c r="E73" s="257" t="s">
        <v>712</v>
      </c>
      <c r="F73" s="256" t="s">
        <v>583</v>
      </c>
      <c r="G73" s="257" t="s">
        <v>584</v>
      </c>
      <c r="H73" s="256">
        <v>320471</v>
      </c>
      <c r="I73" s="257" t="s">
        <v>753</v>
      </c>
      <c r="J73" s="256" t="s">
        <v>754</v>
      </c>
      <c r="K73" s="256" t="s">
        <v>714</v>
      </c>
      <c r="L73" s="256" t="s">
        <v>715</v>
      </c>
      <c r="M73" s="256" t="s">
        <v>716</v>
      </c>
      <c r="N73" s="256" t="s">
        <v>655</v>
      </c>
      <c r="O73" s="256" t="s">
        <v>591</v>
      </c>
      <c r="P73" s="256" t="s">
        <v>592</v>
      </c>
      <c r="Q73" s="258">
        <v>6</v>
      </c>
      <c r="R73" s="258">
        <v>240</v>
      </c>
      <c r="S73" s="258">
        <v>1080</v>
      </c>
      <c r="T73" s="258">
        <v>0</v>
      </c>
      <c r="U73" s="258">
        <v>6</v>
      </c>
      <c r="V73" s="258">
        <v>3</v>
      </c>
      <c r="W73" s="258">
        <v>39</v>
      </c>
      <c r="X73" s="258">
        <v>42.12</v>
      </c>
      <c r="Y73" s="258">
        <v>0</v>
      </c>
      <c r="Z73" s="258">
        <v>0</v>
      </c>
      <c r="AA73" s="258">
        <v>0</v>
      </c>
      <c r="AB73" s="258">
        <v>0</v>
      </c>
      <c r="AC73" s="258">
        <v>0</v>
      </c>
      <c r="AD73" s="258">
        <v>0</v>
      </c>
      <c r="AE73" s="258">
        <v>6</v>
      </c>
      <c r="AF73" s="258">
        <v>3</v>
      </c>
      <c r="AG73" s="258">
        <v>39</v>
      </c>
      <c r="AH73" s="258">
        <v>42.12</v>
      </c>
      <c r="AI73" s="258">
        <v>0</v>
      </c>
      <c r="AJ73" s="258">
        <v>0</v>
      </c>
      <c r="AK73" s="258">
        <v>0</v>
      </c>
      <c r="AL73" s="258">
        <v>0</v>
      </c>
      <c r="AM73" s="258">
        <v>0</v>
      </c>
      <c r="AN73" s="258">
        <v>0</v>
      </c>
      <c r="AO73" s="258">
        <v>0</v>
      </c>
      <c r="AP73" s="258">
        <v>0</v>
      </c>
      <c r="AQ73" s="258">
        <v>0</v>
      </c>
      <c r="AR73" s="258">
        <v>0</v>
      </c>
      <c r="AS73" s="258">
        <v>7776</v>
      </c>
      <c r="AT73" s="258" t="s">
        <v>595</v>
      </c>
      <c r="AU73" s="258">
        <v>303264</v>
      </c>
      <c r="AV73" s="256" t="s">
        <v>1117</v>
      </c>
      <c r="AW73" s="256" t="s">
        <v>594</v>
      </c>
      <c r="AX73" s="257" t="s">
        <v>595</v>
      </c>
      <c r="AY73" s="257" t="s">
        <v>595</v>
      </c>
      <c r="AZ73" s="256" t="s">
        <v>1115</v>
      </c>
      <c r="BA73" s="256" t="s">
        <v>765</v>
      </c>
      <c r="BB73" s="256" t="s">
        <v>766</v>
      </c>
      <c r="BC73" s="256" t="s">
        <v>1008</v>
      </c>
      <c r="BD73" s="256" t="s">
        <v>1009</v>
      </c>
      <c r="BE73" s="258">
        <v>221</v>
      </c>
      <c r="BF73" s="256" t="s">
        <v>1060</v>
      </c>
      <c r="BG73" s="256" t="s">
        <v>717</v>
      </c>
      <c r="BH73" s="257" t="s">
        <v>718</v>
      </c>
      <c r="BI73" s="256" t="s">
        <v>595</v>
      </c>
      <c r="BJ73" s="256" t="s">
        <v>664</v>
      </c>
      <c r="BK73" s="256" t="s">
        <v>595</v>
      </c>
      <c r="BL73" s="256" t="s">
        <v>595</v>
      </c>
      <c r="BM73" s="256" t="s">
        <v>595</v>
      </c>
      <c r="BN73" s="256" t="s">
        <v>594</v>
      </c>
      <c r="BO73" s="256" t="s">
        <v>719</v>
      </c>
      <c r="BP73" s="257" t="s">
        <v>720</v>
      </c>
      <c r="BQ73" s="256" t="s">
        <v>709</v>
      </c>
      <c r="BR73" s="256" t="s">
        <v>710</v>
      </c>
      <c r="BS73" s="256" t="s">
        <v>595</v>
      </c>
      <c r="BT73" s="91">
        <f t="shared" si="1"/>
        <v>46019</v>
      </c>
      <c r="BU73" s="91">
        <f t="array" ref="BU73">MIN(IF(H:H=H73,BT:BT ))</f>
        <v>46019</v>
      </c>
    </row>
    <row r="74" spans="1:73" x14ac:dyDescent="0.3">
      <c r="A74" s="256" t="s">
        <v>581</v>
      </c>
      <c r="B74" s="256" t="s">
        <v>711</v>
      </c>
      <c r="C74" s="256" t="s">
        <v>711</v>
      </c>
      <c r="D74" s="256" t="s">
        <v>711</v>
      </c>
      <c r="E74" s="257" t="s">
        <v>712</v>
      </c>
      <c r="F74" s="256" t="s">
        <v>583</v>
      </c>
      <c r="G74" s="257" t="s">
        <v>584</v>
      </c>
      <c r="H74" s="256">
        <v>321617</v>
      </c>
      <c r="I74" s="257" t="s">
        <v>726</v>
      </c>
      <c r="J74" s="256" t="s">
        <v>727</v>
      </c>
      <c r="K74" s="256" t="s">
        <v>714</v>
      </c>
      <c r="L74" s="256" t="s">
        <v>715</v>
      </c>
      <c r="M74" s="256" t="s">
        <v>716</v>
      </c>
      <c r="N74" s="256" t="s">
        <v>655</v>
      </c>
      <c r="O74" s="256" t="s">
        <v>591</v>
      </c>
      <c r="P74" s="256" t="s">
        <v>592</v>
      </c>
      <c r="Q74" s="258">
        <v>6</v>
      </c>
      <c r="R74" s="258">
        <v>240</v>
      </c>
      <c r="S74" s="258">
        <v>1264</v>
      </c>
      <c r="T74" s="258">
        <v>0</v>
      </c>
      <c r="U74" s="258">
        <v>3</v>
      </c>
      <c r="V74" s="258">
        <v>0</v>
      </c>
      <c r="W74" s="258">
        <v>18</v>
      </c>
      <c r="X74" s="258">
        <v>22.751999999999999</v>
      </c>
      <c r="Y74" s="258">
        <v>0</v>
      </c>
      <c r="Z74" s="258">
        <v>0</v>
      </c>
      <c r="AA74" s="258">
        <v>0</v>
      </c>
      <c r="AB74" s="258">
        <v>0</v>
      </c>
      <c r="AC74" s="258">
        <v>0</v>
      </c>
      <c r="AD74" s="258">
        <v>0</v>
      </c>
      <c r="AE74" s="258">
        <v>3</v>
      </c>
      <c r="AF74" s="258">
        <v>0</v>
      </c>
      <c r="AG74" s="258">
        <v>18</v>
      </c>
      <c r="AH74" s="258">
        <v>22.751999999999999</v>
      </c>
      <c r="AI74" s="258">
        <v>0</v>
      </c>
      <c r="AJ74" s="258">
        <v>0</v>
      </c>
      <c r="AK74" s="258">
        <v>0</v>
      </c>
      <c r="AL74" s="258">
        <v>0</v>
      </c>
      <c r="AM74" s="258">
        <v>0</v>
      </c>
      <c r="AN74" s="258">
        <v>0</v>
      </c>
      <c r="AO74" s="258">
        <v>0</v>
      </c>
      <c r="AP74" s="258">
        <v>0</v>
      </c>
      <c r="AQ74" s="258">
        <v>0</v>
      </c>
      <c r="AR74" s="258">
        <v>0</v>
      </c>
      <c r="AS74" s="258">
        <v>7209</v>
      </c>
      <c r="AT74" s="258" t="s">
        <v>595</v>
      </c>
      <c r="AU74" s="258">
        <v>129762</v>
      </c>
      <c r="AV74" s="256" t="s">
        <v>1118</v>
      </c>
      <c r="AW74" s="256" t="s">
        <v>594</v>
      </c>
      <c r="AX74" s="257" t="s">
        <v>595</v>
      </c>
      <c r="AY74" s="257" t="s">
        <v>595</v>
      </c>
      <c r="AZ74" s="256" t="s">
        <v>1115</v>
      </c>
      <c r="BA74" s="256" t="s">
        <v>890</v>
      </c>
      <c r="BB74" s="256" t="s">
        <v>891</v>
      </c>
      <c r="BC74" s="256" t="s">
        <v>1007</v>
      </c>
      <c r="BD74" s="256" t="s">
        <v>961</v>
      </c>
      <c r="BE74" s="258">
        <v>299</v>
      </c>
      <c r="BF74" s="256" t="s">
        <v>1072</v>
      </c>
      <c r="BG74" s="256" t="s">
        <v>717</v>
      </c>
      <c r="BH74" s="257" t="s">
        <v>718</v>
      </c>
      <c r="BI74" s="256" t="s">
        <v>595</v>
      </c>
      <c r="BJ74" s="256" t="s">
        <v>664</v>
      </c>
      <c r="BK74" s="256" t="s">
        <v>595</v>
      </c>
      <c r="BL74" s="256" t="s">
        <v>595</v>
      </c>
      <c r="BM74" s="256" t="s">
        <v>595</v>
      </c>
      <c r="BN74" s="256" t="s">
        <v>594</v>
      </c>
      <c r="BO74" s="256" t="s">
        <v>719</v>
      </c>
      <c r="BP74" s="257" t="s">
        <v>720</v>
      </c>
      <c r="BQ74" s="256" t="s">
        <v>709</v>
      </c>
      <c r="BR74" s="256" t="s">
        <v>710</v>
      </c>
      <c r="BS74" s="256" t="s">
        <v>595</v>
      </c>
      <c r="BT74" s="91">
        <f t="shared" si="1"/>
        <v>46097</v>
      </c>
      <c r="BU74" s="91">
        <f t="array" ref="BU74">MIN(IF(H:H=H74,BT:BT ))</f>
        <v>46097</v>
      </c>
    </row>
    <row r="75" spans="1:73" x14ac:dyDescent="0.3">
      <c r="A75" s="256" t="s">
        <v>581</v>
      </c>
      <c r="B75" s="256" t="s">
        <v>582</v>
      </c>
      <c r="C75" s="256" t="s">
        <v>733</v>
      </c>
      <c r="D75" s="256" t="s">
        <v>1070</v>
      </c>
      <c r="E75" s="257" t="s">
        <v>1071</v>
      </c>
      <c r="F75" s="256" t="s">
        <v>583</v>
      </c>
      <c r="G75" s="257" t="s">
        <v>584</v>
      </c>
      <c r="H75" s="256">
        <v>325230</v>
      </c>
      <c r="I75" s="257" t="s">
        <v>692</v>
      </c>
      <c r="J75" s="256" t="s">
        <v>693</v>
      </c>
      <c r="K75" s="256" t="s">
        <v>587</v>
      </c>
      <c r="L75" s="256" t="s">
        <v>653</v>
      </c>
      <c r="M75" s="256" t="s">
        <v>654</v>
      </c>
      <c r="N75" s="256" t="s">
        <v>655</v>
      </c>
      <c r="O75" s="256" t="s">
        <v>591</v>
      </c>
      <c r="P75" s="256" t="s">
        <v>592</v>
      </c>
      <c r="Q75" s="258">
        <v>20</v>
      </c>
      <c r="R75" s="258">
        <v>800</v>
      </c>
      <c r="S75" s="258">
        <v>500</v>
      </c>
      <c r="T75" s="258">
        <v>0</v>
      </c>
      <c r="U75" s="258">
        <v>0</v>
      </c>
      <c r="V75" s="258">
        <v>1</v>
      </c>
      <c r="W75" s="258">
        <v>1</v>
      </c>
      <c r="X75" s="258">
        <v>0.5</v>
      </c>
      <c r="Y75" s="258">
        <v>0</v>
      </c>
      <c r="Z75" s="258">
        <v>0</v>
      </c>
      <c r="AA75" s="258">
        <v>0</v>
      </c>
      <c r="AB75" s="258">
        <v>0</v>
      </c>
      <c r="AC75" s="258">
        <v>0</v>
      </c>
      <c r="AD75" s="258">
        <v>0</v>
      </c>
      <c r="AE75" s="258">
        <v>0</v>
      </c>
      <c r="AF75" s="258">
        <v>0</v>
      </c>
      <c r="AG75" s="258">
        <v>0</v>
      </c>
      <c r="AH75" s="258">
        <v>0</v>
      </c>
      <c r="AI75" s="258">
        <v>0</v>
      </c>
      <c r="AJ75" s="258">
        <v>0</v>
      </c>
      <c r="AK75" s="258">
        <v>1</v>
      </c>
      <c r="AL75" s="258">
        <v>1</v>
      </c>
      <c r="AM75" s="258">
        <v>0.5</v>
      </c>
      <c r="AN75" s="258">
        <v>0</v>
      </c>
      <c r="AO75" s="258">
        <v>0</v>
      </c>
      <c r="AP75" s="258">
        <v>0</v>
      </c>
      <c r="AQ75" s="258">
        <v>0</v>
      </c>
      <c r="AR75" s="258">
        <v>0</v>
      </c>
      <c r="AS75" s="258">
        <v>4800</v>
      </c>
      <c r="AT75" s="258">
        <v>4800</v>
      </c>
      <c r="AU75" s="258">
        <v>4800</v>
      </c>
      <c r="AV75" s="256" t="s">
        <v>904</v>
      </c>
      <c r="AW75" s="256" t="s">
        <v>594</v>
      </c>
      <c r="AX75" s="257" t="s">
        <v>595</v>
      </c>
      <c r="AY75" s="257" t="s">
        <v>595</v>
      </c>
      <c r="AZ75" s="256" t="s">
        <v>883</v>
      </c>
      <c r="BA75" s="256" t="s">
        <v>885</v>
      </c>
      <c r="BB75" s="256" t="s">
        <v>697</v>
      </c>
      <c r="BC75" s="256" t="s">
        <v>999</v>
      </c>
      <c r="BD75" s="256" t="s">
        <v>960</v>
      </c>
      <c r="BE75" s="258">
        <v>126</v>
      </c>
      <c r="BF75" s="256" t="s">
        <v>1103</v>
      </c>
      <c r="BG75" s="256" t="s">
        <v>688</v>
      </c>
      <c r="BH75" s="257" t="s">
        <v>689</v>
      </c>
      <c r="BI75" s="256" t="s">
        <v>595</v>
      </c>
      <c r="BJ75" s="256" t="s">
        <v>601</v>
      </c>
      <c r="BK75" s="256" t="s">
        <v>595</v>
      </c>
      <c r="BL75" s="256" t="s">
        <v>595</v>
      </c>
      <c r="BM75" s="256" t="s">
        <v>595</v>
      </c>
      <c r="BN75" s="256" t="s">
        <v>734</v>
      </c>
      <c r="BO75" s="256" t="s">
        <v>602</v>
      </c>
      <c r="BP75" s="257" t="s">
        <v>603</v>
      </c>
      <c r="BQ75" s="256" t="s">
        <v>604</v>
      </c>
      <c r="BR75" s="256" t="s">
        <v>605</v>
      </c>
      <c r="BS75" s="256" t="s">
        <v>595</v>
      </c>
      <c r="BT75" s="91">
        <f t="shared" si="1"/>
        <v>45924</v>
      </c>
      <c r="BU75" s="91">
        <f t="array" ref="BU75">MIN(IF(H:H=H75,BT:BT ))</f>
        <v>45924</v>
      </c>
    </row>
    <row r="76" spans="1:73" x14ac:dyDescent="0.3">
      <c r="A76" s="256" t="s">
        <v>581</v>
      </c>
      <c r="B76" s="256" t="s">
        <v>582</v>
      </c>
      <c r="C76" s="256" t="s">
        <v>733</v>
      </c>
      <c r="D76" s="256" t="s">
        <v>985</v>
      </c>
      <c r="E76" s="257" t="s">
        <v>986</v>
      </c>
      <c r="F76" s="256" t="s">
        <v>583</v>
      </c>
      <c r="G76" s="257" t="s">
        <v>584</v>
      </c>
      <c r="H76" s="256">
        <v>259276</v>
      </c>
      <c r="I76" s="257" t="s">
        <v>686</v>
      </c>
      <c r="J76" s="256" t="s">
        <v>687</v>
      </c>
      <c r="K76" s="256" t="s">
        <v>587</v>
      </c>
      <c r="L76" s="256" t="s">
        <v>653</v>
      </c>
      <c r="M76" s="256" t="s">
        <v>654</v>
      </c>
      <c r="N76" s="256" t="s">
        <v>655</v>
      </c>
      <c r="O76" s="256" t="s">
        <v>591</v>
      </c>
      <c r="P76" s="256" t="s">
        <v>592</v>
      </c>
      <c r="Q76" s="258">
        <v>10</v>
      </c>
      <c r="R76" s="258">
        <v>540</v>
      </c>
      <c r="S76" s="258">
        <v>1050</v>
      </c>
      <c r="T76" s="258">
        <v>0</v>
      </c>
      <c r="U76" s="258">
        <v>0</v>
      </c>
      <c r="V76" s="258">
        <v>5</v>
      </c>
      <c r="W76" s="258">
        <v>5</v>
      </c>
      <c r="X76" s="258">
        <v>5.25</v>
      </c>
      <c r="Y76" s="258">
        <v>0</v>
      </c>
      <c r="Z76" s="258">
        <v>0</v>
      </c>
      <c r="AA76" s="258">
        <v>0</v>
      </c>
      <c r="AB76" s="258">
        <v>0</v>
      </c>
      <c r="AC76" s="258">
        <v>0</v>
      </c>
      <c r="AD76" s="258">
        <v>0</v>
      </c>
      <c r="AE76" s="258">
        <v>0</v>
      </c>
      <c r="AF76" s="258">
        <v>0</v>
      </c>
      <c r="AG76" s="258">
        <v>0</v>
      </c>
      <c r="AH76" s="258">
        <v>0</v>
      </c>
      <c r="AI76" s="258">
        <v>0</v>
      </c>
      <c r="AJ76" s="258">
        <v>0</v>
      </c>
      <c r="AK76" s="258">
        <v>5</v>
      </c>
      <c r="AL76" s="258">
        <v>5</v>
      </c>
      <c r="AM76" s="258">
        <v>5.25</v>
      </c>
      <c r="AN76" s="258">
        <v>0</v>
      </c>
      <c r="AO76" s="258">
        <v>0</v>
      </c>
      <c r="AP76" s="258">
        <v>0</v>
      </c>
      <c r="AQ76" s="258">
        <v>0</v>
      </c>
      <c r="AR76" s="258">
        <v>0</v>
      </c>
      <c r="AS76" s="258">
        <v>11568</v>
      </c>
      <c r="AT76" s="258">
        <v>11568</v>
      </c>
      <c r="AU76" s="258">
        <v>57840</v>
      </c>
      <c r="AV76" s="256" t="s">
        <v>964</v>
      </c>
      <c r="AW76" s="256" t="s">
        <v>594</v>
      </c>
      <c r="AX76" s="257" t="s">
        <v>595</v>
      </c>
      <c r="AY76" s="257" t="s">
        <v>595</v>
      </c>
      <c r="AZ76" s="256" t="s">
        <v>957</v>
      </c>
      <c r="BA76" s="256" t="s">
        <v>965</v>
      </c>
      <c r="BB76" s="256" t="s">
        <v>966</v>
      </c>
      <c r="BC76" s="256" t="s">
        <v>644</v>
      </c>
      <c r="BD76" s="256" t="s">
        <v>996</v>
      </c>
      <c r="BE76" s="258">
        <v>234</v>
      </c>
      <c r="BF76" s="256" t="s">
        <v>1119</v>
      </c>
      <c r="BG76" s="256" t="s">
        <v>688</v>
      </c>
      <c r="BH76" s="257" t="s">
        <v>689</v>
      </c>
      <c r="BI76" s="256" t="s">
        <v>595</v>
      </c>
      <c r="BJ76" s="256" t="s">
        <v>685</v>
      </c>
      <c r="BK76" s="256" t="s">
        <v>595</v>
      </c>
      <c r="BL76" s="256" t="s">
        <v>595</v>
      </c>
      <c r="BM76" s="256" t="s">
        <v>595</v>
      </c>
      <c r="BN76" s="256" t="s">
        <v>734</v>
      </c>
      <c r="BO76" s="256" t="s">
        <v>602</v>
      </c>
      <c r="BP76" s="257" t="s">
        <v>603</v>
      </c>
      <c r="BQ76" s="256" t="s">
        <v>604</v>
      </c>
      <c r="BR76" s="256" t="s">
        <v>605</v>
      </c>
      <c r="BS76" s="256" t="s">
        <v>595</v>
      </c>
      <c r="BT76" s="91">
        <f t="shared" si="1"/>
        <v>46032</v>
      </c>
      <c r="BU76" s="91">
        <f t="array" ref="BU76">MIN(IF(H:H=H76,BT:BT ))</f>
        <v>46032</v>
      </c>
    </row>
    <row r="77" spans="1:73" x14ac:dyDescent="0.3">
      <c r="A77" s="256" t="s">
        <v>735</v>
      </c>
      <c r="B77" s="256" t="s">
        <v>582</v>
      </c>
      <c r="C77" s="256" t="s">
        <v>736</v>
      </c>
      <c r="D77" s="256" t="s">
        <v>739</v>
      </c>
      <c r="E77" s="257" t="s">
        <v>739</v>
      </c>
      <c r="F77" s="256" t="s">
        <v>583</v>
      </c>
      <c r="G77" s="257" t="s">
        <v>584</v>
      </c>
      <c r="H77" s="256">
        <v>333524</v>
      </c>
      <c r="I77" s="257" t="s">
        <v>728</v>
      </c>
      <c r="J77" s="256" t="s">
        <v>729</v>
      </c>
      <c r="K77" s="256" t="s">
        <v>621</v>
      </c>
      <c r="L77" s="256" t="s">
        <v>715</v>
      </c>
      <c r="M77" s="256" t="s">
        <v>716</v>
      </c>
      <c r="N77" s="256" t="s">
        <v>655</v>
      </c>
      <c r="O77" s="256" t="s">
        <v>591</v>
      </c>
      <c r="P77" s="256" t="s">
        <v>592</v>
      </c>
      <c r="Q77" s="258">
        <v>8</v>
      </c>
      <c r="R77" s="258">
        <v>320</v>
      </c>
      <c r="S77" s="258">
        <v>1000</v>
      </c>
      <c r="T77" s="258">
        <v>0</v>
      </c>
      <c r="U77" s="258">
        <v>20</v>
      </c>
      <c r="V77" s="258">
        <v>2</v>
      </c>
      <c r="W77" s="258">
        <v>162</v>
      </c>
      <c r="X77" s="258">
        <v>162</v>
      </c>
      <c r="Y77" s="258">
        <v>0</v>
      </c>
      <c r="Z77" s="258">
        <v>20</v>
      </c>
      <c r="AA77" s="258">
        <v>2</v>
      </c>
      <c r="AB77" s="258">
        <v>162</v>
      </c>
      <c r="AC77" s="258">
        <v>162</v>
      </c>
      <c r="AD77" s="258">
        <v>0</v>
      </c>
      <c r="AE77" s="258">
        <v>0</v>
      </c>
      <c r="AF77" s="258">
        <v>0</v>
      </c>
      <c r="AG77" s="258">
        <v>0</v>
      </c>
      <c r="AH77" s="258">
        <v>0</v>
      </c>
      <c r="AI77" s="258">
        <v>0</v>
      </c>
      <c r="AJ77" s="258">
        <v>0</v>
      </c>
      <c r="AK77" s="258">
        <v>0</v>
      </c>
      <c r="AL77" s="258">
        <v>0</v>
      </c>
      <c r="AM77" s="258">
        <v>0</v>
      </c>
      <c r="AN77" s="258">
        <v>0</v>
      </c>
      <c r="AO77" s="258">
        <v>0</v>
      </c>
      <c r="AP77" s="258">
        <v>0</v>
      </c>
      <c r="AQ77" s="258">
        <v>0</v>
      </c>
      <c r="AR77" s="258">
        <v>0</v>
      </c>
      <c r="AS77" s="258">
        <v>6883</v>
      </c>
      <c r="AT77" s="258" t="s">
        <v>595</v>
      </c>
      <c r="AU77" s="258">
        <v>1115046</v>
      </c>
      <c r="AV77" s="256" t="s">
        <v>737</v>
      </c>
      <c r="AW77" s="256" t="s">
        <v>594</v>
      </c>
      <c r="AX77" s="257" t="s">
        <v>595</v>
      </c>
      <c r="AY77" s="257" t="s">
        <v>595</v>
      </c>
      <c r="AZ77" s="256" t="s">
        <v>738</v>
      </c>
      <c r="BA77" s="256" t="s">
        <v>730</v>
      </c>
      <c r="BB77" s="256" t="s">
        <v>731</v>
      </c>
      <c r="BC77" s="256" t="s">
        <v>595</v>
      </c>
      <c r="BD77" s="256" t="s">
        <v>1010</v>
      </c>
      <c r="BE77" s="258">
        <v>80</v>
      </c>
      <c r="BF77" s="256" t="s">
        <v>1040</v>
      </c>
      <c r="BG77" s="256" t="s">
        <v>717</v>
      </c>
      <c r="BH77" s="257" t="s">
        <v>718</v>
      </c>
      <c r="BI77" s="256" t="s">
        <v>595</v>
      </c>
      <c r="BJ77" s="256" t="s">
        <v>664</v>
      </c>
      <c r="BK77" s="256" t="s">
        <v>595</v>
      </c>
      <c r="BL77" s="256" t="s">
        <v>595</v>
      </c>
      <c r="BM77" s="256" t="s">
        <v>595</v>
      </c>
      <c r="BN77" s="256" t="s">
        <v>594</v>
      </c>
      <c r="BO77" s="256" t="s">
        <v>732</v>
      </c>
      <c r="BP77" s="257" t="s">
        <v>784</v>
      </c>
      <c r="BQ77" s="256" t="s">
        <v>604</v>
      </c>
      <c r="BR77" s="256" t="s">
        <v>605</v>
      </c>
      <c r="BS77" s="256" t="s">
        <v>595</v>
      </c>
      <c r="BT77" s="91">
        <f t="shared" si="1"/>
        <v>45878</v>
      </c>
      <c r="BU77" s="91">
        <f t="array" ref="BU77">MIN(IF(H:H=H77,BT:BT ))</f>
        <v>45878</v>
      </c>
    </row>
    <row r="78" spans="1:73" x14ac:dyDescent="0.3">
      <c r="A78" s="256" t="s">
        <v>735</v>
      </c>
      <c r="B78" s="256" t="s">
        <v>582</v>
      </c>
      <c r="C78" s="256" t="s">
        <v>736</v>
      </c>
      <c r="D78" s="256" t="s">
        <v>967</v>
      </c>
      <c r="E78" s="257" t="s">
        <v>967</v>
      </c>
      <c r="F78" s="256" t="s">
        <v>583</v>
      </c>
      <c r="G78" s="257" t="s">
        <v>584</v>
      </c>
      <c r="H78" s="256">
        <v>314433</v>
      </c>
      <c r="I78" s="257" t="s">
        <v>713</v>
      </c>
      <c r="J78" s="256" t="s">
        <v>652</v>
      </c>
      <c r="K78" s="256" t="s">
        <v>714</v>
      </c>
      <c r="L78" s="256" t="s">
        <v>715</v>
      </c>
      <c r="M78" s="256" t="s">
        <v>716</v>
      </c>
      <c r="N78" s="256" t="s">
        <v>655</v>
      </c>
      <c r="O78" s="256" t="s">
        <v>591</v>
      </c>
      <c r="P78" s="256" t="s">
        <v>592</v>
      </c>
      <c r="Q78" s="258">
        <v>8</v>
      </c>
      <c r="R78" s="258">
        <v>320</v>
      </c>
      <c r="S78" s="258">
        <v>1000</v>
      </c>
      <c r="T78" s="258">
        <v>0</v>
      </c>
      <c r="U78" s="258">
        <v>12</v>
      </c>
      <c r="V78" s="258">
        <v>2</v>
      </c>
      <c r="W78" s="258">
        <v>98</v>
      </c>
      <c r="X78" s="258">
        <v>98</v>
      </c>
      <c r="Y78" s="258">
        <v>0</v>
      </c>
      <c r="Z78" s="258">
        <v>12</v>
      </c>
      <c r="AA78" s="258">
        <v>2</v>
      </c>
      <c r="AB78" s="258">
        <v>98</v>
      </c>
      <c r="AC78" s="258">
        <v>98</v>
      </c>
      <c r="AD78" s="258">
        <v>0</v>
      </c>
      <c r="AE78" s="258">
        <v>0</v>
      </c>
      <c r="AF78" s="258">
        <v>0</v>
      </c>
      <c r="AG78" s="258">
        <v>0</v>
      </c>
      <c r="AH78" s="258">
        <v>0</v>
      </c>
      <c r="AI78" s="258">
        <v>0</v>
      </c>
      <c r="AJ78" s="258">
        <v>0</v>
      </c>
      <c r="AK78" s="258">
        <v>0</v>
      </c>
      <c r="AL78" s="258">
        <v>0</v>
      </c>
      <c r="AM78" s="258">
        <v>0</v>
      </c>
      <c r="AN78" s="258">
        <v>0</v>
      </c>
      <c r="AO78" s="258">
        <v>0</v>
      </c>
      <c r="AP78" s="258">
        <v>0</v>
      </c>
      <c r="AQ78" s="258">
        <v>0</v>
      </c>
      <c r="AR78" s="258">
        <v>0</v>
      </c>
      <c r="AS78" s="258">
        <v>5609</v>
      </c>
      <c r="AT78" s="258" t="s">
        <v>595</v>
      </c>
      <c r="AU78" s="258">
        <v>549682</v>
      </c>
      <c r="AV78" s="256" t="s">
        <v>939</v>
      </c>
      <c r="AW78" s="256" t="s">
        <v>594</v>
      </c>
      <c r="AX78" s="257" t="s">
        <v>595</v>
      </c>
      <c r="AY78" s="257" t="s">
        <v>595</v>
      </c>
      <c r="AZ78" s="256" t="s">
        <v>911</v>
      </c>
      <c r="BA78" s="256" t="s">
        <v>911</v>
      </c>
      <c r="BB78" s="256" t="s">
        <v>940</v>
      </c>
      <c r="BC78" s="256" t="s">
        <v>595</v>
      </c>
      <c r="BD78" s="256" t="s">
        <v>1005</v>
      </c>
      <c r="BE78" s="258">
        <v>319</v>
      </c>
      <c r="BF78" s="256" t="s">
        <v>1116</v>
      </c>
      <c r="BG78" s="256" t="s">
        <v>717</v>
      </c>
      <c r="BH78" s="257" t="s">
        <v>718</v>
      </c>
      <c r="BI78" s="256" t="s">
        <v>595</v>
      </c>
      <c r="BJ78" s="256" t="s">
        <v>664</v>
      </c>
      <c r="BK78" s="256" t="s">
        <v>595</v>
      </c>
      <c r="BL78" s="256" t="s">
        <v>595</v>
      </c>
      <c r="BM78" s="256" t="s">
        <v>595</v>
      </c>
      <c r="BN78" s="256" t="s">
        <v>594</v>
      </c>
      <c r="BO78" s="256" t="s">
        <v>719</v>
      </c>
      <c r="BP78" s="257" t="s">
        <v>720</v>
      </c>
      <c r="BQ78" s="256" t="s">
        <v>604</v>
      </c>
      <c r="BR78" s="256" t="s">
        <v>605</v>
      </c>
      <c r="BS78" s="256" t="s">
        <v>595</v>
      </c>
      <c r="BT78" s="91">
        <f t="shared" si="1"/>
        <v>46117</v>
      </c>
      <c r="BU78" s="91">
        <f t="array" ref="BU78">MIN(IF(H:H=H78,BT:BT ))</f>
        <v>46117</v>
      </c>
    </row>
    <row r="79" spans="1:73" x14ac:dyDescent="0.3">
      <c r="A79" s="256" t="s">
        <v>735</v>
      </c>
      <c r="B79" s="256" t="s">
        <v>582</v>
      </c>
      <c r="C79" s="256" t="s">
        <v>736</v>
      </c>
      <c r="D79" s="256" t="s">
        <v>938</v>
      </c>
      <c r="E79" s="257" t="s">
        <v>938</v>
      </c>
      <c r="F79" s="256" t="s">
        <v>583</v>
      </c>
      <c r="G79" s="257" t="s">
        <v>584</v>
      </c>
      <c r="H79" s="256">
        <v>317361</v>
      </c>
      <c r="I79" s="257" t="s">
        <v>721</v>
      </c>
      <c r="J79" s="256" t="s">
        <v>722</v>
      </c>
      <c r="K79" s="256" t="s">
        <v>714</v>
      </c>
      <c r="L79" s="256" t="s">
        <v>715</v>
      </c>
      <c r="M79" s="256" t="s">
        <v>716</v>
      </c>
      <c r="N79" s="256" t="s">
        <v>655</v>
      </c>
      <c r="O79" s="256" t="s">
        <v>591</v>
      </c>
      <c r="P79" s="256" t="s">
        <v>592</v>
      </c>
      <c r="Q79" s="258">
        <v>4</v>
      </c>
      <c r="R79" s="258">
        <v>144</v>
      </c>
      <c r="S79" s="258">
        <v>4000</v>
      </c>
      <c r="T79" s="258">
        <v>0</v>
      </c>
      <c r="U79" s="258">
        <v>23</v>
      </c>
      <c r="V79" s="258">
        <v>1</v>
      </c>
      <c r="W79" s="258">
        <v>93</v>
      </c>
      <c r="X79" s="258">
        <v>372</v>
      </c>
      <c r="Y79" s="258">
        <v>0</v>
      </c>
      <c r="Z79" s="258">
        <v>23</v>
      </c>
      <c r="AA79" s="258">
        <v>1</v>
      </c>
      <c r="AB79" s="258">
        <v>93</v>
      </c>
      <c r="AC79" s="258">
        <v>372</v>
      </c>
      <c r="AD79" s="258">
        <v>0</v>
      </c>
      <c r="AE79" s="258">
        <v>0</v>
      </c>
      <c r="AF79" s="258">
        <v>0</v>
      </c>
      <c r="AG79" s="258">
        <v>0</v>
      </c>
      <c r="AH79" s="258">
        <v>0</v>
      </c>
      <c r="AI79" s="258">
        <v>0</v>
      </c>
      <c r="AJ79" s="258">
        <v>0</v>
      </c>
      <c r="AK79" s="258">
        <v>0</v>
      </c>
      <c r="AL79" s="258">
        <v>0</v>
      </c>
      <c r="AM79" s="258">
        <v>0</v>
      </c>
      <c r="AN79" s="258">
        <v>0</v>
      </c>
      <c r="AO79" s="258">
        <v>0</v>
      </c>
      <c r="AP79" s="258">
        <v>0</v>
      </c>
      <c r="AQ79" s="258">
        <v>0</v>
      </c>
      <c r="AR79" s="258">
        <v>0</v>
      </c>
      <c r="AS79" s="258">
        <v>17230</v>
      </c>
      <c r="AT79" s="258" t="s">
        <v>595</v>
      </c>
      <c r="AU79" s="258">
        <v>1602390</v>
      </c>
      <c r="AV79" s="256" t="s">
        <v>741</v>
      </c>
      <c r="AW79" s="256" t="s">
        <v>594</v>
      </c>
      <c r="AX79" s="257" t="s">
        <v>595</v>
      </c>
      <c r="AY79" s="257" t="s">
        <v>595</v>
      </c>
      <c r="AZ79" s="256" t="s">
        <v>740</v>
      </c>
      <c r="BA79" s="256" t="s">
        <v>742</v>
      </c>
      <c r="BB79" s="256" t="s">
        <v>743</v>
      </c>
      <c r="BC79" s="256" t="s">
        <v>595</v>
      </c>
      <c r="BD79" s="256" t="s">
        <v>1006</v>
      </c>
      <c r="BE79" s="258">
        <v>199</v>
      </c>
      <c r="BF79" s="256" t="s">
        <v>1106</v>
      </c>
      <c r="BG79" s="256" t="s">
        <v>723</v>
      </c>
      <c r="BH79" s="257" t="s">
        <v>724</v>
      </c>
      <c r="BI79" s="256" t="s">
        <v>595</v>
      </c>
      <c r="BJ79" s="256" t="s">
        <v>664</v>
      </c>
      <c r="BK79" s="256" t="s">
        <v>595</v>
      </c>
      <c r="BL79" s="256" t="s">
        <v>595</v>
      </c>
      <c r="BM79" s="256" t="s">
        <v>595</v>
      </c>
      <c r="BN79" s="256" t="s">
        <v>594</v>
      </c>
      <c r="BO79" s="256" t="s">
        <v>618</v>
      </c>
      <c r="BP79" s="257" t="s">
        <v>725</v>
      </c>
      <c r="BQ79" s="256" t="s">
        <v>604</v>
      </c>
      <c r="BR79" s="256" t="s">
        <v>605</v>
      </c>
      <c r="BS79" s="256" t="s">
        <v>595</v>
      </c>
      <c r="BT79" s="91">
        <f t="shared" si="1"/>
        <v>45997</v>
      </c>
      <c r="BU79" s="91">
        <f t="array" ref="BU79">MIN(IF(H:H=H79,BT:BT ))</f>
        <v>45997</v>
      </c>
    </row>
    <row r="80" spans="1:73" x14ac:dyDescent="0.3">
      <c r="A80" s="256" t="s">
        <v>735</v>
      </c>
      <c r="B80" s="256" t="s">
        <v>582</v>
      </c>
      <c r="C80" s="256" t="s">
        <v>736</v>
      </c>
      <c r="D80" s="256" t="s">
        <v>744</v>
      </c>
      <c r="E80" s="257" t="s">
        <v>744</v>
      </c>
      <c r="F80" s="256" t="s">
        <v>583</v>
      </c>
      <c r="G80" s="257" t="s">
        <v>584</v>
      </c>
      <c r="H80" s="256">
        <v>333524</v>
      </c>
      <c r="I80" s="257" t="s">
        <v>728</v>
      </c>
      <c r="J80" s="256" t="s">
        <v>729</v>
      </c>
      <c r="K80" s="256" t="s">
        <v>621</v>
      </c>
      <c r="L80" s="256" t="s">
        <v>715</v>
      </c>
      <c r="M80" s="256" t="s">
        <v>716</v>
      </c>
      <c r="N80" s="256" t="s">
        <v>655</v>
      </c>
      <c r="O80" s="256" t="s">
        <v>591</v>
      </c>
      <c r="P80" s="256" t="s">
        <v>592</v>
      </c>
      <c r="Q80" s="258">
        <v>8</v>
      </c>
      <c r="R80" s="258">
        <v>320</v>
      </c>
      <c r="S80" s="258">
        <v>1000</v>
      </c>
      <c r="T80" s="258">
        <v>1</v>
      </c>
      <c r="U80" s="258">
        <v>0</v>
      </c>
      <c r="V80" s="258">
        <v>0</v>
      </c>
      <c r="W80" s="258">
        <v>320</v>
      </c>
      <c r="X80" s="258">
        <v>320</v>
      </c>
      <c r="Y80" s="258">
        <v>1</v>
      </c>
      <c r="Z80" s="258">
        <v>0</v>
      </c>
      <c r="AA80" s="258">
        <v>0</v>
      </c>
      <c r="AB80" s="258">
        <v>320</v>
      </c>
      <c r="AC80" s="258">
        <v>320</v>
      </c>
      <c r="AD80" s="258">
        <v>0</v>
      </c>
      <c r="AE80" s="258">
        <v>0</v>
      </c>
      <c r="AF80" s="258">
        <v>0</v>
      </c>
      <c r="AG80" s="258">
        <v>0</v>
      </c>
      <c r="AH80" s="258">
        <v>0</v>
      </c>
      <c r="AI80" s="258">
        <v>0</v>
      </c>
      <c r="AJ80" s="258">
        <v>0</v>
      </c>
      <c r="AK80" s="258">
        <v>0</v>
      </c>
      <c r="AL80" s="258">
        <v>0</v>
      </c>
      <c r="AM80" s="258">
        <v>0</v>
      </c>
      <c r="AN80" s="258">
        <v>0</v>
      </c>
      <c r="AO80" s="258">
        <v>0</v>
      </c>
      <c r="AP80" s="258">
        <v>0</v>
      </c>
      <c r="AQ80" s="258">
        <v>0</v>
      </c>
      <c r="AR80" s="258">
        <v>0</v>
      </c>
      <c r="AS80" s="258">
        <v>6883</v>
      </c>
      <c r="AT80" s="258" t="s">
        <v>595</v>
      </c>
      <c r="AU80" s="258">
        <v>2202560</v>
      </c>
      <c r="AV80" s="256" t="s">
        <v>745</v>
      </c>
      <c r="AW80" s="256" t="s">
        <v>594</v>
      </c>
      <c r="AX80" s="257" t="s">
        <v>595</v>
      </c>
      <c r="AY80" s="257" t="s">
        <v>595</v>
      </c>
      <c r="AZ80" s="256" t="s">
        <v>738</v>
      </c>
      <c r="BA80" s="256" t="s">
        <v>730</v>
      </c>
      <c r="BB80" s="256" t="s">
        <v>731</v>
      </c>
      <c r="BC80" s="256" t="s">
        <v>595</v>
      </c>
      <c r="BD80" s="256" t="s">
        <v>1010</v>
      </c>
      <c r="BE80" s="258">
        <v>80</v>
      </c>
      <c r="BF80" s="256" t="s">
        <v>1040</v>
      </c>
      <c r="BG80" s="256" t="s">
        <v>717</v>
      </c>
      <c r="BH80" s="257" t="s">
        <v>718</v>
      </c>
      <c r="BI80" s="256" t="s">
        <v>595</v>
      </c>
      <c r="BJ80" s="256" t="s">
        <v>664</v>
      </c>
      <c r="BK80" s="256" t="s">
        <v>595</v>
      </c>
      <c r="BL80" s="256" t="s">
        <v>595</v>
      </c>
      <c r="BM80" s="256" t="s">
        <v>595</v>
      </c>
      <c r="BN80" s="256" t="s">
        <v>594</v>
      </c>
      <c r="BO80" s="256" t="s">
        <v>732</v>
      </c>
      <c r="BP80" s="257" t="s">
        <v>784</v>
      </c>
      <c r="BQ80" s="256" t="s">
        <v>611</v>
      </c>
      <c r="BR80" s="256" t="s">
        <v>612</v>
      </c>
      <c r="BS80" s="256" t="s">
        <v>595</v>
      </c>
      <c r="BT80" s="91">
        <f t="shared" si="1"/>
        <v>45878</v>
      </c>
      <c r="BU80" s="91">
        <f t="array" ref="BU80">MIN(IF(H:H=H80,BT:BT ))</f>
        <v>45878</v>
      </c>
    </row>
    <row r="81" spans="1:73" x14ac:dyDescent="0.3">
      <c r="A81" s="256" t="s">
        <v>735</v>
      </c>
      <c r="B81" s="256" t="s">
        <v>582</v>
      </c>
      <c r="C81" s="256" t="s">
        <v>736</v>
      </c>
      <c r="D81" s="256" t="s">
        <v>941</v>
      </c>
      <c r="E81" s="257" t="s">
        <v>941</v>
      </c>
      <c r="F81" s="256" t="s">
        <v>583</v>
      </c>
      <c r="G81" s="257" t="s">
        <v>584</v>
      </c>
      <c r="H81" s="256">
        <v>314433</v>
      </c>
      <c r="I81" s="257" t="s">
        <v>713</v>
      </c>
      <c r="J81" s="256" t="s">
        <v>652</v>
      </c>
      <c r="K81" s="256" t="s">
        <v>714</v>
      </c>
      <c r="L81" s="256" t="s">
        <v>715</v>
      </c>
      <c r="M81" s="256" t="s">
        <v>716</v>
      </c>
      <c r="N81" s="256" t="s">
        <v>655</v>
      </c>
      <c r="O81" s="256" t="s">
        <v>591</v>
      </c>
      <c r="P81" s="256" t="s">
        <v>592</v>
      </c>
      <c r="Q81" s="258">
        <v>8</v>
      </c>
      <c r="R81" s="258">
        <v>320</v>
      </c>
      <c r="S81" s="258">
        <v>1000</v>
      </c>
      <c r="T81" s="258">
        <v>1</v>
      </c>
      <c r="U81" s="258">
        <v>0</v>
      </c>
      <c r="V81" s="258">
        <v>0</v>
      </c>
      <c r="W81" s="258">
        <v>320</v>
      </c>
      <c r="X81" s="258">
        <v>320</v>
      </c>
      <c r="Y81" s="258">
        <v>1</v>
      </c>
      <c r="Z81" s="258">
        <v>0</v>
      </c>
      <c r="AA81" s="258">
        <v>0</v>
      </c>
      <c r="AB81" s="258">
        <v>320</v>
      </c>
      <c r="AC81" s="258">
        <v>320</v>
      </c>
      <c r="AD81" s="258">
        <v>0</v>
      </c>
      <c r="AE81" s="258">
        <v>0</v>
      </c>
      <c r="AF81" s="258">
        <v>0</v>
      </c>
      <c r="AG81" s="258">
        <v>0</v>
      </c>
      <c r="AH81" s="258">
        <v>0</v>
      </c>
      <c r="AI81" s="258">
        <v>0</v>
      </c>
      <c r="AJ81" s="258">
        <v>0</v>
      </c>
      <c r="AK81" s="258">
        <v>0</v>
      </c>
      <c r="AL81" s="258">
        <v>0</v>
      </c>
      <c r="AM81" s="258">
        <v>0</v>
      </c>
      <c r="AN81" s="258">
        <v>0</v>
      </c>
      <c r="AO81" s="258">
        <v>0</v>
      </c>
      <c r="AP81" s="258">
        <v>0</v>
      </c>
      <c r="AQ81" s="258">
        <v>0</v>
      </c>
      <c r="AR81" s="258">
        <v>0</v>
      </c>
      <c r="AS81" s="258">
        <v>5609</v>
      </c>
      <c r="AT81" s="258" t="s">
        <v>595</v>
      </c>
      <c r="AU81" s="258">
        <v>1794880</v>
      </c>
      <c r="AV81" s="256" t="s">
        <v>939</v>
      </c>
      <c r="AW81" s="256" t="s">
        <v>594</v>
      </c>
      <c r="AX81" s="257" t="s">
        <v>595</v>
      </c>
      <c r="AY81" s="257" t="s">
        <v>595</v>
      </c>
      <c r="AZ81" s="256" t="s">
        <v>911</v>
      </c>
      <c r="BA81" s="256" t="s">
        <v>911</v>
      </c>
      <c r="BB81" s="256" t="s">
        <v>940</v>
      </c>
      <c r="BC81" s="256" t="s">
        <v>595</v>
      </c>
      <c r="BD81" s="256" t="s">
        <v>1005</v>
      </c>
      <c r="BE81" s="258">
        <v>319</v>
      </c>
      <c r="BF81" s="256" t="s">
        <v>1116</v>
      </c>
      <c r="BG81" s="256" t="s">
        <v>717</v>
      </c>
      <c r="BH81" s="257" t="s">
        <v>718</v>
      </c>
      <c r="BI81" s="256" t="s">
        <v>595</v>
      </c>
      <c r="BJ81" s="256" t="s">
        <v>664</v>
      </c>
      <c r="BK81" s="256" t="s">
        <v>595</v>
      </c>
      <c r="BL81" s="256" t="s">
        <v>595</v>
      </c>
      <c r="BM81" s="256" t="s">
        <v>595</v>
      </c>
      <c r="BN81" s="256" t="s">
        <v>594</v>
      </c>
      <c r="BO81" s="256" t="s">
        <v>719</v>
      </c>
      <c r="BP81" s="257" t="s">
        <v>720</v>
      </c>
      <c r="BQ81" s="256" t="s">
        <v>604</v>
      </c>
      <c r="BR81" s="256" t="s">
        <v>605</v>
      </c>
      <c r="BS81" s="256" t="s">
        <v>595</v>
      </c>
      <c r="BT81" s="91">
        <f t="shared" si="1"/>
        <v>46117</v>
      </c>
      <c r="BU81" s="91">
        <f t="array" ref="BU81">MIN(IF(H:H=H81,BT:BT ))</f>
        <v>46117</v>
      </c>
    </row>
    <row r="82" spans="1:73" x14ac:dyDescent="0.3">
      <c r="A82" s="256" t="s">
        <v>735</v>
      </c>
      <c r="B82" s="256" t="s">
        <v>582</v>
      </c>
      <c r="C82" s="256" t="s">
        <v>736</v>
      </c>
      <c r="D82" s="256" t="s">
        <v>942</v>
      </c>
      <c r="E82" s="257" t="s">
        <v>942</v>
      </c>
      <c r="F82" s="256" t="s">
        <v>583</v>
      </c>
      <c r="G82" s="257" t="s">
        <v>584</v>
      </c>
      <c r="H82" s="256">
        <v>314433</v>
      </c>
      <c r="I82" s="257" t="s">
        <v>713</v>
      </c>
      <c r="J82" s="256" t="s">
        <v>652</v>
      </c>
      <c r="K82" s="256" t="s">
        <v>714</v>
      </c>
      <c r="L82" s="256" t="s">
        <v>715</v>
      </c>
      <c r="M82" s="256" t="s">
        <v>716</v>
      </c>
      <c r="N82" s="256" t="s">
        <v>655</v>
      </c>
      <c r="O82" s="256" t="s">
        <v>591</v>
      </c>
      <c r="P82" s="256" t="s">
        <v>592</v>
      </c>
      <c r="Q82" s="258">
        <v>8</v>
      </c>
      <c r="R82" s="258">
        <v>320</v>
      </c>
      <c r="S82" s="258">
        <v>1000</v>
      </c>
      <c r="T82" s="258">
        <v>1</v>
      </c>
      <c r="U82" s="258">
        <v>0</v>
      </c>
      <c r="V82" s="258">
        <v>0</v>
      </c>
      <c r="W82" s="258">
        <v>320</v>
      </c>
      <c r="X82" s="258">
        <v>320</v>
      </c>
      <c r="Y82" s="258">
        <v>1</v>
      </c>
      <c r="Z82" s="258">
        <v>0</v>
      </c>
      <c r="AA82" s="258">
        <v>0</v>
      </c>
      <c r="AB82" s="258">
        <v>320</v>
      </c>
      <c r="AC82" s="258">
        <v>320</v>
      </c>
      <c r="AD82" s="258">
        <v>0</v>
      </c>
      <c r="AE82" s="258">
        <v>0</v>
      </c>
      <c r="AF82" s="258">
        <v>0</v>
      </c>
      <c r="AG82" s="258">
        <v>0</v>
      </c>
      <c r="AH82" s="258">
        <v>0</v>
      </c>
      <c r="AI82" s="258">
        <v>0</v>
      </c>
      <c r="AJ82" s="258">
        <v>0</v>
      </c>
      <c r="AK82" s="258">
        <v>0</v>
      </c>
      <c r="AL82" s="258">
        <v>0</v>
      </c>
      <c r="AM82" s="258">
        <v>0</v>
      </c>
      <c r="AN82" s="258">
        <v>0</v>
      </c>
      <c r="AO82" s="258">
        <v>0</v>
      </c>
      <c r="AP82" s="258">
        <v>0</v>
      </c>
      <c r="AQ82" s="258">
        <v>0</v>
      </c>
      <c r="AR82" s="258">
        <v>0</v>
      </c>
      <c r="AS82" s="258">
        <v>5609</v>
      </c>
      <c r="AT82" s="258" t="s">
        <v>595</v>
      </c>
      <c r="AU82" s="258">
        <v>1794880</v>
      </c>
      <c r="AV82" s="256" t="s">
        <v>939</v>
      </c>
      <c r="AW82" s="256" t="s">
        <v>594</v>
      </c>
      <c r="AX82" s="257" t="s">
        <v>595</v>
      </c>
      <c r="AY82" s="257" t="s">
        <v>595</v>
      </c>
      <c r="AZ82" s="256" t="s">
        <v>911</v>
      </c>
      <c r="BA82" s="256" t="s">
        <v>911</v>
      </c>
      <c r="BB82" s="256" t="s">
        <v>940</v>
      </c>
      <c r="BC82" s="256" t="s">
        <v>595</v>
      </c>
      <c r="BD82" s="256" t="s">
        <v>1005</v>
      </c>
      <c r="BE82" s="258">
        <v>319</v>
      </c>
      <c r="BF82" s="256" t="s">
        <v>1116</v>
      </c>
      <c r="BG82" s="256" t="s">
        <v>717</v>
      </c>
      <c r="BH82" s="257" t="s">
        <v>718</v>
      </c>
      <c r="BI82" s="256" t="s">
        <v>595</v>
      </c>
      <c r="BJ82" s="256" t="s">
        <v>664</v>
      </c>
      <c r="BK82" s="256" t="s">
        <v>595</v>
      </c>
      <c r="BL82" s="256" t="s">
        <v>595</v>
      </c>
      <c r="BM82" s="256" t="s">
        <v>595</v>
      </c>
      <c r="BN82" s="256" t="s">
        <v>594</v>
      </c>
      <c r="BO82" s="256" t="s">
        <v>719</v>
      </c>
      <c r="BP82" s="257" t="s">
        <v>720</v>
      </c>
      <c r="BQ82" s="256" t="s">
        <v>604</v>
      </c>
      <c r="BR82" s="256" t="s">
        <v>605</v>
      </c>
      <c r="BS82" s="256" t="s">
        <v>595</v>
      </c>
      <c r="BT82" s="91">
        <f t="shared" si="1"/>
        <v>46117</v>
      </c>
      <c r="BU82" s="91">
        <f t="array" ref="BU82">MIN(IF(H:H=H82,BT:BT ))</f>
        <v>46117</v>
      </c>
    </row>
    <row r="83" spans="1:73" x14ac:dyDescent="0.3">
      <c r="A83" s="256" t="s">
        <v>735</v>
      </c>
      <c r="B83" s="256" t="s">
        <v>582</v>
      </c>
      <c r="C83" s="256" t="s">
        <v>736</v>
      </c>
      <c r="D83" s="256" t="s">
        <v>746</v>
      </c>
      <c r="E83" s="257" t="s">
        <v>746</v>
      </c>
      <c r="F83" s="256" t="s">
        <v>583</v>
      </c>
      <c r="G83" s="257" t="s">
        <v>584</v>
      </c>
      <c r="H83" s="256">
        <v>333524</v>
      </c>
      <c r="I83" s="257" t="s">
        <v>728</v>
      </c>
      <c r="J83" s="256" t="s">
        <v>729</v>
      </c>
      <c r="K83" s="256" t="s">
        <v>621</v>
      </c>
      <c r="L83" s="256" t="s">
        <v>715</v>
      </c>
      <c r="M83" s="256" t="s">
        <v>716</v>
      </c>
      <c r="N83" s="256" t="s">
        <v>655</v>
      </c>
      <c r="O83" s="256" t="s">
        <v>591</v>
      </c>
      <c r="P83" s="256" t="s">
        <v>592</v>
      </c>
      <c r="Q83" s="258">
        <v>8</v>
      </c>
      <c r="R83" s="258">
        <v>320</v>
      </c>
      <c r="S83" s="258">
        <v>1000</v>
      </c>
      <c r="T83" s="258">
        <v>1</v>
      </c>
      <c r="U83" s="258">
        <v>0</v>
      </c>
      <c r="V83" s="258">
        <v>0</v>
      </c>
      <c r="W83" s="258">
        <v>320</v>
      </c>
      <c r="X83" s="258">
        <v>320</v>
      </c>
      <c r="Y83" s="258">
        <v>1</v>
      </c>
      <c r="Z83" s="258">
        <v>0</v>
      </c>
      <c r="AA83" s="258">
        <v>0</v>
      </c>
      <c r="AB83" s="258">
        <v>320</v>
      </c>
      <c r="AC83" s="258">
        <v>320</v>
      </c>
      <c r="AD83" s="258">
        <v>0</v>
      </c>
      <c r="AE83" s="258">
        <v>0</v>
      </c>
      <c r="AF83" s="258">
        <v>0</v>
      </c>
      <c r="AG83" s="258">
        <v>0</v>
      </c>
      <c r="AH83" s="258">
        <v>0</v>
      </c>
      <c r="AI83" s="258">
        <v>0</v>
      </c>
      <c r="AJ83" s="258">
        <v>0</v>
      </c>
      <c r="AK83" s="258">
        <v>0</v>
      </c>
      <c r="AL83" s="258">
        <v>0</v>
      </c>
      <c r="AM83" s="258">
        <v>0</v>
      </c>
      <c r="AN83" s="258">
        <v>0</v>
      </c>
      <c r="AO83" s="258">
        <v>0</v>
      </c>
      <c r="AP83" s="258">
        <v>0</v>
      </c>
      <c r="AQ83" s="258">
        <v>0</v>
      </c>
      <c r="AR83" s="258">
        <v>0</v>
      </c>
      <c r="AS83" s="258">
        <v>6883</v>
      </c>
      <c r="AT83" s="258" t="s">
        <v>595</v>
      </c>
      <c r="AU83" s="258">
        <v>2202560</v>
      </c>
      <c r="AV83" s="256" t="s">
        <v>747</v>
      </c>
      <c r="AW83" s="256" t="s">
        <v>594</v>
      </c>
      <c r="AX83" s="257" t="s">
        <v>595</v>
      </c>
      <c r="AY83" s="257" t="s">
        <v>595</v>
      </c>
      <c r="AZ83" s="256" t="s">
        <v>738</v>
      </c>
      <c r="BA83" s="256" t="s">
        <v>730</v>
      </c>
      <c r="BB83" s="256" t="s">
        <v>731</v>
      </c>
      <c r="BC83" s="256" t="s">
        <v>595</v>
      </c>
      <c r="BD83" s="256" t="s">
        <v>1010</v>
      </c>
      <c r="BE83" s="258">
        <v>80</v>
      </c>
      <c r="BF83" s="256" t="s">
        <v>1040</v>
      </c>
      <c r="BG83" s="256" t="s">
        <v>717</v>
      </c>
      <c r="BH83" s="257" t="s">
        <v>718</v>
      </c>
      <c r="BI83" s="256" t="s">
        <v>595</v>
      </c>
      <c r="BJ83" s="256" t="s">
        <v>664</v>
      </c>
      <c r="BK83" s="256" t="s">
        <v>595</v>
      </c>
      <c r="BL83" s="256" t="s">
        <v>595</v>
      </c>
      <c r="BM83" s="256" t="s">
        <v>595</v>
      </c>
      <c r="BN83" s="256" t="s">
        <v>594</v>
      </c>
      <c r="BO83" s="256" t="s">
        <v>732</v>
      </c>
      <c r="BP83" s="257" t="s">
        <v>784</v>
      </c>
      <c r="BQ83" s="256" t="s">
        <v>611</v>
      </c>
      <c r="BR83" s="256" t="s">
        <v>612</v>
      </c>
      <c r="BS83" s="256" t="s">
        <v>595</v>
      </c>
      <c r="BT83" s="91">
        <f t="shared" si="1"/>
        <v>45878</v>
      </c>
      <c r="BU83" s="91">
        <f t="array" ref="BU83">MIN(IF(H:H=H83,BT:BT ))</f>
        <v>45878</v>
      </c>
    </row>
    <row r="84" spans="1:73" x14ac:dyDescent="0.3">
      <c r="A84" s="256" t="s">
        <v>735</v>
      </c>
      <c r="B84" s="256" t="s">
        <v>582</v>
      </c>
      <c r="C84" s="256" t="s">
        <v>736</v>
      </c>
      <c r="D84" s="256" t="s">
        <v>748</v>
      </c>
      <c r="E84" s="257" t="s">
        <v>748</v>
      </c>
      <c r="F84" s="256" t="s">
        <v>583</v>
      </c>
      <c r="G84" s="257" t="s">
        <v>584</v>
      </c>
      <c r="H84" s="256">
        <v>333524</v>
      </c>
      <c r="I84" s="257" t="s">
        <v>728</v>
      </c>
      <c r="J84" s="256" t="s">
        <v>729</v>
      </c>
      <c r="K84" s="256" t="s">
        <v>621</v>
      </c>
      <c r="L84" s="256" t="s">
        <v>715</v>
      </c>
      <c r="M84" s="256" t="s">
        <v>716</v>
      </c>
      <c r="N84" s="256" t="s">
        <v>655</v>
      </c>
      <c r="O84" s="256" t="s">
        <v>591</v>
      </c>
      <c r="P84" s="256" t="s">
        <v>592</v>
      </c>
      <c r="Q84" s="258">
        <v>8</v>
      </c>
      <c r="R84" s="258">
        <v>320</v>
      </c>
      <c r="S84" s="258">
        <v>1000</v>
      </c>
      <c r="T84" s="258">
        <v>1</v>
      </c>
      <c r="U84" s="258">
        <v>0</v>
      </c>
      <c r="V84" s="258">
        <v>0</v>
      </c>
      <c r="W84" s="258">
        <v>320</v>
      </c>
      <c r="X84" s="258">
        <v>320</v>
      </c>
      <c r="Y84" s="258">
        <v>1</v>
      </c>
      <c r="Z84" s="258">
        <v>0</v>
      </c>
      <c r="AA84" s="258">
        <v>0</v>
      </c>
      <c r="AB84" s="258">
        <v>320</v>
      </c>
      <c r="AC84" s="258">
        <v>320</v>
      </c>
      <c r="AD84" s="258">
        <v>0</v>
      </c>
      <c r="AE84" s="258">
        <v>0</v>
      </c>
      <c r="AF84" s="258">
        <v>0</v>
      </c>
      <c r="AG84" s="258">
        <v>0</v>
      </c>
      <c r="AH84" s="258">
        <v>0</v>
      </c>
      <c r="AI84" s="258">
        <v>0</v>
      </c>
      <c r="AJ84" s="258">
        <v>0</v>
      </c>
      <c r="AK84" s="258">
        <v>0</v>
      </c>
      <c r="AL84" s="258">
        <v>0</v>
      </c>
      <c r="AM84" s="258">
        <v>0</v>
      </c>
      <c r="AN84" s="258">
        <v>0</v>
      </c>
      <c r="AO84" s="258">
        <v>0</v>
      </c>
      <c r="AP84" s="258">
        <v>0</v>
      </c>
      <c r="AQ84" s="258">
        <v>0</v>
      </c>
      <c r="AR84" s="258">
        <v>0</v>
      </c>
      <c r="AS84" s="258">
        <v>6883</v>
      </c>
      <c r="AT84" s="258" t="s">
        <v>595</v>
      </c>
      <c r="AU84" s="258">
        <v>2202560</v>
      </c>
      <c r="AV84" s="256" t="s">
        <v>749</v>
      </c>
      <c r="AW84" s="256" t="s">
        <v>594</v>
      </c>
      <c r="AX84" s="257" t="s">
        <v>595</v>
      </c>
      <c r="AY84" s="257" t="s">
        <v>595</v>
      </c>
      <c r="AZ84" s="256" t="s">
        <v>738</v>
      </c>
      <c r="BA84" s="256" t="s">
        <v>730</v>
      </c>
      <c r="BB84" s="256" t="s">
        <v>731</v>
      </c>
      <c r="BC84" s="256" t="s">
        <v>595</v>
      </c>
      <c r="BD84" s="256" t="s">
        <v>1010</v>
      </c>
      <c r="BE84" s="258">
        <v>80</v>
      </c>
      <c r="BF84" s="256" t="s">
        <v>1040</v>
      </c>
      <c r="BG84" s="256" t="s">
        <v>717</v>
      </c>
      <c r="BH84" s="257" t="s">
        <v>718</v>
      </c>
      <c r="BI84" s="256" t="s">
        <v>595</v>
      </c>
      <c r="BJ84" s="256" t="s">
        <v>664</v>
      </c>
      <c r="BK84" s="256" t="s">
        <v>595</v>
      </c>
      <c r="BL84" s="256" t="s">
        <v>595</v>
      </c>
      <c r="BM84" s="256" t="s">
        <v>595</v>
      </c>
      <c r="BN84" s="256" t="s">
        <v>594</v>
      </c>
      <c r="BO84" s="256" t="s">
        <v>732</v>
      </c>
      <c r="BP84" s="257" t="s">
        <v>784</v>
      </c>
      <c r="BQ84" s="256" t="s">
        <v>608</v>
      </c>
      <c r="BR84" s="256" t="s">
        <v>609</v>
      </c>
      <c r="BS84" s="256" t="s">
        <v>595</v>
      </c>
      <c r="BT84" s="91">
        <f t="shared" si="1"/>
        <v>45878</v>
      </c>
      <c r="BU84" s="91">
        <f t="array" ref="BU84">MIN(IF(H:H=H84,BT:BT ))</f>
        <v>45878</v>
      </c>
    </row>
    <row r="85" spans="1:73" ht="13.5" customHeight="1" x14ac:dyDescent="0.3">
      <c r="A85" s="256" t="s">
        <v>735</v>
      </c>
      <c r="B85" s="256" t="s">
        <v>582</v>
      </c>
      <c r="C85" s="256" t="s">
        <v>736</v>
      </c>
      <c r="D85" s="256" t="s">
        <v>750</v>
      </c>
      <c r="E85" s="257" t="s">
        <v>750</v>
      </c>
      <c r="F85" s="256" t="s">
        <v>583</v>
      </c>
      <c r="G85" s="257" t="s">
        <v>584</v>
      </c>
      <c r="H85" s="256">
        <v>333524</v>
      </c>
      <c r="I85" s="257" t="s">
        <v>728</v>
      </c>
      <c r="J85" s="256" t="s">
        <v>729</v>
      </c>
      <c r="K85" s="256" t="s">
        <v>621</v>
      </c>
      <c r="L85" s="256" t="s">
        <v>715</v>
      </c>
      <c r="M85" s="256" t="s">
        <v>716</v>
      </c>
      <c r="N85" s="256" t="s">
        <v>655</v>
      </c>
      <c r="O85" s="256" t="s">
        <v>591</v>
      </c>
      <c r="P85" s="256" t="s">
        <v>592</v>
      </c>
      <c r="Q85" s="258">
        <v>8</v>
      </c>
      <c r="R85" s="258">
        <v>320</v>
      </c>
      <c r="S85" s="258">
        <v>1000</v>
      </c>
      <c r="T85" s="258">
        <v>1</v>
      </c>
      <c r="U85" s="258">
        <v>0</v>
      </c>
      <c r="V85" s="258">
        <v>0</v>
      </c>
      <c r="W85" s="258">
        <v>320</v>
      </c>
      <c r="X85" s="258">
        <v>320</v>
      </c>
      <c r="Y85" s="258">
        <v>1</v>
      </c>
      <c r="Z85" s="258">
        <v>0</v>
      </c>
      <c r="AA85" s="258">
        <v>0</v>
      </c>
      <c r="AB85" s="258">
        <v>320</v>
      </c>
      <c r="AC85" s="258">
        <v>320</v>
      </c>
      <c r="AD85" s="258">
        <v>0</v>
      </c>
      <c r="AE85" s="258">
        <v>0</v>
      </c>
      <c r="AF85" s="258">
        <v>0</v>
      </c>
      <c r="AG85" s="258">
        <v>0</v>
      </c>
      <c r="AH85" s="258">
        <v>0</v>
      </c>
      <c r="AI85" s="258">
        <v>0</v>
      </c>
      <c r="AJ85" s="258">
        <v>0</v>
      </c>
      <c r="AK85" s="258">
        <v>0</v>
      </c>
      <c r="AL85" s="258">
        <v>0</v>
      </c>
      <c r="AM85" s="258">
        <v>0</v>
      </c>
      <c r="AN85" s="258">
        <v>0</v>
      </c>
      <c r="AO85" s="258">
        <v>0</v>
      </c>
      <c r="AP85" s="258">
        <v>0</v>
      </c>
      <c r="AQ85" s="258">
        <v>0</v>
      </c>
      <c r="AR85" s="258">
        <v>0</v>
      </c>
      <c r="AS85" s="258">
        <v>6883</v>
      </c>
      <c r="AT85" s="258" t="s">
        <v>595</v>
      </c>
      <c r="AU85" s="258">
        <v>2202560</v>
      </c>
      <c r="AV85" s="256" t="s">
        <v>751</v>
      </c>
      <c r="AW85" s="256" t="s">
        <v>594</v>
      </c>
      <c r="AX85" s="257" t="s">
        <v>595</v>
      </c>
      <c r="AY85" s="257" t="s">
        <v>595</v>
      </c>
      <c r="AZ85" s="256" t="s">
        <v>738</v>
      </c>
      <c r="BA85" s="256" t="s">
        <v>730</v>
      </c>
      <c r="BB85" s="256" t="s">
        <v>731</v>
      </c>
      <c r="BC85" s="256" t="s">
        <v>595</v>
      </c>
      <c r="BD85" s="256" t="s">
        <v>1010</v>
      </c>
      <c r="BE85" s="258">
        <v>80</v>
      </c>
      <c r="BF85" s="256" t="s">
        <v>1040</v>
      </c>
      <c r="BG85" s="256" t="s">
        <v>717</v>
      </c>
      <c r="BH85" s="257" t="s">
        <v>718</v>
      </c>
      <c r="BI85" s="256" t="s">
        <v>595</v>
      </c>
      <c r="BJ85" s="256" t="s">
        <v>664</v>
      </c>
      <c r="BK85" s="256" t="s">
        <v>595</v>
      </c>
      <c r="BL85" s="256" t="s">
        <v>595</v>
      </c>
      <c r="BM85" s="256" t="s">
        <v>595</v>
      </c>
      <c r="BN85" s="256" t="s">
        <v>594</v>
      </c>
      <c r="BO85" s="256" t="s">
        <v>732</v>
      </c>
      <c r="BP85" s="257" t="s">
        <v>784</v>
      </c>
      <c r="BQ85" s="256" t="s">
        <v>608</v>
      </c>
      <c r="BR85" s="256" t="s">
        <v>609</v>
      </c>
      <c r="BS85" s="256" t="s">
        <v>595</v>
      </c>
      <c r="BT85" s="91">
        <f t="shared" si="1"/>
        <v>45878</v>
      </c>
      <c r="BU85" s="91">
        <f t="array" ref="BU85">MIN(IF(H:H=H85,BT:BT ))</f>
        <v>45878</v>
      </c>
    </row>
    <row r="86" spans="1:73" x14ac:dyDescent="0.3">
      <c r="A86" s="256" t="s">
        <v>735</v>
      </c>
      <c r="B86" s="256" t="s">
        <v>582</v>
      </c>
      <c r="C86" s="256" t="s">
        <v>752</v>
      </c>
      <c r="D86" s="256" t="s">
        <v>888</v>
      </c>
      <c r="E86" s="257" t="s">
        <v>888</v>
      </c>
      <c r="F86" s="256" t="s">
        <v>583</v>
      </c>
      <c r="G86" s="257" t="s">
        <v>584</v>
      </c>
      <c r="H86" s="256">
        <v>321617</v>
      </c>
      <c r="I86" s="257" t="s">
        <v>726</v>
      </c>
      <c r="J86" s="256" t="s">
        <v>727</v>
      </c>
      <c r="K86" s="256" t="s">
        <v>714</v>
      </c>
      <c r="L86" s="256" t="s">
        <v>715</v>
      </c>
      <c r="M86" s="256" t="s">
        <v>716</v>
      </c>
      <c r="N86" s="256" t="s">
        <v>655</v>
      </c>
      <c r="O86" s="256" t="s">
        <v>591</v>
      </c>
      <c r="P86" s="256" t="s">
        <v>592</v>
      </c>
      <c r="Q86" s="258">
        <v>6</v>
      </c>
      <c r="R86" s="258">
        <v>240</v>
      </c>
      <c r="S86" s="258">
        <v>1264</v>
      </c>
      <c r="T86" s="258">
        <v>0</v>
      </c>
      <c r="U86" s="258">
        <v>34</v>
      </c>
      <c r="V86" s="258">
        <v>3</v>
      </c>
      <c r="W86" s="258">
        <v>207</v>
      </c>
      <c r="X86" s="258">
        <v>261.64800000000002</v>
      </c>
      <c r="Y86" s="258">
        <v>0</v>
      </c>
      <c r="Z86" s="258">
        <v>34</v>
      </c>
      <c r="AA86" s="258">
        <v>3</v>
      </c>
      <c r="AB86" s="258">
        <v>207</v>
      </c>
      <c r="AC86" s="258">
        <v>261.64800000000002</v>
      </c>
      <c r="AD86" s="258">
        <v>0</v>
      </c>
      <c r="AE86" s="258">
        <v>0</v>
      </c>
      <c r="AF86" s="258">
        <v>0</v>
      </c>
      <c r="AG86" s="258">
        <v>0</v>
      </c>
      <c r="AH86" s="258">
        <v>0</v>
      </c>
      <c r="AI86" s="258">
        <v>0</v>
      </c>
      <c r="AJ86" s="258">
        <v>0</v>
      </c>
      <c r="AK86" s="258">
        <v>0</v>
      </c>
      <c r="AL86" s="258">
        <v>0</v>
      </c>
      <c r="AM86" s="258">
        <v>0</v>
      </c>
      <c r="AN86" s="258">
        <v>0</v>
      </c>
      <c r="AO86" s="258">
        <v>0</v>
      </c>
      <c r="AP86" s="258">
        <v>0</v>
      </c>
      <c r="AQ86" s="258">
        <v>0</v>
      </c>
      <c r="AR86" s="258">
        <v>0</v>
      </c>
      <c r="AS86" s="258">
        <v>7209</v>
      </c>
      <c r="AT86" s="258" t="s">
        <v>595</v>
      </c>
      <c r="AU86" s="258">
        <v>1492263</v>
      </c>
      <c r="AV86" s="256" t="s">
        <v>889</v>
      </c>
      <c r="AW86" s="256" t="s">
        <v>594</v>
      </c>
      <c r="AX86" s="257" t="s">
        <v>595</v>
      </c>
      <c r="AY86" s="257" t="s">
        <v>595</v>
      </c>
      <c r="AZ86" s="256" t="s">
        <v>890</v>
      </c>
      <c r="BA86" s="256" t="s">
        <v>890</v>
      </c>
      <c r="BB86" s="256" t="s">
        <v>891</v>
      </c>
      <c r="BC86" s="256" t="s">
        <v>1007</v>
      </c>
      <c r="BD86" s="256" t="s">
        <v>961</v>
      </c>
      <c r="BE86" s="258">
        <v>299</v>
      </c>
      <c r="BF86" s="256" t="s">
        <v>1072</v>
      </c>
      <c r="BG86" s="256" t="s">
        <v>717</v>
      </c>
      <c r="BH86" s="257" t="s">
        <v>718</v>
      </c>
      <c r="BI86" s="256" t="s">
        <v>595</v>
      </c>
      <c r="BJ86" s="256" t="s">
        <v>664</v>
      </c>
      <c r="BK86" s="256" t="s">
        <v>595</v>
      </c>
      <c r="BL86" s="256" t="s">
        <v>595</v>
      </c>
      <c r="BM86" s="256" t="s">
        <v>595</v>
      </c>
      <c r="BN86" s="256" t="s">
        <v>594</v>
      </c>
      <c r="BO86" s="256" t="s">
        <v>719</v>
      </c>
      <c r="BP86" s="257" t="s">
        <v>720</v>
      </c>
      <c r="BQ86" s="256" t="s">
        <v>604</v>
      </c>
      <c r="BR86" s="256" t="s">
        <v>605</v>
      </c>
      <c r="BS86" s="256" t="s">
        <v>595</v>
      </c>
      <c r="BT86" s="91">
        <f>DATE(LEFT(BB86,4),MID(BB86,5,2),RIGHT(BB86,2))</f>
        <v>46097</v>
      </c>
      <c r="BU86" s="91">
        <f t="array" ref="BU86">MIN(IF(H:H=H86,BT:BT ))</f>
        <v>46097</v>
      </c>
    </row>
    <row r="87" spans="1:73" x14ac:dyDescent="0.3">
      <c r="A87" s="256" t="s">
        <v>735</v>
      </c>
      <c r="B87" s="256" t="s">
        <v>582</v>
      </c>
      <c r="C87" s="256" t="s">
        <v>752</v>
      </c>
      <c r="D87" s="256" t="s">
        <v>893</v>
      </c>
      <c r="E87" s="257" t="s">
        <v>893</v>
      </c>
      <c r="F87" s="256" t="s">
        <v>583</v>
      </c>
      <c r="G87" s="257" t="s">
        <v>584</v>
      </c>
      <c r="H87" s="256">
        <v>321617</v>
      </c>
      <c r="I87" s="257" t="s">
        <v>726</v>
      </c>
      <c r="J87" s="256" t="s">
        <v>727</v>
      </c>
      <c r="K87" s="256" t="s">
        <v>714</v>
      </c>
      <c r="L87" s="256" t="s">
        <v>715</v>
      </c>
      <c r="M87" s="256" t="s">
        <v>716</v>
      </c>
      <c r="N87" s="256" t="s">
        <v>655</v>
      </c>
      <c r="O87" s="256" t="s">
        <v>591</v>
      </c>
      <c r="P87" s="256" t="s">
        <v>592</v>
      </c>
      <c r="Q87" s="258">
        <v>6</v>
      </c>
      <c r="R87" s="258">
        <v>240</v>
      </c>
      <c r="S87" s="258">
        <v>1264</v>
      </c>
      <c r="T87" s="258">
        <v>1</v>
      </c>
      <c r="U87" s="258">
        <v>0</v>
      </c>
      <c r="V87" s="258">
        <v>0</v>
      </c>
      <c r="W87" s="258">
        <v>240</v>
      </c>
      <c r="X87" s="258">
        <v>303.36</v>
      </c>
      <c r="Y87" s="258">
        <v>1</v>
      </c>
      <c r="Z87" s="258">
        <v>0</v>
      </c>
      <c r="AA87" s="258">
        <v>0</v>
      </c>
      <c r="AB87" s="258">
        <v>240</v>
      </c>
      <c r="AC87" s="258">
        <v>303.36</v>
      </c>
      <c r="AD87" s="258">
        <v>0</v>
      </c>
      <c r="AE87" s="258">
        <v>0</v>
      </c>
      <c r="AF87" s="258">
        <v>0</v>
      </c>
      <c r="AG87" s="258">
        <v>0</v>
      </c>
      <c r="AH87" s="258">
        <v>0</v>
      </c>
      <c r="AI87" s="258">
        <v>0</v>
      </c>
      <c r="AJ87" s="258">
        <v>0</v>
      </c>
      <c r="AK87" s="258">
        <v>0</v>
      </c>
      <c r="AL87" s="258">
        <v>0</v>
      </c>
      <c r="AM87" s="258">
        <v>0</v>
      </c>
      <c r="AN87" s="258">
        <v>0</v>
      </c>
      <c r="AO87" s="258">
        <v>0</v>
      </c>
      <c r="AP87" s="258">
        <v>0</v>
      </c>
      <c r="AQ87" s="258">
        <v>0</v>
      </c>
      <c r="AR87" s="258">
        <v>0</v>
      </c>
      <c r="AS87" s="258">
        <v>7209</v>
      </c>
      <c r="AT87" s="258" t="s">
        <v>595</v>
      </c>
      <c r="AU87" s="258">
        <v>1730160</v>
      </c>
      <c r="AV87" s="256" t="s">
        <v>889</v>
      </c>
      <c r="AW87" s="256" t="s">
        <v>594</v>
      </c>
      <c r="AX87" s="257" t="s">
        <v>595</v>
      </c>
      <c r="AY87" s="257" t="s">
        <v>595</v>
      </c>
      <c r="AZ87" s="256" t="s">
        <v>890</v>
      </c>
      <c r="BA87" s="256" t="s">
        <v>890</v>
      </c>
      <c r="BB87" s="256" t="s">
        <v>891</v>
      </c>
      <c r="BC87" s="256" t="s">
        <v>1007</v>
      </c>
      <c r="BD87" s="256" t="s">
        <v>961</v>
      </c>
      <c r="BE87" s="258">
        <v>299</v>
      </c>
      <c r="BF87" s="256" t="s">
        <v>1072</v>
      </c>
      <c r="BG87" s="256" t="s">
        <v>717</v>
      </c>
      <c r="BH87" s="257" t="s">
        <v>718</v>
      </c>
      <c r="BI87" s="256" t="s">
        <v>595</v>
      </c>
      <c r="BJ87" s="256" t="s">
        <v>664</v>
      </c>
      <c r="BK87" s="256" t="s">
        <v>595</v>
      </c>
      <c r="BL87" s="256" t="s">
        <v>595</v>
      </c>
      <c r="BM87" s="256" t="s">
        <v>595</v>
      </c>
      <c r="BN87" s="256" t="s">
        <v>594</v>
      </c>
      <c r="BO87" s="256" t="s">
        <v>719</v>
      </c>
      <c r="BP87" s="257" t="s">
        <v>720</v>
      </c>
      <c r="BQ87" s="256" t="s">
        <v>604</v>
      </c>
      <c r="BR87" s="256" t="s">
        <v>605</v>
      </c>
      <c r="BS87" s="256" t="s">
        <v>595</v>
      </c>
      <c r="BT87" s="91">
        <f t="shared" si="1"/>
        <v>46097</v>
      </c>
      <c r="BU87" s="91">
        <f t="array" ref="BU87">MIN(IF(H:H=H87,BT:BT ))</f>
        <v>46097</v>
      </c>
    </row>
    <row r="88" spans="1:73" x14ac:dyDescent="0.3">
      <c r="A88" s="256" t="s">
        <v>735</v>
      </c>
      <c r="B88" s="256" t="s">
        <v>582</v>
      </c>
      <c r="C88" s="256" t="s">
        <v>752</v>
      </c>
      <c r="D88" s="256" t="s">
        <v>755</v>
      </c>
      <c r="E88" s="257" t="s">
        <v>755</v>
      </c>
      <c r="F88" s="256" t="s">
        <v>583</v>
      </c>
      <c r="G88" s="257" t="s">
        <v>584</v>
      </c>
      <c r="H88" s="256">
        <v>333524</v>
      </c>
      <c r="I88" s="257" t="s">
        <v>728</v>
      </c>
      <c r="J88" s="256" t="s">
        <v>729</v>
      </c>
      <c r="K88" s="256" t="s">
        <v>621</v>
      </c>
      <c r="L88" s="256" t="s">
        <v>715</v>
      </c>
      <c r="M88" s="256" t="s">
        <v>716</v>
      </c>
      <c r="N88" s="256" t="s">
        <v>655</v>
      </c>
      <c r="O88" s="256" t="s">
        <v>591</v>
      </c>
      <c r="P88" s="256" t="s">
        <v>592</v>
      </c>
      <c r="Q88" s="258">
        <v>8</v>
      </c>
      <c r="R88" s="258">
        <v>320</v>
      </c>
      <c r="S88" s="258">
        <v>1000</v>
      </c>
      <c r="T88" s="258">
        <v>1</v>
      </c>
      <c r="U88" s="258">
        <v>0</v>
      </c>
      <c r="V88" s="258">
        <v>0</v>
      </c>
      <c r="W88" s="258">
        <v>320</v>
      </c>
      <c r="X88" s="258">
        <v>320</v>
      </c>
      <c r="Y88" s="258">
        <v>1</v>
      </c>
      <c r="Z88" s="258">
        <v>0</v>
      </c>
      <c r="AA88" s="258">
        <v>0</v>
      </c>
      <c r="AB88" s="258">
        <v>320</v>
      </c>
      <c r="AC88" s="258">
        <v>320</v>
      </c>
      <c r="AD88" s="258">
        <v>0</v>
      </c>
      <c r="AE88" s="258">
        <v>0</v>
      </c>
      <c r="AF88" s="258">
        <v>0</v>
      </c>
      <c r="AG88" s="258">
        <v>0</v>
      </c>
      <c r="AH88" s="258">
        <v>0</v>
      </c>
      <c r="AI88" s="258">
        <v>0</v>
      </c>
      <c r="AJ88" s="258">
        <v>0</v>
      </c>
      <c r="AK88" s="258">
        <v>0</v>
      </c>
      <c r="AL88" s="258">
        <v>0</v>
      </c>
      <c r="AM88" s="258">
        <v>0</v>
      </c>
      <c r="AN88" s="258">
        <v>0</v>
      </c>
      <c r="AO88" s="258">
        <v>0</v>
      </c>
      <c r="AP88" s="258">
        <v>0</v>
      </c>
      <c r="AQ88" s="258">
        <v>0</v>
      </c>
      <c r="AR88" s="258">
        <v>0</v>
      </c>
      <c r="AS88" s="258">
        <v>6883</v>
      </c>
      <c r="AT88" s="258" t="s">
        <v>595</v>
      </c>
      <c r="AU88" s="258">
        <v>2202560</v>
      </c>
      <c r="AV88" s="256" t="s">
        <v>756</v>
      </c>
      <c r="AW88" s="256" t="s">
        <v>594</v>
      </c>
      <c r="AX88" s="257" t="s">
        <v>595</v>
      </c>
      <c r="AY88" s="257" t="s">
        <v>595</v>
      </c>
      <c r="AZ88" s="256" t="s">
        <v>730</v>
      </c>
      <c r="BA88" s="256" t="s">
        <v>730</v>
      </c>
      <c r="BB88" s="256" t="s">
        <v>731</v>
      </c>
      <c r="BC88" s="256" t="s">
        <v>595</v>
      </c>
      <c r="BD88" s="256" t="s">
        <v>1010</v>
      </c>
      <c r="BE88" s="258">
        <v>80</v>
      </c>
      <c r="BF88" s="256" t="s">
        <v>1040</v>
      </c>
      <c r="BG88" s="256" t="s">
        <v>717</v>
      </c>
      <c r="BH88" s="257" t="s">
        <v>718</v>
      </c>
      <c r="BI88" s="256" t="s">
        <v>595</v>
      </c>
      <c r="BJ88" s="256" t="s">
        <v>664</v>
      </c>
      <c r="BK88" s="256" t="s">
        <v>595</v>
      </c>
      <c r="BL88" s="256" t="s">
        <v>595</v>
      </c>
      <c r="BM88" s="256" t="s">
        <v>595</v>
      </c>
      <c r="BN88" s="256" t="s">
        <v>594</v>
      </c>
      <c r="BO88" s="256" t="s">
        <v>732</v>
      </c>
      <c r="BP88" s="257" t="s">
        <v>784</v>
      </c>
      <c r="BQ88" s="256" t="s">
        <v>611</v>
      </c>
      <c r="BR88" s="256" t="s">
        <v>612</v>
      </c>
      <c r="BS88" s="256" t="s">
        <v>595</v>
      </c>
      <c r="BT88" s="91">
        <f t="shared" si="1"/>
        <v>45878</v>
      </c>
      <c r="BU88" s="91">
        <f t="array" ref="BU88">MIN(IF(H:H=H88,BT:BT ))</f>
        <v>45878</v>
      </c>
    </row>
    <row r="89" spans="1:73" x14ac:dyDescent="0.3">
      <c r="A89" s="256" t="s">
        <v>735</v>
      </c>
      <c r="B89" s="256" t="s">
        <v>582</v>
      </c>
      <c r="C89" s="256" t="s">
        <v>752</v>
      </c>
      <c r="D89" s="256" t="s">
        <v>771</v>
      </c>
      <c r="E89" s="257" t="s">
        <v>771</v>
      </c>
      <c r="F89" s="256" t="s">
        <v>583</v>
      </c>
      <c r="G89" s="257" t="s">
        <v>584</v>
      </c>
      <c r="H89" s="256">
        <v>320471</v>
      </c>
      <c r="I89" s="257" t="s">
        <v>753</v>
      </c>
      <c r="J89" s="256" t="s">
        <v>754</v>
      </c>
      <c r="K89" s="256" t="s">
        <v>714</v>
      </c>
      <c r="L89" s="256" t="s">
        <v>715</v>
      </c>
      <c r="M89" s="256" t="s">
        <v>716</v>
      </c>
      <c r="N89" s="256" t="s">
        <v>655</v>
      </c>
      <c r="O89" s="256" t="s">
        <v>591</v>
      </c>
      <c r="P89" s="256" t="s">
        <v>592</v>
      </c>
      <c r="Q89" s="258">
        <v>6</v>
      </c>
      <c r="R89" s="258">
        <v>240</v>
      </c>
      <c r="S89" s="258">
        <v>1080</v>
      </c>
      <c r="T89" s="258">
        <v>1</v>
      </c>
      <c r="U89" s="258">
        <v>1</v>
      </c>
      <c r="V89" s="258">
        <v>2</v>
      </c>
      <c r="W89" s="258">
        <v>248</v>
      </c>
      <c r="X89" s="258">
        <v>267.83999999999997</v>
      </c>
      <c r="Y89" s="258">
        <v>1</v>
      </c>
      <c r="Z89" s="258">
        <v>1</v>
      </c>
      <c r="AA89" s="258">
        <v>2</v>
      </c>
      <c r="AB89" s="258">
        <v>248</v>
      </c>
      <c r="AC89" s="258">
        <v>267.83999999999997</v>
      </c>
      <c r="AD89" s="258">
        <v>0</v>
      </c>
      <c r="AE89" s="258">
        <v>0</v>
      </c>
      <c r="AF89" s="258">
        <v>0</v>
      </c>
      <c r="AG89" s="258">
        <v>0</v>
      </c>
      <c r="AH89" s="258">
        <v>0</v>
      </c>
      <c r="AI89" s="258">
        <v>0</v>
      </c>
      <c r="AJ89" s="258">
        <v>0</v>
      </c>
      <c r="AK89" s="258">
        <v>0</v>
      </c>
      <c r="AL89" s="258">
        <v>0</v>
      </c>
      <c r="AM89" s="258">
        <v>0</v>
      </c>
      <c r="AN89" s="258">
        <v>0</v>
      </c>
      <c r="AO89" s="258">
        <v>0</v>
      </c>
      <c r="AP89" s="258">
        <v>0</v>
      </c>
      <c r="AQ89" s="258">
        <v>0</v>
      </c>
      <c r="AR89" s="258">
        <v>0</v>
      </c>
      <c r="AS89" s="258">
        <v>7776</v>
      </c>
      <c r="AT89" s="258" t="s">
        <v>595</v>
      </c>
      <c r="AU89" s="258">
        <v>1928448</v>
      </c>
      <c r="AV89" s="256" t="s">
        <v>764</v>
      </c>
      <c r="AW89" s="256" t="s">
        <v>594</v>
      </c>
      <c r="AX89" s="257" t="s">
        <v>595</v>
      </c>
      <c r="AY89" s="257" t="s">
        <v>595</v>
      </c>
      <c r="AZ89" s="256" t="s">
        <v>757</v>
      </c>
      <c r="BA89" s="256" t="s">
        <v>765</v>
      </c>
      <c r="BB89" s="256" t="s">
        <v>766</v>
      </c>
      <c r="BC89" s="256" t="s">
        <v>1008</v>
      </c>
      <c r="BD89" s="256" t="s">
        <v>1009</v>
      </c>
      <c r="BE89" s="258">
        <v>221</v>
      </c>
      <c r="BF89" s="256" t="s">
        <v>1060</v>
      </c>
      <c r="BG89" s="256" t="s">
        <v>717</v>
      </c>
      <c r="BH89" s="257" t="s">
        <v>718</v>
      </c>
      <c r="BI89" s="256" t="s">
        <v>595</v>
      </c>
      <c r="BJ89" s="256" t="s">
        <v>664</v>
      </c>
      <c r="BK89" s="256" t="s">
        <v>595</v>
      </c>
      <c r="BL89" s="256" t="s">
        <v>595</v>
      </c>
      <c r="BM89" s="256" t="s">
        <v>595</v>
      </c>
      <c r="BN89" s="256" t="s">
        <v>594</v>
      </c>
      <c r="BO89" s="256" t="s">
        <v>719</v>
      </c>
      <c r="BP89" s="257" t="s">
        <v>720</v>
      </c>
      <c r="BQ89" s="256" t="s">
        <v>604</v>
      </c>
      <c r="BR89" s="256" t="s">
        <v>605</v>
      </c>
      <c r="BS89" s="256" t="s">
        <v>595</v>
      </c>
      <c r="BT89" s="91">
        <f t="shared" si="1"/>
        <v>46019</v>
      </c>
      <c r="BU89" s="91">
        <f t="array" ref="BU89">MIN(IF(H:H=H89,BT:BT ))</f>
        <v>46019</v>
      </c>
    </row>
    <row r="90" spans="1:73" x14ac:dyDescent="0.3">
      <c r="A90" s="256" t="s">
        <v>735</v>
      </c>
      <c r="B90" s="256" t="s">
        <v>582</v>
      </c>
      <c r="C90" s="256" t="s">
        <v>752</v>
      </c>
      <c r="D90" s="256" t="s">
        <v>895</v>
      </c>
      <c r="E90" s="257" t="s">
        <v>895</v>
      </c>
      <c r="F90" s="256" t="s">
        <v>583</v>
      </c>
      <c r="G90" s="257" t="s">
        <v>584</v>
      </c>
      <c r="H90" s="256">
        <v>317361</v>
      </c>
      <c r="I90" s="257" t="s">
        <v>721</v>
      </c>
      <c r="J90" s="256" t="s">
        <v>722</v>
      </c>
      <c r="K90" s="256" t="s">
        <v>714</v>
      </c>
      <c r="L90" s="256" t="s">
        <v>715</v>
      </c>
      <c r="M90" s="256" t="s">
        <v>716</v>
      </c>
      <c r="N90" s="256" t="s">
        <v>655</v>
      </c>
      <c r="O90" s="256" t="s">
        <v>591</v>
      </c>
      <c r="P90" s="256" t="s">
        <v>592</v>
      </c>
      <c r="Q90" s="258">
        <v>4</v>
      </c>
      <c r="R90" s="258">
        <v>144</v>
      </c>
      <c r="S90" s="258">
        <v>4000</v>
      </c>
      <c r="T90" s="258">
        <v>0</v>
      </c>
      <c r="U90" s="258">
        <v>16</v>
      </c>
      <c r="V90" s="258">
        <v>0</v>
      </c>
      <c r="W90" s="258">
        <v>64</v>
      </c>
      <c r="X90" s="258">
        <v>256</v>
      </c>
      <c r="Y90" s="258">
        <v>0</v>
      </c>
      <c r="Z90" s="258">
        <v>16</v>
      </c>
      <c r="AA90" s="258">
        <v>0</v>
      </c>
      <c r="AB90" s="258">
        <v>64</v>
      </c>
      <c r="AC90" s="258">
        <v>256</v>
      </c>
      <c r="AD90" s="258">
        <v>0</v>
      </c>
      <c r="AE90" s="258">
        <v>0</v>
      </c>
      <c r="AF90" s="258">
        <v>0</v>
      </c>
      <c r="AG90" s="258">
        <v>0</v>
      </c>
      <c r="AH90" s="258">
        <v>0</v>
      </c>
      <c r="AI90" s="258">
        <v>0</v>
      </c>
      <c r="AJ90" s="258">
        <v>0</v>
      </c>
      <c r="AK90" s="258">
        <v>0</v>
      </c>
      <c r="AL90" s="258">
        <v>0</v>
      </c>
      <c r="AM90" s="258">
        <v>0</v>
      </c>
      <c r="AN90" s="258">
        <v>0</v>
      </c>
      <c r="AO90" s="258">
        <v>0</v>
      </c>
      <c r="AP90" s="258">
        <v>0</v>
      </c>
      <c r="AQ90" s="258">
        <v>0</v>
      </c>
      <c r="AR90" s="258">
        <v>0</v>
      </c>
      <c r="AS90" s="258">
        <v>17230</v>
      </c>
      <c r="AT90" s="258" t="s">
        <v>595</v>
      </c>
      <c r="AU90" s="258">
        <v>1102720</v>
      </c>
      <c r="AV90" s="256" t="s">
        <v>896</v>
      </c>
      <c r="AW90" s="256" t="s">
        <v>594</v>
      </c>
      <c r="AX90" s="257" t="s">
        <v>595</v>
      </c>
      <c r="AY90" s="257" t="s">
        <v>595</v>
      </c>
      <c r="AZ90" s="256" t="s">
        <v>887</v>
      </c>
      <c r="BA90" s="256" t="s">
        <v>885</v>
      </c>
      <c r="BB90" s="256" t="s">
        <v>894</v>
      </c>
      <c r="BC90" s="256" t="s">
        <v>595</v>
      </c>
      <c r="BD90" s="256" t="s">
        <v>1011</v>
      </c>
      <c r="BE90" s="258">
        <v>296</v>
      </c>
      <c r="BF90" s="256" t="s">
        <v>1104</v>
      </c>
      <c r="BG90" s="256" t="s">
        <v>723</v>
      </c>
      <c r="BH90" s="257" t="s">
        <v>724</v>
      </c>
      <c r="BI90" s="256" t="s">
        <v>595</v>
      </c>
      <c r="BJ90" s="256" t="s">
        <v>664</v>
      </c>
      <c r="BK90" s="256" t="s">
        <v>595</v>
      </c>
      <c r="BL90" s="256" t="s">
        <v>595</v>
      </c>
      <c r="BM90" s="256" t="s">
        <v>595</v>
      </c>
      <c r="BN90" s="256" t="s">
        <v>594</v>
      </c>
      <c r="BO90" s="256" t="s">
        <v>618</v>
      </c>
      <c r="BP90" s="257" t="s">
        <v>725</v>
      </c>
      <c r="BQ90" s="256" t="s">
        <v>611</v>
      </c>
      <c r="BR90" s="256" t="s">
        <v>612</v>
      </c>
      <c r="BS90" s="256" t="s">
        <v>595</v>
      </c>
      <c r="BT90" s="91">
        <f t="shared" si="1"/>
        <v>46094</v>
      </c>
      <c r="BU90" s="91">
        <f t="array" ref="BU90">MIN(IF(H:H=H90,BT:BT ))</f>
        <v>45997</v>
      </c>
    </row>
    <row r="1048391" spans="73:73" x14ac:dyDescent="0.3">
      <c r="BU1048391" s="91"/>
    </row>
  </sheetData>
  <mergeCells count="3">
    <mergeCell ref="AD1:AH1"/>
    <mergeCell ref="AI1:AM1"/>
    <mergeCell ref="AN1:AR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zoomScale="115" zoomScaleNormal="115" workbookViewId="0">
      <selection activeCell="C13" sqref="C13"/>
    </sheetView>
  </sheetViews>
  <sheetFormatPr defaultRowHeight="16.5" x14ac:dyDescent="0.3"/>
  <cols>
    <col min="2" max="2" width="42.5" bestFit="1" customWidth="1"/>
    <col min="3" max="3" width="9.125" customWidth="1"/>
    <col min="5" max="5" width="11.625" bestFit="1" customWidth="1"/>
    <col min="7" max="7" width="10.25" bestFit="1" customWidth="1"/>
  </cols>
  <sheetData>
    <row r="1" spans="1:16" x14ac:dyDescent="0.3">
      <c r="A1" s="18" t="s">
        <v>0</v>
      </c>
      <c r="B1" s="18" t="s">
        <v>1</v>
      </c>
      <c r="C1" s="18" t="s">
        <v>29</v>
      </c>
      <c r="D1" s="18" t="s">
        <v>485</v>
      </c>
      <c r="E1" s="18" t="s">
        <v>486</v>
      </c>
      <c r="F1" s="18" t="s">
        <v>485</v>
      </c>
      <c r="G1" s="18" t="s">
        <v>486</v>
      </c>
      <c r="H1" s="18" t="s">
        <v>485</v>
      </c>
      <c r="I1" s="18" t="s">
        <v>486</v>
      </c>
    </row>
    <row r="2" spans="1:16" x14ac:dyDescent="0.3">
      <c r="A2" s="81">
        <v>334969</v>
      </c>
      <c r="B2" s="81" t="s">
        <v>815</v>
      </c>
      <c r="C2" s="82">
        <v>4.3049999999999997</v>
      </c>
      <c r="D2" s="263">
        <v>0</v>
      </c>
      <c r="E2" s="265" t="str">
        <f>IF(D2&gt;0,IFERROR(VLOOKUP($A2,[1]Sheet1!$A:$J,10,FALSE),0),"없음")</f>
        <v>없음</v>
      </c>
      <c r="F2" s="263">
        <f>IFERROR(VLOOKUP(A2,[2]Sheet1!$A:$F,6,FALSE),0)</f>
        <v>0</v>
      </c>
      <c r="G2" s="265" t="str">
        <f>IF(F2&gt;0,IFERROR(VLOOKUP($A2,[1]Sheet1!$A:$L,12,FALSE),0),"없음")</f>
        <v>없음</v>
      </c>
      <c r="J2">
        <f>+D2+F2</f>
        <v>0</v>
      </c>
    </row>
    <row r="3" spans="1:16" x14ac:dyDescent="0.3">
      <c r="A3" s="81">
        <v>254933</v>
      </c>
      <c r="B3" s="81" t="s">
        <v>51</v>
      </c>
      <c r="C3" s="82">
        <v>25</v>
      </c>
      <c r="D3" s="263">
        <v>0</v>
      </c>
      <c r="E3" s="265" t="str">
        <f>IF(D3&gt;0,IFERROR(VLOOKUP($A3,[1]Sheet1!$A:$J,10,FALSE),0),"없음")</f>
        <v>없음</v>
      </c>
      <c r="F3" s="263">
        <f>IFERROR(VLOOKUP(A3,[2]Sheet1!$A:$F,6,FALSE),0)</f>
        <v>0</v>
      </c>
      <c r="G3" s="265" t="str">
        <f>IF(F3&gt;0,IFERROR(VLOOKUP($A3,[1]Sheet1!$A:$L,12,FALSE),0),"없음")</f>
        <v>없음</v>
      </c>
      <c r="J3">
        <f t="shared" ref="J3:J66" si="0">+D3+F3</f>
        <v>0</v>
      </c>
    </row>
    <row r="4" spans="1:16" x14ac:dyDescent="0.3">
      <c r="A4" s="81">
        <v>257311</v>
      </c>
      <c r="B4" s="81" t="s">
        <v>52</v>
      </c>
      <c r="C4" s="82">
        <v>10</v>
      </c>
      <c r="D4" s="263">
        <f>IFERROR(VLOOKUP(A4,[1]Sheet1!$A:$D,4,FALSE),0)</f>
        <v>9.23</v>
      </c>
      <c r="E4" s="265">
        <f>IF(D4&gt;0,IFERROR(VLOOKUP($A4,[1]Sheet1!$A:$J,10,FALSE),0),"없음")</f>
        <v>45896</v>
      </c>
      <c r="F4" s="263">
        <f>IFERROR(VLOOKUP(A4,[2]Sheet1!$A:$F,6,FALSE),0)</f>
        <v>0</v>
      </c>
      <c r="G4" s="265" t="str">
        <f>IF(F4&gt;0,IFERROR(VLOOKUP($A4,[1]Sheet1!$A:$L,12,FALSE),0),"없음")</f>
        <v>없음</v>
      </c>
      <c r="J4">
        <f t="shared" si="0"/>
        <v>9.23</v>
      </c>
    </row>
    <row r="5" spans="1:16" x14ac:dyDescent="0.3">
      <c r="A5" s="81">
        <v>255161</v>
      </c>
      <c r="B5" s="81" t="s">
        <v>53</v>
      </c>
      <c r="C5" s="82">
        <v>20</v>
      </c>
      <c r="D5" s="263">
        <v>0</v>
      </c>
      <c r="E5" s="265" t="str">
        <f>IF(D5&gt;0,IFERROR(VLOOKUP($A5,[1]Sheet1!$A:$J,10,FALSE),0),"없음")</f>
        <v>없음</v>
      </c>
      <c r="F5" s="263">
        <f>IFERROR(VLOOKUP(A5,[2]Sheet1!$A:$F,6,FALSE),0)</f>
        <v>0</v>
      </c>
      <c r="G5" s="265" t="str">
        <f>IF(F5&gt;0,IFERROR(VLOOKUP($A5,[1]Sheet1!$A:$L,12,FALSE),0),"없음")</f>
        <v>없음</v>
      </c>
      <c r="J5">
        <f t="shared" si="0"/>
        <v>0</v>
      </c>
    </row>
    <row r="6" spans="1:16" x14ac:dyDescent="0.3">
      <c r="A6" s="81">
        <v>251371</v>
      </c>
      <c r="B6" s="81" t="s">
        <v>54</v>
      </c>
      <c r="C6" s="82">
        <v>25</v>
      </c>
      <c r="D6" s="263">
        <f>IFERROR(VLOOKUP(A6,[1]Sheet1!$A:$D,4,FALSE),0)</f>
        <v>20.399999999999999</v>
      </c>
      <c r="E6" s="265">
        <f>IF(D6&gt;0,IFERROR(VLOOKUP($A6,[1]Sheet1!$A:$J,10,FALSE),0),"없음")</f>
        <v>45986</v>
      </c>
      <c r="F6" s="263">
        <f>IFERROR(VLOOKUP(A6,[2]Sheet1!$A:$F,6,FALSE),0)</f>
        <v>0</v>
      </c>
      <c r="G6" s="265" t="str">
        <f>IF(F6&gt;0,IFERROR(VLOOKUP($A6,[1]Sheet1!$A:$L,12,FALSE),0),"없음")</f>
        <v>없음</v>
      </c>
      <c r="J6">
        <f t="shared" si="0"/>
        <v>20.399999999999999</v>
      </c>
    </row>
    <row r="7" spans="1:16" x14ac:dyDescent="0.3">
      <c r="A7" s="81">
        <v>253582</v>
      </c>
      <c r="B7" s="81" t="s">
        <v>55</v>
      </c>
      <c r="C7" s="82">
        <v>15</v>
      </c>
      <c r="D7" s="263">
        <f>IFERROR(VLOOKUP(A7,[1]Sheet1!$A:$D,4,FALSE),0)</f>
        <v>16.73</v>
      </c>
      <c r="E7" s="265">
        <f>IF(D7&gt;0,IFERROR(VLOOKUP($A7,[1]Sheet1!$A:$J,10,FALSE),0),"없음")</f>
        <v>46474</v>
      </c>
      <c r="F7" s="263">
        <f>IFERROR(VLOOKUP(A7,[2]Sheet1!$A:$F,6,FALSE),0)</f>
        <v>0</v>
      </c>
      <c r="G7" s="265" t="str">
        <f>IF(F7&gt;0,IFERROR(VLOOKUP($A7,[1]Sheet1!$A:$L,12,FALSE),0),"없음")</f>
        <v>없음</v>
      </c>
      <c r="J7">
        <f t="shared" si="0"/>
        <v>16.73</v>
      </c>
    </row>
    <row r="8" spans="1:16" x14ac:dyDescent="0.3">
      <c r="A8" s="81">
        <v>253595</v>
      </c>
      <c r="B8" s="81" t="s">
        <v>56</v>
      </c>
      <c r="C8" s="82">
        <v>20</v>
      </c>
      <c r="D8" s="263">
        <f>IFERROR(VLOOKUP(A8,[1]Sheet1!$A:$D,4,FALSE),0)</f>
        <v>43.66</v>
      </c>
      <c r="E8" s="265">
        <f>IF(D8&gt;0,IFERROR(VLOOKUP($A8,[1]Sheet1!$A:$J,10,FALSE),0),"없음")</f>
        <v>45941</v>
      </c>
      <c r="F8" s="263">
        <f>IFERROR(VLOOKUP(A8,[2]Sheet1!$A:$F,6,FALSE),0)</f>
        <v>0</v>
      </c>
      <c r="G8" s="265" t="str">
        <f>IF(F8&gt;0,IFERROR(VLOOKUP($A8,[1]Sheet1!$A:$L,12,FALSE),0),"없음")</f>
        <v>없음</v>
      </c>
      <c r="J8">
        <f t="shared" si="0"/>
        <v>43.66</v>
      </c>
    </row>
    <row r="9" spans="1:16" x14ac:dyDescent="0.3">
      <c r="A9" s="81">
        <v>255731</v>
      </c>
      <c r="B9" s="81" t="s">
        <v>57</v>
      </c>
      <c r="C9" s="82">
        <v>10</v>
      </c>
      <c r="D9" s="263">
        <f>IFERROR(VLOOKUP(A9,[1]Sheet1!$A:$D,4,FALSE),0)</f>
        <v>26.64</v>
      </c>
      <c r="E9" s="265">
        <f>IF(D9&gt;0,IFERROR(VLOOKUP($A9,[1]Sheet1!$A:$J,10,FALSE),0),"없음")</f>
        <v>45902</v>
      </c>
      <c r="F9" s="263">
        <f>IFERROR(VLOOKUP(A9,[2]Sheet1!$A:$F,6,FALSE),0)</f>
        <v>0</v>
      </c>
      <c r="G9" s="265" t="str">
        <f>IF(F9&gt;0,IFERROR(VLOOKUP($A9,[1]Sheet1!$A:$L,12,FALSE),0),"없음")</f>
        <v>없음</v>
      </c>
      <c r="J9">
        <f t="shared" si="0"/>
        <v>26.64</v>
      </c>
    </row>
    <row r="10" spans="1:16" x14ac:dyDescent="0.3">
      <c r="A10" s="81">
        <v>254833</v>
      </c>
      <c r="B10" s="81" t="s">
        <v>58</v>
      </c>
      <c r="C10" s="82">
        <v>11.34</v>
      </c>
      <c r="D10" s="263">
        <f>IFERROR(VLOOKUP(A10,[1]Sheet1!$A:$D,4,FALSE),0)</f>
        <v>385.2</v>
      </c>
      <c r="E10" s="265">
        <f>IF(D10&gt;0,IFERROR(VLOOKUP($A10,[1]Sheet1!$A:$J,10,FALSE),0),"없음")</f>
        <v>46068</v>
      </c>
      <c r="F10" s="263">
        <f>IFERROR(VLOOKUP(A10,[2]Sheet1!$A:$F,6,FALSE),0)</f>
        <v>0</v>
      </c>
      <c r="G10" s="265" t="str">
        <f>IF(F10&gt;0,IFERROR(VLOOKUP($A10,[1]Sheet1!$A:$L,12,FALSE),0),"없음")</f>
        <v>없음</v>
      </c>
      <c r="J10">
        <f t="shared" si="0"/>
        <v>385.2</v>
      </c>
    </row>
    <row r="11" spans="1:16" x14ac:dyDescent="0.3">
      <c r="A11" s="81">
        <v>180592</v>
      </c>
      <c r="B11" s="81" t="s">
        <v>59</v>
      </c>
      <c r="C11" s="82">
        <v>11.34</v>
      </c>
      <c r="D11" s="263">
        <f>IFERROR(VLOOKUP(A11,[1]Sheet1!$A:$D,4,FALSE),0)</f>
        <v>118.7</v>
      </c>
      <c r="E11" s="265">
        <f>IF(D11&gt;0,IFERROR(VLOOKUP($A11,[1]Sheet1!$A:$J,10,FALSE),0),"없음")</f>
        <v>46191</v>
      </c>
      <c r="F11" s="263">
        <f>IFERROR(VLOOKUP(A11,[2]Sheet1!$A:$F,6,FALSE),0)</f>
        <v>0</v>
      </c>
      <c r="G11" s="265" t="str">
        <f>IF(F11&gt;0,IFERROR(VLOOKUP($A11,[1]Sheet1!$A:$L,12,FALSE),0),"없음")</f>
        <v>없음</v>
      </c>
      <c r="J11">
        <f t="shared" si="0"/>
        <v>118.7</v>
      </c>
      <c r="P11" s="264"/>
    </row>
    <row r="12" spans="1:16" x14ac:dyDescent="0.3">
      <c r="A12" s="81">
        <v>253596</v>
      </c>
      <c r="B12" s="81" t="s">
        <v>60</v>
      </c>
      <c r="C12" s="82">
        <v>25</v>
      </c>
      <c r="D12" s="263">
        <f>IFERROR(VLOOKUP(A12,[1]Sheet1!$A:$D,4,FALSE),0)</f>
        <v>20.67</v>
      </c>
      <c r="E12" s="265">
        <f>IF(D12&gt;0,IFERROR(VLOOKUP($A12,[1]Sheet1!$A:$J,10,FALSE),0),"없음")</f>
        <v>46633</v>
      </c>
      <c r="F12" s="263">
        <f>IFERROR(VLOOKUP(A12,[2]Sheet1!$A:$F,6,FALSE),0)</f>
        <v>0</v>
      </c>
      <c r="G12" s="265" t="str">
        <f>IF(F12&gt;0,IFERROR(VLOOKUP($A12,[1]Sheet1!$A:$L,12,FALSE),0),"없음")</f>
        <v>없음</v>
      </c>
      <c r="J12">
        <f t="shared" si="0"/>
        <v>20.67</v>
      </c>
    </row>
    <row r="13" spans="1:16" x14ac:dyDescent="0.3">
      <c r="A13" s="81">
        <v>253471</v>
      </c>
      <c r="B13" s="81" t="s">
        <v>61</v>
      </c>
      <c r="C13" s="82">
        <v>15</v>
      </c>
      <c r="D13" s="263">
        <f>IFERROR(VLOOKUP(A13,[1]Sheet1!$A:$D,4,FALSE),0)</f>
        <v>210.4</v>
      </c>
      <c r="E13" s="265">
        <f>IF(D13&gt;0,IFERROR(VLOOKUP($A13,[1]Sheet1!$A:$J,10,FALSE),0),"없음")</f>
        <v>45921</v>
      </c>
      <c r="F13" s="263">
        <f>IFERROR(VLOOKUP(A13,[2]Sheet1!$A:$F,6,FALSE),0)</f>
        <v>0</v>
      </c>
      <c r="G13" s="265" t="str">
        <f>IF(F13&gt;0,IFERROR(VLOOKUP($A13,[1]Sheet1!$A:$L,12,FALSE),0),"없음")</f>
        <v>없음</v>
      </c>
      <c r="H13" t="s">
        <v>881</v>
      </c>
      <c r="J13">
        <f t="shared" si="0"/>
        <v>210.4</v>
      </c>
    </row>
    <row r="14" spans="1:16" x14ac:dyDescent="0.3">
      <c r="A14" s="81">
        <v>253594</v>
      </c>
      <c r="B14" s="81" t="s">
        <v>62</v>
      </c>
      <c r="C14" s="82">
        <v>25</v>
      </c>
      <c r="D14" s="263">
        <f>IFERROR(VLOOKUP(A14,[1]Sheet1!$A:$D,4,FALSE),0)</f>
        <v>48.33</v>
      </c>
      <c r="E14" s="265">
        <f>IF(D14&gt;0,IFERROR(VLOOKUP($A14,[1]Sheet1!$A:$J,10,FALSE),0),"없음")</f>
        <v>46315</v>
      </c>
      <c r="F14" s="263">
        <f>IFERROR(VLOOKUP(A14,[2]Sheet1!$A:$F,6,FALSE),0)</f>
        <v>50</v>
      </c>
      <c r="G14" s="265">
        <f>IF(F14&gt;0,IFERROR(VLOOKUP($A14,[1]Sheet1!$A:$L,12,FALSE),0),"없음")</f>
        <v>46009</v>
      </c>
      <c r="J14">
        <f t="shared" si="0"/>
        <v>98.33</v>
      </c>
    </row>
    <row r="15" spans="1:16" x14ac:dyDescent="0.3">
      <c r="A15" s="81">
        <v>194034</v>
      </c>
      <c r="B15" s="81" t="s">
        <v>63</v>
      </c>
      <c r="C15" s="82">
        <v>1</v>
      </c>
      <c r="D15" s="263">
        <f>IFERROR(VLOOKUP(A15,[1]Sheet1!$A:$D,4,FALSE),0)</f>
        <v>1.25</v>
      </c>
      <c r="E15" s="265">
        <f>IF(D15&gt;0,IFERROR(VLOOKUP($A15,[1]Sheet1!$A:$J,10,FALSE),0),"없음")</f>
        <v>46009</v>
      </c>
      <c r="F15" s="263">
        <v>0</v>
      </c>
      <c r="G15" s="265" t="str">
        <f>IF(F15&gt;0,IFERROR(VLOOKUP($A15,[1]Sheet1!$A:$L,12,FALSE),0),"없음")</f>
        <v>없음</v>
      </c>
      <c r="J15">
        <f t="shared" si="0"/>
        <v>1.25</v>
      </c>
    </row>
    <row r="16" spans="1:16" x14ac:dyDescent="0.3">
      <c r="A16" s="81">
        <v>259263</v>
      </c>
      <c r="B16" s="81" t="s">
        <v>64</v>
      </c>
      <c r="C16" s="82">
        <v>20</v>
      </c>
      <c r="D16" s="263">
        <f>IFERROR(VLOOKUP(A16,[1]Sheet1!$A:$D,4,FALSE),0)</f>
        <v>13.65</v>
      </c>
      <c r="E16" s="265">
        <f>IF(D16&gt;0,IFERROR(VLOOKUP($A16,[1]Sheet1!$A:$J,10,FALSE),0),"없음")</f>
        <v>46253</v>
      </c>
      <c r="F16" s="263">
        <f>IFERROR(VLOOKUP(A16,[2]Sheet1!$A:$F,6,FALSE),0)</f>
        <v>0</v>
      </c>
      <c r="G16" s="265" t="str">
        <f>IF(F16&gt;0,IFERROR(VLOOKUP($A16,[1]Sheet1!$A:$L,12,FALSE),0),"없음")</f>
        <v>없음</v>
      </c>
      <c r="J16">
        <f t="shared" si="0"/>
        <v>13.65</v>
      </c>
    </row>
    <row r="17" spans="1:10" x14ac:dyDescent="0.3">
      <c r="A17" s="81">
        <v>259262</v>
      </c>
      <c r="B17" s="81" t="s">
        <v>65</v>
      </c>
      <c r="C17" s="82">
        <v>20</v>
      </c>
      <c r="D17" s="263">
        <f>IFERROR(VLOOKUP(A17,[1]Sheet1!$A:$D,4,FALSE),0)</f>
        <v>5.46</v>
      </c>
      <c r="E17" s="265">
        <f>IF(D17&gt;0,IFERROR(VLOOKUP($A17,[1]Sheet1!$A:$J,10,FALSE),0),"없음")</f>
        <v>45950</v>
      </c>
      <c r="F17" s="263">
        <f>IFERROR(VLOOKUP(A17,[2]Sheet1!$A:$F,6,FALSE),0)</f>
        <v>0</v>
      </c>
      <c r="G17" s="265" t="str">
        <f>IF(F17&gt;0,IFERROR(VLOOKUP($A17,[1]Sheet1!$A:$L,12,FALSE),0),"없음")</f>
        <v>없음</v>
      </c>
      <c r="J17">
        <f t="shared" si="0"/>
        <v>5.46</v>
      </c>
    </row>
    <row r="18" spans="1:10" x14ac:dyDescent="0.3">
      <c r="A18" s="81">
        <v>257816</v>
      </c>
      <c r="B18" s="81" t="s">
        <v>66</v>
      </c>
      <c r="C18" s="82">
        <v>25</v>
      </c>
      <c r="D18" s="263">
        <f>IFERROR(VLOOKUP(A18,[1]Sheet1!$A:$D,4,FALSE),0)</f>
        <v>11.4</v>
      </c>
      <c r="E18" s="265">
        <f>IF(D18&gt;0,IFERROR(VLOOKUP($A18,[1]Sheet1!$A:$J,10,FALSE),0),"없음")</f>
        <v>46200</v>
      </c>
      <c r="F18" s="263">
        <v>0</v>
      </c>
      <c r="G18" s="265" t="str">
        <f>IF(F18&gt;0,IFERROR(VLOOKUP($A18,[1]Sheet1!$A:$L,12,FALSE),0),"없음")</f>
        <v>없음</v>
      </c>
      <c r="J18">
        <f t="shared" si="0"/>
        <v>11.4</v>
      </c>
    </row>
    <row r="19" spans="1:10" x14ac:dyDescent="0.3">
      <c r="A19" s="81">
        <v>257817</v>
      </c>
      <c r="B19" s="81" t="s">
        <v>67</v>
      </c>
      <c r="C19" s="82">
        <v>15</v>
      </c>
      <c r="D19" s="263">
        <f>IFERROR(VLOOKUP(A19,[1]Sheet1!$A:$D,4,FALSE),0)</f>
        <v>9.85</v>
      </c>
      <c r="E19" s="265">
        <f>IF(D19&gt;0,IFERROR(VLOOKUP($A19,[1]Sheet1!$A:$J,10,FALSE),0),"없음")</f>
        <v>46148</v>
      </c>
      <c r="F19" s="263">
        <f>IFERROR(VLOOKUP(A19,[2]Sheet1!$A:$F,6,FALSE),0)</f>
        <v>0</v>
      </c>
      <c r="G19" s="265" t="str">
        <f>IF(F19&gt;0,IFERROR(VLOOKUP($A19,[1]Sheet1!$A:$L,12,FALSE),0),"없음")</f>
        <v>없음</v>
      </c>
      <c r="J19">
        <f t="shared" si="0"/>
        <v>9.85</v>
      </c>
    </row>
    <row r="20" spans="1:10" x14ac:dyDescent="0.3">
      <c r="A20" s="81">
        <v>257819</v>
      </c>
      <c r="B20" s="81" t="s">
        <v>68</v>
      </c>
      <c r="C20" s="82">
        <v>25</v>
      </c>
      <c r="D20" s="263">
        <f>IFERROR(VLOOKUP(A20,[1]Sheet1!$A:$D,4,FALSE),0)</f>
        <v>0.24</v>
      </c>
      <c r="E20" s="265">
        <f>IF(D20&gt;0,IFERROR(VLOOKUP($A20,[1]Sheet1!$A:$J,10,FALSE),0),"없음")</f>
        <v>45794</v>
      </c>
      <c r="F20" s="263">
        <f>IFERROR(VLOOKUP(A20,[2]Sheet1!$A:$F,6,FALSE),0)</f>
        <v>0</v>
      </c>
      <c r="G20" s="265" t="str">
        <f>IF(F20&gt;0,IFERROR(VLOOKUP($A20,[1]Sheet1!$A:$L,12,FALSE),0),"없음")</f>
        <v>없음</v>
      </c>
      <c r="J20">
        <f t="shared" si="0"/>
        <v>0.24</v>
      </c>
    </row>
    <row r="21" spans="1:10" x14ac:dyDescent="0.3">
      <c r="A21" s="81">
        <v>311779</v>
      </c>
      <c r="B21" s="81" t="s">
        <v>69</v>
      </c>
      <c r="C21" s="82">
        <v>20</v>
      </c>
      <c r="D21" s="263">
        <f>IFERROR(VLOOKUP(A21,[1]Sheet1!$A:$D,4,FALSE),0)</f>
        <v>9.92</v>
      </c>
      <c r="E21" s="265">
        <f>IF(D21&gt;0,IFERROR(VLOOKUP($A21,[1]Sheet1!$A:$J,10,FALSE),0),"없음")</f>
        <v>46669</v>
      </c>
      <c r="F21" s="263">
        <f>IFERROR(VLOOKUP(A21,[2]Sheet1!$A:$F,6,FALSE),0)</f>
        <v>0</v>
      </c>
      <c r="G21" s="265" t="str">
        <f>IF(F21&gt;0,IFERROR(VLOOKUP($A21,[1]Sheet1!$A:$L,12,FALSE),0),"없음")</f>
        <v>없음</v>
      </c>
      <c r="J21">
        <f t="shared" si="0"/>
        <v>9.92</v>
      </c>
    </row>
    <row r="22" spans="1:10" x14ac:dyDescent="0.3">
      <c r="A22" s="81">
        <v>310871</v>
      </c>
      <c r="B22" s="81" t="s">
        <v>70</v>
      </c>
      <c r="C22" s="82">
        <v>25</v>
      </c>
      <c r="D22" s="263">
        <f>IFERROR(VLOOKUP(A22,[1]Sheet1!$A:$D,4,FALSE),0)</f>
        <v>12.01</v>
      </c>
      <c r="E22" s="265">
        <f>IF(D22&gt;0,IFERROR(VLOOKUP($A22,[1]Sheet1!$A:$J,10,FALSE),0),"없음")</f>
        <v>46024</v>
      </c>
      <c r="F22" s="263">
        <f>IFERROR(VLOOKUP(A22,[2]Sheet1!$A:$F,6,FALSE),0)</f>
        <v>0</v>
      </c>
      <c r="G22" s="265" t="str">
        <f>IF(F22&gt;0,IFERROR(VLOOKUP($A22,[1]Sheet1!$A:$L,12,FALSE),0),"없음")</f>
        <v>없음</v>
      </c>
      <c r="J22">
        <f t="shared" si="0"/>
        <v>12.01</v>
      </c>
    </row>
    <row r="23" spans="1:10" x14ac:dyDescent="0.3">
      <c r="A23" s="81">
        <v>315151</v>
      </c>
      <c r="B23" s="81" t="s">
        <v>71</v>
      </c>
      <c r="C23" s="82">
        <v>1</v>
      </c>
      <c r="D23" s="263">
        <f>IFERROR(VLOOKUP(A23,[1]Sheet1!$A:$D,4,FALSE),0)</f>
        <v>182.59</v>
      </c>
      <c r="E23" s="265">
        <f>IF(D23&gt;0,IFERROR(VLOOKUP($A23,[1]Sheet1!$A:$J,10,FALSE),0),"없음")</f>
        <v>46122</v>
      </c>
      <c r="F23" s="263">
        <f>IFERROR(VLOOKUP(A23,[2]Sheet1!$A:$F,6,FALSE),0)</f>
        <v>0</v>
      </c>
      <c r="G23" s="265" t="str">
        <f>IF(F23&gt;0,IFERROR(VLOOKUP($A23,[1]Sheet1!$A:$L,12,FALSE),0),"없음")</f>
        <v>없음</v>
      </c>
      <c r="J23">
        <f t="shared" si="0"/>
        <v>182.59</v>
      </c>
    </row>
    <row r="24" spans="1:10" x14ac:dyDescent="0.3">
      <c r="A24" s="81">
        <v>324581</v>
      </c>
      <c r="B24" s="81" t="s">
        <v>72</v>
      </c>
      <c r="C24" s="82">
        <v>0</v>
      </c>
      <c r="D24" s="263">
        <v>0</v>
      </c>
      <c r="E24" s="265" t="str">
        <f>IF(D24&gt;0,IFERROR(VLOOKUP($A24,[1]Sheet1!$A:$J,10,FALSE),0),"없음")</f>
        <v>없음</v>
      </c>
      <c r="F24" s="263">
        <f>IFERROR(VLOOKUP(A24,[2]Sheet1!$A:$F,6,FALSE),0)</f>
        <v>0</v>
      </c>
      <c r="G24" s="265" t="str">
        <f>IF(F24&gt;0,IFERROR(VLOOKUP($A24,[1]Sheet1!$A:$L,12,FALSE),0),"없음")</f>
        <v>없음</v>
      </c>
      <c r="J24">
        <f t="shared" si="0"/>
        <v>0</v>
      </c>
    </row>
    <row r="25" spans="1:10" x14ac:dyDescent="0.3">
      <c r="A25" s="81">
        <v>324582</v>
      </c>
      <c r="B25" s="81" t="s">
        <v>73</v>
      </c>
      <c r="C25" s="82">
        <v>0</v>
      </c>
      <c r="D25" s="263">
        <v>0</v>
      </c>
      <c r="E25" s="265" t="str">
        <f>IF(D25&gt;0,IFERROR(VLOOKUP($A25,[1]Sheet1!$A:$J,10,FALSE),0),"없음")</f>
        <v>없음</v>
      </c>
      <c r="F25" s="263">
        <f>IFERROR(VLOOKUP(A25,[2]Sheet1!$A:$F,6,FALSE),0)</f>
        <v>0</v>
      </c>
      <c r="G25" s="265" t="str">
        <f>IF(F25&gt;0,IFERROR(VLOOKUP($A25,[1]Sheet1!$A:$L,12,FALSE),0),"없음")</f>
        <v>없음</v>
      </c>
      <c r="J25">
        <f t="shared" si="0"/>
        <v>0</v>
      </c>
    </row>
    <row r="26" spans="1:10" x14ac:dyDescent="0.3">
      <c r="A26" s="83">
        <v>320617</v>
      </c>
      <c r="B26" s="83" t="s">
        <v>74</v>
      </c>
      <c r="C26" s="84">
        <v>5</v>
      </c>
      <c r="D26" s="263">
        <v>0</v>
      </c>
      <c r="E26" s="265" t="str">
        <f>IF(D26&gt;0,IFERROR(VLOOKUP($A26,[1]Sheet1!$A:$J,10,FALSE),0),"없음")</f>
        <v>없음</v>
      </c>
      <c r="F26" s="263">
        <f>IFERROR(VLOOKUP(A26,[2]Sheet1!$A:$F,6,FALSE),0)</f>
        <v>0</v>
      </c>
      <c r="G26" s="265" t="str">
        <f>IF(F26&gt;0,IFERROR(VLOOKUP($A26,[1]Sheet1!$A:$L,12,FALSE),0),"없음")</f>
        <v>없음</v>
      </c>
      <c r="J26">
        <f t="shared" si="0"/>
        <v>0</v>
      </c>
    </row>
    <row r="27" spans="1:10" x14ac:dyDescent="0.3">
      <c r="A27" s="83">
        <v>318063</v>
      </c>
      <c r="B27" s="83" t="s">
        <v>75</v>
      </c>
      <c r="C27" s="84">
        <v>25</v>
      </c>
      <c r="D27" s="263">
        <v>0</v>
      </c>
      <c r="E27" s="265" t="str">
        <f>IF(D27&gt;0,IFERROR(VLOOKUP($A27,[1]Sheet1!$A:$J,10,FALSE),0),"없음")</f>
        <v>없음</v>
      </c>
      <c r="F27" s="263">
        <f>IFERROR(VLOOKUP(A27,[2]Sheet1!$A:$F,6,FALSE),0)</f>
        <v>0</v>
      </c>
      <c r="G27" s="265" t="str">
        <f>IF(F27&gt;0,IFERROR(VLOOKUP($A27,[1]Sheet1!$A:$L,12,FALSE),0),"없음")</f>
        <v>없음</v>
      </c>
      <c r="J27">
        <f t="shared" si="0"/>
        <v>0</v>
      </c>
    </row>
    <row r="28" spans="1:10" x14ac:dyDescent="0.3">
      <c r="A28" s="83">
        <v>318728</v>
      </c>
      <c r="B28" s="83" t="s">
        <v>76</v>
      </c>
      <c r="C28" s="84">
        <v>20</v>
      </c>
      <c r="D28" s="263">
        <f>IFERROR(VLOOKUP(A28,[1]Sheet1!$A:$D,4,FALSE),0)</f>
        <v>41.4</v>
      </c>
      <c r="E28" s="265">
        <f>IF(D28&gt;0,IFERROR(VLOOKUP($A28,[1]Sheet1!$A:$J,10,FALSE),0),"없음")</f>
        <v>46131</v>
      </c>
      <c r="F28" s="263">
        <f>IFERROR(VLOOKUP(A28,[2]Sheet1!$A:$F,6,FALSE),0)</f>
        <v>0</v>
      </c>
      <c r="G28" s="265" t="str">
        <f>IF(F28&gt;0,IFERROR(VLOOKUP($A28,[1]Sheet1!$A:$L,12,FALSE),0),"없음")</f>
        <v>없음</v>
      </c>
      <c r="J28">
        <f t="shared" si="0"/>
        <v>41.4</v>
      </c>
    </row>
    <row r="29" spans="1:10" x14ac:dyDescent="0.3">
      <c r="A29" s="83">
        <v>313906</v>
      </c>
      <c r="B29" s="83" t="s">
        <v>77</v>
      </c>
      <c r="C29" s="84">
        <v>10</v>
      </c>
      <c r="D29" s="263">
        <v>0</v>
      </c>
      <c r="E29" s="265" t="str">
        <f>IF(D29&gt;0,IFERROR(VLOOKUP($A29,[1]Sheet1!$A:$J,10,FALSE),0),"없음")</f>
        <v>없음</v>
      </c>
      <c r="F29" s="263">
        <f>IFERROR(VLOOKUP(A29,[2]Sheet1!$A:$F,6,FALSE),0)</f>
        <v>0</v>
      </c>
      <c r="G29" s="265" t="str">
        <f>IF(F29&gt;0,IFERROR(VLOOKUP($A29,[1]Sheet1!$A:$L,12,FALSE),0),"없음")</f>
        <v>없음</v>
      </c>
      <c r="J29">
        <f t="shared" si="0"/>
        <v>0</v>
      </c>
    </row>
    <row r="30" spans="1:10" x14ac:dyDescent="0.3">
      <c r="A30" s="83">
        <v>262518</v>
      </c>
      <c r="B30" s="83" t="s">
        <v>78</v>
      </c>
      <c r="C30" s="84">
        <v>20</v>
      </c>
      <c r="D30" s="263">
        <f>IFERROR(VLOOKUP(A30,[1]Sheet1!$A:$D,4,FALSE),0)</f>
        <v>29.34</v>
      </c>
      <c r="E30" s="265">
        <f>IF(D30&gt;0,IFERROR(VLOOKUP($A30,[1]Sheet1!$A:$J,10,FALSE),0),"없음")</f>
        <v>45968</v>
      </c>
      <c r="F30" s="263">
        <f>IFERROR(VLOOKUP(A30,[2]Sheet1!$A:$F,6,FALSE),0)</f>
        <v>0</v>
      </c>
      <c r="G30" s="265" t="str">
        <f>IF(F30&gt;0,IFERROR(VLOOKUP($A30,[1]Sheet1!$A:$L,12,FALSE),0),"없음")</f>
        <v>없음</v>
      </c>
      <c r="J30">
        <f t="shared" si="0"/>
        <v>29.34</v>
      </c>
    </row>
    <row r="31" spans="1:10" x14ac:dyDescent="0.3">
      <c r="A31" s="83">
        <v>320550</v>
      </c>
      <c r="B31" s="83" t="s">
        <v>79</v>
      </c>
      <c r="C31" s="84">
        <v>0</v>
      </c>
      <c r="D31" s="263">
        <v>0</v>
      </c>
      <c r="E31" s="265" t="str">
        <f>IF(D31&gt;0,IFERROR(VLOOKUP($A31,[1]Sheet1!$A:$J,10,FALSE),0),"없음")</f>
        <v>없음</v>
      </c>
      <c r="F31" s="263">
        <f>IFERROR(VLOOKUP(A31,[2]Sheet1!$A:$F,6,FALSE),0)</f>
        <v>0</v>
      </c>
      <c r="G31" s="265" t="str">
        <f>IF(F31&gt;0,IFERROR(VLOOKUP($A31,[1]Sheet1!$A:$L,12,FALSE),0),"없음")</f>
        <v>없음</v>
      </c>
      <c r="J31">
        <f t="shared" si="0"/>
        <v>0</v>
      </c>
    </row>
    <row r="32" spans="1:10" x14ac:dyDescent="0.3">
      <c r="A32" s="83">
        <v>206080</v>
      </c>
      <c r="B32" s="83" t="s">
        <v>80</v>
      </c>
      <c r="C32" s="84">
        <v>20</v>
      </c>
      <c r="D32" s="263">
        <v>0</v>
      </c>
      <c r="E32" s="265" t="str">
        <f>IF(D32&gt;0,IFERROR(VLOOKUP($A32,[1]Sheet1!$A:$J,10,FALSE),0),"없음")</f>
        <v>없음</v>
      </c>
      <c r="F32" s="263">
        <f>IFERROR(VLOOKUP(A32,[2]Sheet1!$A:$F,6,FALSE),0)</f>
        <v>0</v>
      </c>
      <c r="G32" s="265" t="str">
        <f>IF(F32&gt;0,IFERROR(VLOOKUP($A32,[1]Sheet1!$A:$L,12,FALSE),0),"없음")</f>
        <v>없음</v>
      </c>
      <c r="J32">
        <f t="shared" si="0"/>
        <v>0</v>
      </c>
    </row>
    <row r="33" spans="1:10" x14ac:dyDescent="0.3">
      <c r="A33" s="83">
        <v>261874</v>
      </c>
      <c r="B33" s="83" t="s">
        <v>81</v>
      </c>
      <c r="C33" s="84">
        <v>1</v>
      </c>
      <c r="D33" s="263">
        <f>IFERROR(VLOOKUP(A33,[1]Sheet1!$A:$D,4,FALSE),0)</f>
        <v>0</v>
      </c>
      <c r="E33" s="265" t="str">
        <f>IF(D33&gt;0,IFERROR(VLOOKUP($A33,[1]Sheet1!$A:$J,10,FALSE),0),"없음")</f>
        <v>없음</v>
      </c>
      <c r="F33" s="263">
        <f>IFERROR(VLOOKUP(A33,[2]Sheet1!$A:$F,6,FALSE),0)</f>
        <v>0</v>
      </c>
      <c r="G33" s="265" t="str">
        <f>IF(F33&gt;0,IFERROR(VLOOKUP($A33,[1]Sheet1!$A:$L,12,FALSE),0),"없음")</f>
        <v>없음</v>
      </c>
      <c r="J33">
        <f t="shared" si="0"/>
        <v>0</v>
      </c>
    </row>
    <row r="34" spans="1:10" x14ac:dyDescent="0.3">
      <c r="A34" s="83">
        <v>327149</v>
      </c>
      <c r="B34" s="83" t="s">
        <v>82</v>
      </c>
      <c r="C34" s="84">
        <v>0</v>
      </c>
      <c r="D34" s="263">
        <f>IFERROR(VLOOKUP(A34,[1]Sheet1!$A:$D,4,FALSE),0)</f>
        <v>0</v>
      </c>
      <c r="E34" s="265" t="str">
        <f>IF(D34&gt;0,IFERROR(VLOOKUP($A34,[1]Sheet1!$A:$J,10,FALSE),0),"없음")</f>
        <v>없음</v>
      </c>
      <c r="F34" s="263">
        <f>IFERROR(VLOOKUP(A34,[2]Sheet1!$A:$F,6,FALSE),0)</f>
        <v>0</v>
      </c>
      <c r="G34" s="265" t="str">
        <f>IF(F34&gt;0,IFERROR(VLOOKUP($A34,[1]Sheet1!$A:$L,12,FALSE),0),"없음")</f>
        <v>없음</v>
      </c>
      <c r="J34">
        <f t="shared" si="0"/>
        <v>0</v>
      </c>
    </row>
    <row r="35" spans="1:10" x14ac:dyDescent="0.3">
      <c r="A35" s="83">
        <v>334592</v>
      </c>
      <c r="B35" s="83" t="s">
        <v>83</v>
      </c>
      <c r="C35" s="84">
        <v>0</v>
      </c>
      <c r="D35" s="263">
        <f>IFERROR(VLOOKUP(A35,[1]Sheet1!$A:$D,4,FALSE),0)</f>
        <v>0</v>
      </c>
      <c r="E35" s="265" t="str">
        <f>IF(D35&gt;0,IFERROR(VLOOKUP($A35,[1]Sheet1!$A:$J,10,FALSE),0),"없음")</f>
        <v>없음</v>
      </c>
      <c r="F35" s="263">
        <f>IFERROR(VLOOKUP(A35,[2]Sheet1!$A:$F,6,FALSE),0)</f>
        <v>0</v>
      </c>
      <c r="G35" s="265" t="str">
        <f>IF(F35&gt;0,IFERROR(VLOOKUP($A35,[1]Sheet1!$A:$L,12,FALSE),0),"없음")</f>
        <v>없음</v>
      </c>
      <c r="J35">
        <f t="shared" si="0"/>
        <v>0</v>
      </c>
    </row>
    <row r="36" spans="1:10" x14ac:dyDescent="0.3">
      <c r="A36" s="83">
        <v>311181</v>
      </c>
      <c r="B36" s="83" t="s">
        <v>94</v>
      </c>
      <c r="C36" s="84">
        <v>20</v>
      </c>
      <c r="D36" s="263">
        <f>IFERROR(VLOOKUP(A36,[1]Sheet1!$A:$D,4,FALSE),0)</f>
        <v>66.459999999999994</v>
      </c>
      <c r="E36" s="265">
        <f>IF(D36&gt;0,IFERROR(VLOOKUP($A36,[1]Sheet1!$A:$J,10,FALSE),0),"없음")</f>
        <v>45798</v>
      </c>
      <c r="F36" s="263">
        <f>IFERROR(VLOOKUP(A36,[2]Sheet1!$A:$F,6,FALSE),0)</f>
        <v>15.1</v>
      </c>
      <c r="G36" s="265">
        <f>IF(F36&gt;0,IFERROR(VLOOKUP($A36,[1]Sheet1!$A:$L,12,FALSE),0),"없음")</f>
        <v>45868</v>
      </c>
      <c r="J36">
        <f t="shared" si="0"/>
        <v>81.559999999999988</v>
      </c>
    </row>
    <row r="37" spans="1:10" x14ac:dyDescent="0.3">
      <c r="A37" s="83">
        <v>94955</v>
      </c>
      <c r="B37" s="83" t="s">
        <v>136</v>
      </c>
      <c r="C37" s="84">
        <v>25</v>
      </c>
      <c r="D37" s="263">
        <v>0</v>
      </c>
      <c r="E37" s="265" t="str">
        <f>IF(D37&gt;0,IFERROR(VLOOKUP($A37,[1]Sheet1!$A:$J,10,FALSE),0),"없음")</f>
        <v>없음</v>
      </c>
      <c r="F37" s="263">
        <f>IFERROR(VLOOKUP(A37,[2]Sheet1!$A:$F,6,FALSE),0)</f>
        <v>0</v>
      </c>
      <c r="G37" s="265" t="str">
        <f>IF(F37&gt;0,IFERROR(VLOOKUP($A37,[1]Sheet1!$A:$L,12,FALSE),0),"없음")</f>
        <v>없음</v>
      </c>
      <c r="J37">
        <f t="shared" si="0"/>
        <v>0</v>
      </c>
    </row>
    <row r="38" spans="1:10" x14ac:dyDescent="0.3">
      <c r="A38" s="83">
        <v>98579</v>
      </c>
      <c r="B38" s="83" t="s">
        <v>137</v>
      </c>
      <c r="C38" s="84">
        <v>1</v>
      </c>
      <c r="D38" s="263">
        <f>IFERROR(VLOOKUP(A38,[1]Sheet1!$A:$D,4,FALSE),0)</f>
        <v>11.42</v>
      </c>
      <c r="E38" s="265">
        <f>IF(D38&gt;0,IFERROR(VLOOKUP($A38,[1]Sheet1!$A:$J,10,FALSE),0),"없음")</f>
        <v>46113</v>
      </c>
      <c r="F38" s="263">
        <f>IFERROR(VLOOKUP(A38,[2]Sheet1!$A:$F,6,FALSE),0)</f>
        <v>0</v>
      </c>
      <c r="G38" s="265" t="str">
        <f>IF(F38&gt;0,IFERROR(VLOOKUP($A38,[1]Sheet1!$A:$L,12,FALSE),0),"없음")</f>
        <v>없음</v>
      </c>
      <c r="J38">
        <f t="shared" si="0"/>
        <v>11.42</v>
      </c>
    </row>
    <row r="39" spans="1:10" x14ac:dyDescent="0.3">
      <c r="A39" s="83">
        <v>191969</v>
      </c>
      <c r="B39" s="83" t="s">
        <v>138</v>
      </c>
      <c r="C39" s="84">
        <v>10</v>
      </c>
      <c r="D39" s="263">
        <f>IFERROR(VLOOKUP(A39,[1]Sheet1!$A:$D,4,FALSE),0)</f>
        <v>17.96</v>
      </c>
      <c r="E39" s="265">
        <f>IF(D39&gt;0,IFERROR(VLOOKUP($A39,[1]Sheet1!$A:$J,10,FALSE),0),"없음")</f>
        <v>46024</v>
      </c>
      <c r="F39" s="263">
        <f>IFERROR(VLOOKUP(A39,[2]Sheet1!$A:$F,6,FALSE),0)</f>
        <v>0</v>
      </c>
      <c r="G39" s="265" t="str">
        <f>IF(F39&gt;0,IFERROR(VLOOKUP($A39,[1]Sheet1!$A:$L,12,FALSE),0),"없음")</f>
        <v>없음</v>
      </c>
      <c r="J39">
        <f t="shared" si="0"/>
        <v>17.96</v>
      </c>
    </row>
    <row r="40" spans="1:10" x14ac:dyDescent="0.3">
      <c r="A40" s="83">
        <v>323323</v>
      </c>
      <c r="B40" s="83" t="s">
        <v>139</v>
      </c>
      <c r="C40" s="84">
        <v>5</v>
      </c>
      <c r="D40" s="263">
        <f>IFERROR(VLOOKUP(A40,[1]Sheet1!$A:$D,4,FALSE),0)</f>
        <v>0</v>
      </c>
      <c r="E40" s="265" t="str">
        <f>IF(D40&gt;0,IFERROR(VLOOKUP($A40,[1]Sheet1!$A:$J,10,FALSE),0),"없음")</f>
        <v>없음</v>
      </c>
      <c r="F40" s="263">
        <f>IFERROR(VLOOKUP(A40,[2]Sheet1!$A:$F,6,FALSE),0)</f>
        <v>0</v>
      </c>
      <c r="G40" s="265" t="str">
        <f>IF(F40&gt;0,IFERROR(VLOOKUP($A40,[1]Sheet1!$A:$L,12,FALSE),0),"없음")</f>
        <v>없음</v>
      </c>
      <c r="J40">
        <f t="shared" si="0"/>
        <v>0</v>
      </c>
    </row>
    <row r="41" spans="1:10" x14ac:dyDescent="0.3">
      <c r="A41" s="83">
        <v>326809</v>
      </c>
      <c r="B41" s="83" t="s">
        <v>140</v>
      </c>
      <c r="C41" s="84">
        <v>20</v>
      </c>
      <c r="D41" s="263">
        <v>0</v>
      </c>
      <c r="E41" s="265" t="str">
        <f>IF(D41&gt;0,IFERROR(VLOOKUP($A41,[1]Sheet1!$A:$J,10,FALSE),0),"없음")</f>
        <v>없음</v>
      </c>
      <c r="F41" s="263">
        <f>IFERROR(VLOOKUP(A41,[2]Sheet1!$A:$F,6,FALSE),0)</f>
        <v>0</v>
      </c>
      <c r="G41" s="265" t="str">
        <f>IF(F41&gt;0,IFERROR(VLOOKUP($A41,[1]Sheet1!$A:$L,12,FALSE),0),"없음")</f>
        <v>없음</v>
      </c>
      <c r="J41">
        <f t="shared" si="0"/>
        <v>0</v>
      </c>
    </row>
    <row r="42" spans="1:10" x14ac:dyDescent="0.3">
      <c r="A42" s="83">
        <v>326810</v>
      </c>
      <c r="B42" s="83" t="s">
        <v>141</v>
      </c>
      <c r="C42" s="84">
        <v>10</v>
      </c>
      <c r="D42" s="263">
        <v>0</v>
      </c>
      <c r="E42" s="265" t="str">
        <f>IF(D42&gt;0,IFERROR(VLOOKUP($A42,[1]Sheet1!$A:$J,10,FALSE),0),"없음")</f>
        <v>없음</v>
      </c>
      <c r="F42" s="263">
        <f>IFERROR(VLOOKUP(A42,[2]Sheet1!$A:$F,6,FALSE),0)</f>
        <v>0</v>
      </c>
      <c r="G42" s="265" t="str">
        <f>IF(F42&gt;0,IFERROR(VLOOKUP($A42,[1]Sheet1!$A:$L,12,FALSE),0),"없음")</f>
        <v>없음</v>
      </c>
      <c r="J42">
        <f t="shared" si="0"/>
        <v>0</v>
      </c>
    </row>
    <row r="43" spans="1:10" x14ac:dyDescent="0.3">
      <c r="A43" s="83">
        <v>326953</v>
      </c>
      <c r="B43" s="83" t="s">
        <v>142</v>
      </c>
      <c r="C43" s="84">
        <v>15</v>
      </c>
      <c r="D43" s="263">
        <f>IFERROR(VLOOKUP(A43,[1]Sheet1!$A:$D,4,FALSE),0)</f>
        <v>8.1199999999999992</v>
      </c>
      <c r="E43" s="265">
        <f>IF(D43&gt;0,IFERROR(VLOOKUP($A43,[1]Sheet1!$A:$J,10,FALSE),0),"없음")</f>
        <v>46085</v>
      </c>
      <c r="F43" s="263">
        <f>IFERROR(VLOOKUP(A43,[2]Sheet1!$A:$F,6,FALSE),0)</f>
        <v>0</v>
      </c>
      <c r="G43" s="265" t="str">
        <f>IF(F43&gt;0,IFERROR(VLOOKUP($A43,[1]Sheet1!$A:$L,12,FALSE),0),"없음")</f>
        <v>없음</v>
      </c>
      <c r="J43">
        <f t="shared" si="0"/>
        <v>8.1199999999999992</v>
      </c>
    </row>
    <row r="44" spans="1:10" x14ac:dyDescent="0.3">
      <c r="A44" s="83">
        <v>331935</v>
      </c>
      <c r="B44" s="83" t="s">
        <v>143</v>
      </c>
      <c r="C44" s="84">
        <v>10</v>
      </c>
      <c r="D44" s="263">
        <f>IFERROR(VLOOKUP(A44,[1]Sheet1!$A:$D,4,FALSE),0)</f>
        <v>10</v>
      </c>
      <c r="E44" s="265">
        <f>IF(D44&gt;0,IFERROR(VLOOKUP($A44,[1]Sheet1!$A:$J,10,FALSE),0),"없음")</f>
        <v>46259</v>
      </c>
      <c r="F44" s="263">
        <f>IFERROR(VLOOKUP(A44,[2]Sheet1!$A:$F,6,FALSE),0)</f>
        <v>0</v>
      </c>
      <c r="G44" s="265" t="str">
        <f>IF(F44&gt;0,IFERROR(VLOOKUP($A44,[1]Sheet1!$A:$L,12,FALSE),0),"없음")</f>
        <v>없음</v>
      </c>
      <c r="J44">
        <f t="shared" si="0"/>
        <v>10</v>
      </c>
    </row>
    <row r="45" spans="1:10" x14ac:dyDescent="0.3">
      <c r="A45" s="83">
        <v>321472</v>
      </c>
      <c r="B45" s="83" t="s">
        <v>144</v>
      </c>
      <c r="C45" s="84">
        <v>20</v>
      </c>
      <c r="D45" s="263">
        <f>IFERROR(VLOOKUP(A45,[1]Sheet1!$A:$D,4,FALSE),0)</f>
        <v>14.02</v>
      </c>
      <c r="E45" s="265">
        <f>IF(D45&gt;0,IFERROR(VLOOKUP($A45,[1]Sheet1!$A:$J,10,FALSE),0),"없음")</f>
        <v>45925</v>
      </c>
      <c r="F45" s="263">
        <f>IFERROR(VLOOKUP(A45,[2]Sheet1!$A:$F,6,FALSE),0)</f>
        <v>0</v>
      </c>
      <c r="G45" s="265" t="str">
        <f>IF(F45&gt;0,IFERROR(VLOOKUP($A45,[1]Sheet1!$A:$L,12,FALSE),0),"없음")</f>
        <v>없음</v>
      </c>
      <c r="J45">
        <f t="shared" si="0"/>
        <v>14.02</v>
      </c>
    </row>
    <row r="46" spans="1:10" x14ac:dyDescent="0.3">
      <c r="A46" s="83">
        <v>117697</v>
      </c>
      <c r="B46" s="83" t="s">
        <v>231</v>
      </c>
      <c r="C46" s="84">
        <v>20</v>
      </c>
      <c r="D46" s="263">
        <f>IFERROR(VLOOKUP(A46,[1]Sheet1!$A:$D,4,FALSE),0)</f>
        <v>0</v>
      </c>
      <c r="E46" s="265" t="str">
        <f>IF(D46&gt;0,IFERROR(VLOOKUP($A46,[1]Sheet1!$A:$J,10,FALSE),0),"없음")</f>
        <v>없음</v>
      </c>
      <c r="F46" s="263">
        <f>IFERROR(VLOOKUP(A46,[2]Sheet1!$A:$F,6,FALSE),0)</f>
        <v>0</v>
      </c>
      <c r="G46" s="265" t="str">
        <f>IF(F46&gt;0,IFERROR(VLOOKUP($A46,[1]Sheet1!$A:$L,12,FALSE),0),"없음")</f>
        <v>없음</v>
      </c>
      <c r="J46">
        <f t="shared" si="0"/>
        <v>0</v>
      </c>
    </row>
    <row r="47" spans="1:10" x14ac:dyDescent="0.3">
      <c r="A47" s="83">
        <v>199175</v>
      </c>
      <c r="B47" s="83" t="s">
        <v>233</v>
      </c>
      <c r="C47" s="84">
        <v>0.45</v>
      </c>
      <c r="D47" s="263">
        <f>IFERROR(VLOOKUP(A47,[1]Sheet1!$A:$D,4,FALSE),0)</f>
        <v>0</v>
      </c>
      <c r="E47" s="265" t="str">
        <f>IF(D47&gt;0,IFERROR(VLOOKUP($A47,[1]Sheet1!$A:$J,10,FALSE),0),"없음")</f>
        <v>없음</v>
      </c>
      <c r="F47" s="263">
        <f>IFERROR(VLOOKUP(A47,[2]Sheet1!$A:$F,6,FALSE),0)</f>
        <v>0</v>
      </c>
      <c r="G47" s="265" t="str">
        <f>IF(F47&gt;0,IFERROR(VLOOKUP($A47,[1]Sheet1!$A:$L,12,FALSE),0),"없음")</f>
        <v>없음</v>
      </c>
      <c r="J47">
        <f t="shared" si="0"/>
        <v>0</v>
      </c>
    </row>
    <row r="48" spans="1:10" x14ac:dyDescent="0.3">
      <c r="A48" s="83">
        <v>333459</v>
      </c>
      <c r="B48" s="83" t="s">
        <v>767</v>
      </c>
      <c r="C48" s="84">
        <v>20</v>
      </c>
      <c r="D48" s="263">
        <f>IFERROR(VLOOKUP(A48,[1]Sheet1!$A:$D,4,FALSE),0)</f>
        <v>0</v>
      </c>
      <c r="E48" s="265" t="str">
        <f>IF(D48&gt;0,IFERROR(VLOOKUP($A48,[1]Sheet1!$A:$J,10,FALSE),0),"없음")</f>
        <v>없음</v>
      </c>
      <c r="F48" s="263">
        <f>IFERROR(VLOOKUP(A48,[2]Sheet1!$A:$F,6,FALSE),0)</f>
        <v>0</v>
      </c>
      <c r="G48" s="265" t="str">
        <f>IF(F48&gt;0,IFERROR(VLOOKUP($A48,[1]Sheet1!$A:$L,12,FALSE),0),"없음")</f>
        <v>없음</v>
      </c>
      <c r="J48">
        <f t="shared" si="0"/>
        <v>0</v>
      </c>
    </row>
    <row r="49" spans="1:10" x14ac:dyDescent="0.3">
      <c r="A49" s="81">
        <v>323298</v>
      </c>
      <c r="B49" s="81" t="s">
        <v>85</v>
      </c>
      <c r="C49" s="82">
        <v>3</v>
      </c>
      <c r="D49" s="263">
        <f>IFERROR(VLOOKUP(A49,[1]Sheet1!$A:$D,4,FALSE),0)</f>
        <v>0</v>
      </c>
      <c r="E49" s="265" t="str">
        <f>IF(D49&gt;0,IFERROR(VLOOKUP($A49,[1]Sheet1!$A:$J,10,FALSE),0),"없음")</f>
        <v>없음</v>
      </c>
      <c r="F49" s="263">
        <f>IFERROR(VLOOKUP(A49,[2]Sheet1!$A:$F,6,FALSE),0)</f>
        <v>0</v>
      </c>
      <c r="G49" s="265" t="str">
        <f>IF(F49&gt;0,IFERROR(VLOOKUP($A49,[1]Sheet1!$A:$L,12,FALSE),0),"없음")</f>
        <v>없음</v>
      </c>
      <c r="J49">
        <f t="shared" si="0"/>
        <v>0</v>
      </c>
    </row>
    <row r="50" spans="1:10" x14ac:dyDescent="0.3">
      <c r="A50" s="81">
        <v>323299</v>
      </c>
      <c r="B50" s="81" t="s">
        <v>86</v>
      </c>
      <c r="C50" s="82">
        <v>3</v>
      </c>
      <c r="D50" s="263">
        <f>IFERROR(VLOOKUP(A50,[1]Sheet1!$A:$D,4,FALSE),0)</f>
        <v>0</v>
      </c>
      <c r="E50" s="265" t="str">
        <f>IF(D50&gt;0,IFERROR(VLOOKUP($A50,[1]Sheet1!$A:$J,10,FALSE),0),"없음")</f>
        <v>없음</v>
      </c>
      <c r="F50" s="263">
        <f>IFERROR(VLOOKUP(A50,[2]Sheet1!$A:$F,6,FALSE),0)</f>
        <v>0</v>
      </c>
      <c r="G50" s="265" t="str">
        <f>IF(F50&gt;0,IFERROR(VLOOKUP($A50,[1]Sheet1!$A:$L,12,FALSE),0),"없음")</f>
        <v>없음</v>
      </c>
      <c r="J50">
        <f t="shared" si="0"/>
        <v>0</v>
      </c>
    </row>
    <row r="51" spans="1:10" x14ac:dyDescent="0.3">
      <c r="A51" s="81">
        <v>320193</v>
      </c>
      <c r="B51" s="81" t="s">
        <v>49</v>
      </c>
      <c r="C51" s="82">
        <v>10</v>
      </c>
      <c r="D51" s="263">
        <v>0</v>
      </c>
      <c r="E51" s="265" t="str">
        <f>IF(D51&gt;0,IFERROR(VLOOKUP($A51,[1]Sheet1!$A:$J,10,FALSE),0),"없음")</f>
        <v>없음</v>
      </c>
      <c r="F51" s="263">
        <f>IFERROR(VLOOKUP(A51,[2]Sheet1!$A:$F,6,FALSE),0)</f>
        <v>0</v>
      </c>
      <c r="G51" s="265" t="str">
        <f>IF(F51&gt;0,IFERROR(VLOOKUP($A51,[1]Sheet1!$A:$L,12,FALSE),0),"없음")</f>
        <v>없음</v>
      </c>
      <c r="J51">
        <f t="shared" si="0"/>
        <v>0</v>
      </c>
    </row>
    <row r="52" spans="1:10" x14ac:dyDescent="0.3">
      <c r="A52" s="81">
        <v>325062</v>
      </c>
      <c r="B52" s="81" t="s">
        <v>50</v>
      </c>
      <c r="C52" s="82">
        <v>10</v>
      </c>
      <c r="D52" s="263">
        <f>IFERROR(VLOOKUP(A52,[1]Sheet1!$A:$D,4,FALSE),0)</f>
        <v>70</v>
      </c>
      <c r="E52" s="265">
        <f>IF(D52&gt;0,IFERROR(VLOOKUP($A52,[1]Sheet1!$A:$J,10,FALSE),0),"없음")</f>
        <v>45990</v>
      </c>
      <c r="F52" s="263">
        <f>IFERROR(VLOOKUP(A52,[2]Sheet1!$A:$F,6,FALSE),0)</f>
        <v>0</v>
      </c>
      <c r="G52" s="265" t="str">
        <f>IF(F52&gt;0,IFERROR(VLOOKUP($A52,[1]Sheet1!$A:$L,12,FALSE),0),"없음")</f>
        <v>없음</v>
      </c>
      <c r="J52">
        <f t="shared" si="0"/>
        <v>70</v>
      </c>
    </row>
    <row r="53" spans="1:10" x14ac:dyDescent="0.3">
      <c r="A53" s="331" t="s">
        <v>378</v>
      </c>
      <c r="B53" s="81" t="s">
        <v>234</v>
      </c>
      <c r="C53" s="84">
        <v>68</v>
      </c>
      <c r="D53" s="263">
        <f>IFERROR(VLOOKUP(A53,[1]Sheet1!$A:$D,4,FALSE),0)</f>
        <v>4.42</v>
      </c>
      <c r="E53" s="265">
        <f>IF(D53&gt;0,IFERROR(VLOOKUP($A53,[1]Sheet1!$A:$J,10,FALSE),0),"없음")</f>
        <v>45897</v>
      </c>
      <c r="F53" s="263">
        <f>IFERROR(VLOOKUP(A53,[2]Sheet1!$A:$F,6,FALSE),0)</f>
        <v>0</v>
      </c>
      <c r="G53" s="265" t="str">
        <f>IF(F53&gt;0,IFERROR(VLOOKUP($A53,[1]Sheet1!$A:$L,12,FALSE),0),"없음")</f>
        <v>없음</v>
      </c>
      <c r="J53">
        <f t="shared" si="0"/>
        <v>4.42</v>
      </c>
    </row>
    <row r="54" spans="1:10" x14ac:dyDescent="0.3">
      <c r="A54" s="331" t="s">
        <v>375</v>
      </c>
      <c r="B54" s="81" t="s">
        <v>229</v>
      </c>
      <c r="C54" s="84">
        <v>25</v>
      </c>
      <c r="D54" s="263">
        <f>IFERROR(VLOOKUP(A54,[1]Sheet1!$A:$D,4,FALSE),0)</f>
        <v>20.8</v>
      </c>
      <c r="E54" s="265">
        <f>IF(D54&gt;0,IFERROR(VLOOKUP($A54,[1]Sheet1!$A:$J,10,FALSE),0),"없음")</f>
        <v>45868</v>
      </c>
      <c r="F54" s="263">
        <f>IFERROR(VLOOKUP(A54,[2]Sheet1!$A:$F,6,FALSE),0)</f>
        <v>0</v>
      </c>
      <c r="G54" s="265" t="str">
        <f>IF(F54&gt;0,IFERROR(VLOOKUP($A54,[1]Sheet1!$A:$L,12,FALSE),0),"없음")</f>
        <v>없음</v>
      </c>
      <c r="J54">
        <f t="shared" si="0"/>
        <v>20.8</v>
      </c>
    </row>
    <row r="55" spans="1:10" x14ac:dyDescent="0.3">
      <c r="A55" s="331" t="s">
        <v>876</v>
      </c>
      <c r="B55" s="81" t="s">
        <v>877</v>
      </c>
      <c r="C55" s="84">
        <v>20</v>
      </c>
      <c r="D55" s="263">
        <f>IFERROR(VLOOKUP(A55,[1]Sheet1!$A:$D,4,FALSE),0)</f>
        <v>14.06</v>
      </c>
      <c r="E55" s="265">
        <f>IF(D55&gt;0,IFERROR(VLOOKUP($A55,[1]Sheet1!$A:$J,10,FALSE),0),"없음")</f>
        <v>0</v>
      </c>
      <c r="F55" s="263">
        <f>IFERROR(VLOOKUP(A55,[2]Sheet1!$A:$F,6,FALSE),0)</f>
        <v>0</v>
      </c>
      <c r="G55" s="265" t="str">
        <f>IF(F55&gt;0,IFERROR(VLOOKUP($A55,[1]Sheet1!$A:$L,12,FALSE),0),"없음")</f>
        <v>없음</v>
      </c>
      <c r="J55">
        <f t="shared" si="0"/>
        <v>14.06</v>
      </c>
    </row>
    <row r="56" spans="1:10" x14ac:dyDescent="0.3">
      <c r="A56" s="331" t="s">
        <v>420</v>
      </c>
      <c r="B56" s="81" t="s">
        <v>308</v>
      </c>
      <c r="C56" s="84">
        <v>0.45</v>
      </c>
      <c r="D56" s="263">
        <f>IFERROR(VLOOKUP(A56,[1]Sheet1!$A:$D,4,FALSE),0)</f>
        <v>0.9</v>
      </c>
      <c r="E56" s="265">
        <f>IF(D56&gt;0,IFERROR(VLOOKUP($A56,[1]Sheet1!$A:$J,10,FALSE),0),"없음")</f>
        <v>45827</v>
      </c>
      <c r="F56" s="263">
        <f>IFERROR(VLOOKUP(A56,[2]Sheet1!$A:$F,6,FALSE),0)</f>
        <v>0</v>
      </c>
      <c r="G56" s="265" t="str">
        <f>IF(F56&gt;0,IFERROR(VLOOKUP($A56,[1]Sheet1!$A:$L,12,FALSE),0),"없음")</f>
        <v>없음</v>
      </c>
      <c r="J56">
        <f t="shared" si="0"/>
        <v>0.9</v>
      </c>
    </row>
    <row r="57" spans="1:10" x14ac:dyDescent="0.3">
      <c r="A57" s="331" t="s">
        <v>398</v>
      </c>
      <c r="B57" s="81" t="s">
        <v>277</v>
      </c>
      <c r="C57" s="84">
        <v>13</v>
      </c>
      <c r="D57" s="263">
        <f>IFERROR(VLOOKUP(A57,[1]Sheet1!$A:$D,4,FALSE),0)</f>
        <v>13</v>
      </c>
      <c r="E57" s="265">
        <f>IF(D57&gt;0,IFERROR(VLOOKUP($A57,[1]Sheet1!$A:$J,10,FALSE),0),"없음")</f>
        <v>46098</v>
      </c>
      <c r="F57" s="263">
        <f>IFERROR(VLOOKUP(A57,[2]Sheet1!$A:$F,6,FALSE),0)</f>
        <v>0</v>
      </c>
      <c r="G57" s="265" t="str">
        <f>IF(F57&gt;0,IFERROR(VLOOKUP($A57,[1]Sheet1!$A:$L,12,FALSE),0),"없음")</f>
        <v>없음</v>
      </c>
      <c r="J57">
        <f t="shared" si="0"/>
        <v>13</v>
      </c>
    </row>
    <row r="58" spans="1:10" x14ac:dyDescent="0.3">
      <c r="A58" s="331" t="s">
        <v>368</v>
      </c>
      <c r="B58" s="81" t="s">
        <v>878</v>
      </c>
      <c r="C58" s="84">
        <v>25</v>
      </c>
      <c r="D58" s="263">
        <f>IFERROR(VLOOKUP(A58,[1]Sheet1!$A:$D,4,FALSE),0)</f>
        <v>42.21</v>
      </c>
      <c r="E58" s="265">
        <f>IF(D58&gt;0,IFERROR(VLOOKUP($A58,[1]Sheet1!$A:$J,10,FALSE),0),"없음")</f>
        <v>45888</v>
      </c>
      <c r="F58" s="263">
        <f>IFERROR(VLOOKUP(A58,[2]Sheet1!$A:$F,6,FALSE),0)</f>
        <v>24.72</v>
      </c>
      <c r="G58" s="265">
        <f>IF(F58&gt;0,IFERROR(VLOOKUP($A58,[1]Sheet1!$A:$L,12,FALSE),0),"없음")</f>
        <v>46228</v>
      </c>
      <c r="J58">
        <f t="shared" si="0"/>
        <v>66.930000000000007</v>
      </c>
    </row>
    <row r="59" spans="1:10" x14ac:dyDescent="0.3">
      <c r="A59" s="331" t="s">
        <v>424</v>
      </c>
      <c r="B59" s="81" t="s">
        <v>312</v>
      </c>
      <c r="C59" s="84">
        <v>20</v>
      </c>
      <c r="D59" s="263">
        <f>IFERROR(VLOOKUP(A59,[1]Sheet1!$A:$D,4,FALSE),0)</f>
        <v>16.88</v>
      </c>
      <c r="E59" s="265">
        <f>IF(D59&gt;0,IFERROR(VLOOKUP($A59,[1]Sheet1!$A:$J,10,FALSE),0),"없음")</f>
        <v>46527</v>
      </c>
      <c r="F59" s="263">
        <f>IFERROR(VLOOKUP(A59,[2]Sheet1!$A:$F,6,FALSE),0)</f>
        <v>0</v>
      </c>
      <c r="G59" s="265" t="str">
        <f>IF(F59&gt;0,IFERROR(VLOOKUP($A59,[1]Sheet1!$A:$L,12,FALSE),0),"없음")</f>
        <v>없음</v>
      </c>
      <c r="J59">
        <f t="shared" si="0"/>
        <v>16.88</v>
      </c>
    </row>
    <row r="60" spans="1:10" x14ac:dyDescent="0.3">
      <c r="A60" s="332" t="s">
        <v>388</v>
      </c>
      <c r="B60" s="83" t="s">
        <v>879</v>
      </c>
      <c r="C60" s="84">
        <v>20</v>
      </c>
      <c r="D60" s="263">
        <f>IFERROR(VLOOKUP(A60,[1]Sheet1!$A:$D,4,FALSE),0)</f>
        <v>19.63</v>
      </c>
      <c r="E60" s="265">
        <f>IF(D60&gt;0,IFERROR(VLOOKUP($A60,[1]Sheet1!$A:$J,10,FALSE),0),"없음")</f>
        <v>46660</v>
      </c>
      <c r="F60" s="263">
        <f>IFERROR(VLOOKUP(A60,[2]Sheet1!$A:$F,6,FALSE),0)</f>
        <v>0</v>
      </c>
      <c r="G60" s="265" t="str">
        <f>IF(F60&gt;0,IFERROR(VLOOKUP($A60,[1]Sheet1!$A:$L,12,FALSE),0),"없음")</f>
        <v>없음</v>
      </c>
      <c r="J60">
        <f t="shared" si="0"/>
        <v>19.63</v>
      </c>
    </row>
    <row r="61" spans="1:10" x14ac:dyDescent="0.3">
      <c r="A61" s="83">
        <v>199175</v>
      </c>
      <c r="B61" s="83" t="s">
        <v>233</v>
      </c>
      <c r="C61" s="84">
        <v>0.45</v>
      </c>
      <c r="D61" s="263">
        <f>IFERROR(VLOOKUP(A61,[1]Sheet1!$A:$D,4,FALSE),0)</f>
        <v>0</v>
      </c>
      <c r="E61" s="265" t="str">
        <f>IF(D61&gt;0,IFERROR(VLOOKUP($A61,[1]Sheet1!$A:$J,10,FALSE),0),"없음")</f>
        <v>없음</v>
      </c>
      <c r="F61" s="263">
        <f>IFERROR(VLOOKUP(A61,[2]Sheet1!$A:$F,6,FALSE),0)</f>
        <v>0</v>
      </c>
      <c r="G61" s="265" t="str">
        <f>IF(F61&gt;0,IFERROR(VLOOKUP($A61,[1]Sheet1!$A:$L,12,FALSE),0),"없음")</f>
        <v>없음</v>
      </c>
      <c r="J61">
        <f t="shared" si="0"/>
        <v>0</v>
      </c>
    </row>
    <row r="62" spans="1:10" x14ac:dyDescent="0.3">
      <c r="A62" s="83" t="s">
        <v>352</v>
      </c>
      <c r="B62" s="83" t="s">
        <v>186</v>
      </c>
      <c r="C62" s="84">
        <v>0.25</v>
      </c>
      <c r="D62" s="263">
        <f>IFERROR(VLOOKUP(A62,[1]Sheet1!$A:$D,4,FALSE),0)</f>
        <v>0.87</v>
      </c>
      <c r="E62" s="265">
        <f>IF(D62&gt;0,IFERROR(VLOOKUP($A62,[1]Sheet1!$A:$J,10,FALSE),0),"없음")</f>
        <v>46066</v>
      </c>
      <c r="F62" s="263">
        <f>IFERROR(VLOOKUP(A62,[2]Sheet1!$A:$F,6,FALSE),0)</f>
        <v>0</v>
      </c>
      <c r="G62" s="265" t="str">
        <f>IF(F62&gt;0,IFERROR(VLOOKUP($A62,[1]Sheet1!$A:$L,12,FALSE),0),"없음")</f>
        <v>없음</v>
      </c>
      <c r="J62">
        <f t="shared" si="0"/>
        <v>0.87</v>
      </c>
    </row>
    <row r="63" spans="1:10" x14ac:dyDescent="0.3">
      <c r="A63" s="83" t="s">
        <v>353</v>
      </c>
      <c r="B63" s="83" t="s">
        <v>187</v>
      </c>
      <c r="C63" s="84" t="s">
        <v>882</v>
      </c>
      <c r="D63" s="263">
        <f>IFERROR(VLOOKUP(A63,[1]Sheet1!$A:$D,4,FALSE),0)</f>
        <v>4.04</v>
      </c>
      <c r="E63" s="265">
        <f>IF(D63&gt;0,IFERROR(VLOOKUP($A63,[1]Sheet1!$A:$J,10,FALSE),0),"없음")</f>
        <v>46075</v>
      </c>
      <c r="F63" s="263">
        <f>IFERROR(VLOOKUP(A63,[2]Sheet1!$A:$F,6,FALSE),0)</f>
        <v>0</v>
      </c>
      <c r="G63" s="265" t="str">
        <f>IF(F63&gt;0,IFERROR(VLOOKUP($A63,[1]Sheet1!$A:$L,12,FALSE),0),"없음")</f>
        <v>없음</v>
      </c>
      <c r="J63">
        <f t="shared" si="0"/>
        <v>4.04</v>
      </c>
    </row>
    <row r="64" spans="1:10" x14ac:dyDescent="0.3">
      <c r="A64" s="80">
        <v>1205369</v>
      </c>
      <c r="B64" s="80" t="s">
        <v>97</v>
      </c>
      <c r="C64" s="80"/>
      <c r="D64" s="263"/>
      <c r="J64">
        <f t="shared" si="0"/>
        <v>0</v>
      </c>
    </row>
    <row r="65" spans="1:10" x14ac:dyDescent="0.3">
      <c r="A65" s="80">
        <v>1205370</v>
      </c>
      <c r="B65" s="80" t="s">
        <v>98</v>
      </c>
      <c r="C65" s="80"/>
      <c r="D65" s="263"/>
      <c r="J65">
        <f t="shared" si="0"/>
        <v>0</v>
      </c>
    </row>
    <row r="66" spans="1:10" x14ac:dyDescent="0.3">
      <c r="A66" s="80">
        <v>1205371</v>
      </c>
      <c r="B66" s="80" t="s">
        <v>99</v>
      </c>
      <c r="C66" s="80"/>
      <c r="D66" s="263"/>
      <c r="J66">
        <f t="shared" si="0"/>
        <v>0</v>
      </c>
    </row>
    <row r="67" spans="1:10" x14ac:dyDescent="0.3">
      <c r="A67" s="80">
        <v>1205372</v>
      </c>
      <c r="B67" s="80" t="s">
        <v>100</v>
      </c>
      <c r="C67" s="80"/>
      <c r="D67" s="263"/>
      <c r="J67">
        <f t="shared" ref="J67:J82" si="1">+D67+F67</f>
        <v>0</v>
      </c>
    </row>
    <row r="68" spans="1:10" x14ac:dyDescent="0.3">
      <c r="A68" s="80">
        <v>1205373</v>
      </c>
      <c r="B68" s="80" t="s">
        <v>101</v>
      </c>
      <c r="C68" s="80"/>
      <c r="D68" s="263"/>
      <c r="J68">
        <f t="shared" si="1"/>
        <v>0</v>
      </c>
    </row>
    <row r="69" spans="1:10" x14ac:dyDescent="0.3">
      <c r="A69" s="80">
        <v>1205374</v>
      </c>
      <c r="B69" s="80" t="s">
        <v>102</v>
      </c>
      <c r="C69" s="80"/>
      <c r="D69" s="263"/>
      <c r="J69">
        <f t="shared" si="1"/>
        <v>0</v>
      </c>
    </row>
    <row r="70" spans="1:10" x14ac:dyDescent="0.3">
      <c r="A70" s="80">
        <v>1205375</v>
      </c>
      <c r="B70" s="80" t="s">
        <v>103</v>
      </c>
      <c r="C70" s="80"/>
      <c r="D70" s="263"/>
      <c r="J70">
        <f t="shared" si="1"/>
        <v>0</v>
      </c>
    </row>
    <row r="71" spans="1:10" x14ac:dyDescent="0.3">
      <c r="A71" s="80">
        <v>1203997</v>
      </c>
      <c r="B71" s="80" t="s">
        <v>104</v>
      </c>
      <c r="C71" s="80"/>
      <c r="D71" s="263"/>
      <c r="J71">
        <f t="shared" si="1"/>
        <v>0</v>
      </c>
    </row>
    <row r="72" spans="1:10" x14ac:dyDescent="0.3">
      <c r="A72" s="80">
        <v>3104596</v>
      </c>
      <c r="B72" s="80" t="s">
        <v>105</v>
      </c>
      <c r="C72" s="80"/>
      <c r="D72" s="263"/>
      <c r="J72">
        <f t="shared" si="1"/>
        <v>0</v>
      </c>
    </row>
    <row r="73" spans="1:10" x14ac:dyDescent="0.3">
      <c r="A73" s="80">
        <v>3104597</v>
      </c>
      <c r="B73" s="80" t="s">
        <v>106</v>
      </c>
      <c r="C73" s="80"/>
      <c r="D73" s="263"/>
      <c r="J73">
        <f t="shared" si="1"/>
        <v>0</v>
      </c>
    </row>
    <row r="74" spans="1:10" x14ac:dyDescent="0.3">
      <c r="A74" s="104">
        <v>253602</v>
      </c>
      <c r="B74" s="104" t="s">
        <v>108</v>
      </c>
      <c r="C74" s="104"/>
      <c r="D74" s="263"/>
      <c r="J74">
        <f t="shared" si="1"/>
        <v>0</v>
      </c>
    </row>
    <row r="75" spans="1:10" x14ac:dyDescent="0.3">
      <c r="A75" s="105">
        <v>253603</v>
      </c>
      <c r="B75" s="105" t="s">
        <v>107</v>
      </c>
      <c r="C75" s="105"/>
      <c r="D75" s="263"/>
      <c r="J75">
        <f t="shared" si="1"/>
        <v>0</v>
      </c>
    </row>
    <row r="76" spans="1:10" x14ac:dyDescent="0.3">
      <c r="A76" s="101">
        <v>326082</v>
      </c>
      <c r="B76" s="101" t="s">
        <v>109</v>
      </c>
      <c r="C76" s="101"/>
      <c r="D76" s="263"/>
      <c r="J76">
        <f t="shared" si="1"/>
        <v>0</v>
      </c>
    </row>
    <row r="77" spans="1:10" x14ac:dyDescent="0.3">
      <c r="A77" s="80">
        <v>326106</v>
      </c>
      <c r="B77" s="80" t="s">
        <v>110</v>
      </c>
      <c r="C77" s="80"/>
      <c r="D77" s="263"/>
      <c r="J77">
        <f t="shared" si="1"/>
        <v>0</v>
      </c>
    </row>
    <row r="78" spans="1:10" x14ac:dyDescent="0.3">
      <c r="A78" s="80">
        <v>326580</v>
      </c>
      <c r="B78" s="80" t="s">
        <v>133</v>
      </c>
      <c r="C78" s="80"/>
      <c r="D78" s="263"/>
      <c r="J78">
        <f t="shared" si="1"/>
        <v>0</v>
      </c>
    </row>
    <row r="79" spans="1:10" x14ac:dyDescent="0.3">
      <c r="A79" s="80">
        <v>326581</v>
      </c>
      <c r="B79" s="80" t="s">
        <v>132</v>
      </c>
      <c r="C79" s="80"/>
      <c r="D79" s="263"/>
      <c r="J79">
        <f t="shared" si="1"/>
        <v>0</v>
      </c>
    </row>
    <row r="80" spans="1:10" x14ac:dyDescent="0.3">
      <c r="A80" s="80">
        <v>333771</v>
      </c>
      <c r="B80" s="80" t="s">
        <v>111</v>
      </c>
      <c r="C80" s="80"/>
      <c r="D80" s="263"/>
      <c r="J80">
        <f t="shared" si="1"/>
        <v>0</v>
      </c>
    </row>
    <row r="81" spans="1:10" x14ac:dyDescent="0.3">
      <c r="A81" s="80">
        <v>332496</v>
      </c>
      <c r="B81" s="80" t="s">
        <v>120</v>
      </c>
      <c r="C81" s="80"/>
      <c r="D81" s="263"/>
      <c r="J81">
        <f t="shared" si="1"/>
        <v>0</v>
      </c>
    </row>
    <row r="82" spans="1:10" x14ac:dyDescent="0.3">
      <c r="A82" s="80">
        <v>332511</v>
      </c>
      <c r="B82" s="80" t="s">
        <v>112</v>
      </c>
      <c r="C82" s="80"/>
      <c r="D82" s="263"/>
      <c r="J82">
        <f t="shared" si="1"/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36"/>
  <sheetViews>
    <sheetView topLeftCell="A3" zoomScaleNormal="100" zoomScaleSheetLayoutView="100" workbookViewId="0">
      <selection activeCell="C14" sqref="C14"/>
    </sheetView>
  </sheetViews>
  <sheetFormatPr defaultRowHeight="16.5" x14ac:dyDescent="0.3"/>
  <cols>
    <col min="2" max="2" width="6.75" bestFit="1" customWidth="1"/>
    <col min="3" max="3" width="33.75" customWidth="1"/>
    <col min="4" max="5" width="9.875" customWidth="1"/>
    <col min="6" max="6" width="9.75" customWidth="1"/>
    <col min="7" max="7" width="9.875" customWidth="1"/>
    <col min="8" max="10" width="9.5" customWidth="1"/>
    <col min="11" max="11" width="10" customWidth="1"/>
    <col min="12" max="13" width="9.5" customWidth="1"/>
    <col min="14" max="14" width="9.5" style="223" customWidth="1"/>
    <col min="15" max="15" width="9.5" style="96" customWidth="1"/>
    <col min="17" max="17" width="9.125" customWidth="1"/>
    <col min="19" max="19" width="33.875" customWidth="1"/>
  </cols>
  <sheetData>
    <row r="2" spans="2:19" x14ac:dyDescent="0.3">
      <c r="F2" s="341"/>
      <c r="G2" s="117"/>
      <c r="H2" s="342"/>
    </row>
    <row r="5" spans="2:19" x14ac:dyDescent="0.3">
      <c r="B5" s="235" t="s">
        <v>758</v>
      </c>
      <c r="C5" s="235" t="s">
        <v>1</v>
      </c>
      <c r="D5" s="227" t="s">
        <v>780</v>
      </c>
      <c r="E5" s="228" t="s">
        <v>43</v>
      </c>
      <c r="F5" s="228" t="s">
        <v>130</v>
      </c>
      <c r="G5" s="232" t="s">
        <v>45</v>
      </c>
      <c r="H5" s="235" t="s">
        <v>29</v>
      </c>
      <c r="I5" s="236" t="s">
        <v>482</v>
      </c>
      <c r="J5" s="237" t="s">
        <v>2</v>
      </c>
      <c r="K5" s="236" t="s">
        <v>481</v>
      </c>
      <c r="L5" s="224" t="s">
        <v>759</v>
      </c>
      <c r="M5" s="225" t="s">
        <v>41</v>
      </c>
      <c r="N5" s="226" t="s">
        <v>31</v>
      </c>
      <c r="O5" s="229" t="s">
        <v>32</v>
      </c>
      <c r="Q5" s="224" t="s">
        <v>760</v>
      </c>
      <c r="R5" s="224" t="s">
        <v>761</v>
      </c>
      <c r="S5" s="224" t="s">
        <v>762</v>
      </c>
    </row>
    <row r="6" spans="2:19" x14ac:dyDescent="0.3">
      <c r="B6" s="222">
        <v>325230</v>
      </c>
      <c r="C6" s="222" t="s">
        <v>6</v>
      </c>
      <c r="D6" s="230" t="str">
        <f ca="1">+완제품!S8</f>
        <v>X</v>
      </c>
      <c r="E6" s="230" t="str">
        <f ca="1">+완제품!T8</f>
        <v>C</v>
      </c>
      <c r="F6" s="329">
        <f>+완제품!U8</f>
        <v>3</v>
      </c>
      <c r="G6" s="233" t="str">
        <f ca="1">IF(AND(D6="X",E6="C",F6&gt;4),"단산검토",IF(AND(D6="X",E6="C"),"소진계획필요","판매활성화"))</f>
        <v>소진계획필요</v>
      </c>
      <c r="H6" s="238">
        <f>+완제품!D8</f>
        <v>0.5</v>
      </c>
      <c r="I6" s="239">
        <f>+완제품!E8</f>
        <v>4800</v>
      </c>
      <c r="J6" s="240">
        <f>+완제품!F8</f>
        <v>1526</v>
      </c>
      <c r="K6" s="239">
        <f>+완제품!G8</f>
        <v>7324800</v>
      </c>
      <c r="L6" s="240">
        <f>+완제품!H8</f>
        <v>141.38709677419354</v>
      </c>
      <c r="M6" s="241">
        <f>+완제품!I8</f>
        <v>10.793064111339266</v>
      </c>
      <c r="N6" s="242">
        <f ca="1">+완제품!J8</f>
        <v>46126.791923340177</v>
      </c>
      <c r="O6" s="50">
        <f>+완제품!K8</f>
        <v>45924</v>
      </c>
      <c r="Q6" s="240">
        <f>IFERROR(VLOOKUP(B6,출고량!A:C,3,FALSE),0)</f>
        <v>141</v>
      </c>
      <c r="R6" s="261">
        <f t="shared" ref="R6:R30" si="0">IFERROR((L6-Q6)/Q6,0)</f>
        <v>2.7453671928619671E-3</v>
      </c>
      <c r="S6" s="240"/>
    </row>
    <row r="7" spans="2:19" x14ac:dyDescent="0.3">
      <c r="B7" s="222">
        <v>259276</v>
      </c>
      <c r="C7" s="222" t="s">
        <v>7</v>
      </c>
      <c r="D7" s="230" t="str">
        <f ca="1">+완제품!S9</f>
        <v>O</v>
      </c>
      <c r="E7" s="230" t="str">
        <f ca="1">+완제품!T9</f>
        <v>B</v>
      </c>
      <c r="F7" s="329">
        <f>+완제품!U9</f>
        <v>0</v>
      </c>
      <c r="G7" s="233" t="str">
        <f t="shared" ref="G7:G30" ca="1" si="1">IF(AND(D7="X",E7="C",F7&gt;4),"단산검토",IF(AND(D7="X",E7="C"),"소진계획필요","판매활성화"))</f>
        <v>판매활성화</v>
      </c>
      <c r="H7" s="238">
        <f>+완제품!D9</f>
        <v>1.05</v>
      </c>
      <c r="I7" s="239">
        <f>+완제품!E9</f>
        <v>11568</v>
      </c>
      <c r="J7" s="240">
        <f>+완제품!F9</f>
        <v>3868</v>
      </c>
      <c r="K7" s="239">
        <f>+완제품!G9</f>
        <v>44745024</v>
      </c>
      <c r="L7" s="240">
        <f>+완제품!H9</f>
        <v>2803.0645161290322</v>
      </c>
      <c r="M7" s="241">
        <f>+완제품!I9</f>
        <v>1.3799182921917257</v>
      </c>
      <c r="N7" s="242">
        <f ca="1">+완제품!J9</f>
        <v>45844.397548765752</v>
      </c>
      <c r="O7" s="50">
        <f>+완제품!K9</f>
        <v>46032</v>
      </c>
      <c r="Q7" s="240">
        <f>IFERROR(VLOOKUP(B7,출고량!A:C,3,FALSE),0)</f>
        <v>2581</v>
      </c>
      <c r="R7" s="261">
        <f t="shared" si="0"/>
        <v>8.6038169751659122E-2</v>
      </c>
      <c r="S7" s="240"/>
    </row>
    <row r="8" spans="2:19" x14ac:dyDescent="0.3">
      <c r="B8" s="222">
        <v>321731</v>
      </c>
      <c r="C8" s="222" t="s">
        <v>8</v>
      </c>
      <c r="D8" s="230">
        <f>+완제품!S10</f>
        <v>0</v>
      </c>
      <c r="E8" s="230" t="str">
        <f>+완제품!T10</f>
        <v>-</v>
      </c>
      <c r="F8" s="329">
        <f>+완제품!U10</f>
        <v>5</v>
      </c>
      <c r="G8" s="233" t="str">
        <f t="shared" si="1"/>
        <v>판매활성화</v>
      </c>
      <c r="H8" s="238">
        <f>+완제품!D10</f>
        <v>1.05</v>
      </c>
      <c r="I8" s="239">
        <f>+완제품!E10</f>
        <v>0</v>
      </c>
      <c r="J8" s="240">
        <f>+완제품!F10</f>
        <v>0</v>
      </c>
      <c r="K8" s="239">
        <f>+완제품!G10</f>
        <v>0</v>
      </c>
      <c r="L8" s="240">
        <f>+완제품!H10</f>
        <v>0</v>
      </c>
      <c r="M8" s="241">
        <f>+완제품!I10</f>
        <v>0</v>
      </c>
      <c r="N8" s="242" t="str">
        <f>+완제품!J10</f>
        <v>재고없음</v>
      </c>
      <c r="O8" s="50" t="str">
        <f>+완제품!K10</f>
        <v>재고없음</v>
      </c>
      <c r="Q8" s="240">
        <f>IFERROR(VLOOKUP(B8,출고량!A:C,3,FALSE),0)</f>
        <v>0</v>
      </c>
      <c r="R8" s="261">
        <f t="shared" si="0"/>
        <v>0</v>
      </c>
      <c r="S8" s="240"/>
    </row>
    <row r="9" spans="2:19" x14ac:dyDescent="0.3">
      <c r="B9" s="222">
        <v>326323</v>
      </c>
      <c r="C9" s="222" t="s">
        <v>9</v>
      </c>
      <c r="D9" s="230">
        <f>+완제품!S11</f>
        <v>0</v>
      </c>
      <c r="E9" s="230" t="str">
        <f>+완제품!T11</f>
        <v>-</v>
      </c>
      <c r="F9" s="329">
        <f>+완제품!U11</f>
        <v>3</v>
      </c>
      <c r="G9" s="233" t="str">
        <f t="shared" si="1"/>
        <v>판매활성화</v>
      </c>
      <c r="H9" s="238">
        <f>+완제품!D11</f>
        <v>5</v>
      </c>
      <c r="I9" s="239">
        <f>+완제품!E11</f>
        <v>0</v>
      </c>
      <c r="J9" s="240">
        <f>+완제품!F11</f>
        <v>0</v>
      </c>
      <c r="K9" s="239">
        <f>+완제품!G11</f>
        <v>0</v>
      </c>
      <c r="L9" s="240">
        <f>+완제품!H11</f>
        <v>15.225806451612902</v>
      </c>
      <c r="M9" s="241">
        <f>+완제품!I11</f>
        <v>0</v>
      </c>
      <c r="N9" s="242" t="str">
        <f>+완제품!J11</f>
        <v>재고없음</v>
      </c>
      <c r="O9" s="50" t="str">
        <f>+완제품!K11</f>
        <v>재고없음</v>
      </c>
      <c r="Q9" s="240">
        <f>IFERROR(VLOOKUP(B9,출고량!A:C,3,FALSE),0)</f>
        <v>59</v>
      </c>
      <c r="R9" s="261">
        <f t="shared" si="0"/>
        <v>-0.74193548387096775</v>
      </c>
      <c r="S9" s="240"/>
    </row>
    <row r="10" spans="2:19" x14ac:dyDescent="0.3">
      <c r="B10" s="222">
        <v>333524</v>
      </c>
      <c r="C10" s="222" t="s">
        <v>10</v>
      </c>
      <c r="D10" s="230" t="str">
        <f ca="1">+완제품!S12</f>
        <v>X</v>
      </c>
      <c r="E10" s="230" t="str">
        <f ca="1">+완제품!T12</f>
        <v>C</v>
      </c>
      <c r="F10" s="329">
        <f>+완제품!U12</f>
        <v>6</v>
      </c>
      <c r="G10" s="233" t="str">
        <f t="shared" ca="1" si="1"/>
        <v>단산검토</v>
      </c>
      <c r="H10" s="238">
        <f>+완제품!D12</f>
        <v>1</v>
      </c>
      <c r="I10" s="239">
        <f>+완제품!E12</f>
        <v>6883</v>
      </c>
      <c r="J10" s="240">
        <f>+완제품!F12</f>
        <v>1762</v>
      </c>
      <c r="K10" s="239">
        <f>+완제품!G12</f>
        <v>12127846</v>
      </c>
      <c r="L10" s="240">
        <f>+완제품!H12</f>
        <v>74.41935483870968</v>
      </c>
      <c r="M10" s="241">
        <f>+완제품!I12</f>
        <v>23.676636324230603</v>
      </c>
      <c r="N10" s="242">
        <f ca="1">+완제품!J12</f>
        <v>46513.299089726919</v>
      </c>
      <c r="O10" s="50">
        <f>+완제품!K12</f>
        <v>45878</v>
      </c>
      <c r="Q10" s="240">
        <f>IFERROR(VLOOKUP(B10,출고량!A:C,3,FALSE),0)</f>
        <v>114</v>
      </c>
      <c r="R10" s="261">
        <f t="shared" si="0"/>
        <v>-0.34719864176570459</v>
      </c>
      <c r="S10" s="240"/>
    </row>
    <row r="11" spans="2:19" x14ac:dyDescent="0.3">
      <c r="B11" s="222">
        <v>314433</v>
      </c>
      <c r="C11" s="222" t="s">
        <v>147</v>
      </c>
      <c r="D11" s="230" t="str">
        <f ca="1">+완제품!S13</f>
        <v>O</v>
      </c>
      <c r="E11" s="230" t="str">
        <f ca="1">+완제품!T13</f>
        <v>B</v>
      </c>
      <c r="F11" s="329">
        <f>+완제품!U13</f>
        <v>0</v>
      </c>
      <c r="G11" s="233" t="str">
        <f t="shared" ca="1" si="1"/>
        <v>판매활성화</v>
      </c>
      <c r="H11" s="238">
        <f>+완제품!D13</f>
        <v>1</v>
      </c>
      <c r="I11" s="239">
        <f>+완제품!E13</f>
        <v>5609</v>
      </c>
      <c r="J11" s="240">
        <f>+완제품!F13</f>
        <v>738</v>
      </c>
      <c r="K11" s="239">
        <f>+완제품!G13</f>
        <v>4139442</v>
      </c>
      <c r="L11" s="240">
        <f>+완제품!H13</f>
        <v>332.83870967741939</v>
      </c>
      <c r="M11" s="241">
        <f>+완제품!I13</f>
        <v>2.217290172514053</v>
      </c>
      <c r="N11" s="242">
        <f ca="1">+완제품!J13</f>
        <v>45869.518705175418</v>
      </c>
      <c r="O11" s="50">
        <f>+완제품!K13</f>
        <v>46117</v>
      </c>
      <c r="Q11" s="240">
        <f>IFERROR(VLOOKUP(B11,출고량!A:C,3,FALSE),0)</f>
        <v>879</v>
      </c>
      <c r="R11" s="261">
        <f t="shared" si="0"/>
        <v>-0.62134390252853311</v>
      </c>
      <c r="S11" s="240"/>
    </row>
    <row r="12" spans="2:19" x14ac:dyDescent="0.3">
      <c r="B12" s="222">
        <v>317361</v>
      </c>
      <c r="C12" s="222" t="s">
        <v>146</v>
      </c>
      <c r="D12" s="230" t="str">
        <f ca="1">+완제품!S14</f>
        <v>O</v>
      </c>
      <c r="E12" s="230" t="str">
        <f ca="1">+완제품!T14</f>
        <v>B</v>
      </c>
      <c r="F12" s="329">
        <f>+완제품!U14</f>
        <v>0</v>
      </c>
      <c r="G12" s="233" t="str">
        <f t="shared" ca="1" si="1"/>
        <v>판매활성화</v>
      </c>
      <c r="H12" s="238">
        <f>+완제품!D14</f>
        <v>4</v>
      </c>
      <c r="I12" s="239">
        <f>+완제품!E14</f>
        <v>17230</v>
      </c>
      <c r="J12" s="240">
        <f>+완제품!F14</f>
        <v>157</v>
      </c>
      <c r="K12" s="239">
        <f>+완제품!G14</f>
        <v>2705110</v>
      </c>
      <c r="L12" s="240">
        <f>+완제품!H14</f>
        <v>129.74193548387098</v>
      </c>
      <c r="M12" s="241">
        <f>+완제품!I14</f>
        <v>1.2100944803580307</v>
      </c>
      <c r="N12" s="242">
        <f ca="1">+완제품!J14</f>
        <v>45839.302834410744</v>
      </c>
      <c r="O12" s="50">
        <f>+완제품!K14</f>
        <v>45997</v>
      </c>
      <c r="Q12" s="240">
        <f>IFERROR(VLOOKUP(B12,출고량!A:C,3,FALSE),0)</f>
        <v>216</v>
      </c>
      <c r="R12" s="261">
        <f t="shared" si="0"/>
        <v>-0.39934289127837513</v>
      </c>
      <c r="S12" s="240"/>
    </row>
    <row r="13" spans="2:19" x14ac:dyDescent="0.3">
      <c r="B13" s="222">
        <v>314432</v>
      </c>
      <c r="C13" s="222" t="s">
        <v>145</v>
      </c>
      <c r="D13" s="230">
        <f>+완제품!S15</f>
        <v>0</v>
      </c>
      <c r="E13" s="230" t="str">
        <f>+완제품!T15</f>
        <v>-</v>
      </c>
      <c r="F13" s="329">
        <f>+완제품!U15</f>
        <v>5</v>
      </c>
      <c r="G13" s="233" t="str">
        <f t="shared" si="1"/>
        <v>판매활성화</v>
      </c>
      <c r="H13" s="238">
        <f>+완제품!D15</f>
        <v>1.04</v>
      </c>
      <c r="I13" s="239">
        <f>+완제품!E15</f>
        <v>0</v>
      </c>
      <c r="J13" s="240">
        <f>+완제품!F15</f>
        <v>0</v>
      </c>
      <c r="K13" s="239">
        <f>+완제품!G15</f>
        <v>0</v>
      </c>
      <c r="L13" s="240">
        <f>+완제품!H15</f>
        <v>38.87096774193548</v>
      </c>
      <c r="M13" s="241">
        <f>+완제품!I15</f>
        <v>0</v>
      </c>
      <c r="N13" s="242" t="str">
        <f>+완제품!J15</f>
        <v>재고없음</v>
      </c>
      <c r="O13" s="50" t="str">
        <f>+완제품!K15</f>
        <v>재고없음</v>
      </c>
      <c r="Q13" s="240">
        <f>IFERROR(VLOOKUP(B13,출고량!A:C,3,FALSE),0)</f>
        <v>139</v>
      </c>
      <c r="R13" s="261">
        <f t="shared" si="0"/>
        <v>-0.72035275005801802</v>
      </c>
      <c r="S13" s="240"/>
    </row>
    <row r="14" spans="2:19" x14ac:dyDescent="0.3">
      <c r="B14" s="222">
        <v>321617</v>
      </c>
      <c r="C14" s="222" t="s">
        <v>11</v>
      </c>
      <c r="D14" s="230" t="str">
        <f ca="1">+완제품!S16</f>
        <v>O</v>
      </c>
      <c r="E14" s="230" t="str">
        <f ca="1">+완제품!T16</f>
        <v>A</v>
      </c>
      <c r="F14" s="329">
        <f>+완제품!U16</f>
        <v>0</v>
      </c>
      <c r="G14" s="233" t="str">
        <f t="shared" ca="1" si="1"/>
        <v>판매활성화</v>
      </c>
      <c r="H14" s="238">
        <f>+완제품!D16</f>
        <v>1.264</v>
      </c>
      <c r="I14" s="239">
        <f>+완제품!E16</f>
        <v>7209</v>
      </c>
      <c r="J14" s="240">
        <f>+완제품!F16</f>
        <v>447</v>
      </c>
      <c r="K14" s="239">
        <f>+완제품!G16</f>
        <v>3222423</v>
      </c>
      <c r="L14" s="240">
        <f>+완제품!H16</f>
        <v>948.25806451612902</v>
      </c>
      <c r="M14" s="241">
        <f>+완제품!I16</f>
        <v>0.47139066539665259</v>
      </c>
      <c r="N14" s="242">
        <f ca="1">+완제품!J16</f>
        <v>45817.141719961903</v>
      </c>
      <c r="O14" s="50">
        <f>+완제품!K16</f>
        <v>46097</v>
      </c>
      <c r="Q14" s="240">
        <f>IFERROR(VLOOKUP(B14,출고량!A:C,3,FALSE),0)</f>
        <v>838</v>
      </c>
      <c r="R14" s="261">
        <f t="shared" si="0"/>
        <v>0.1315728693509893</v>
      </c>
      <c r="S14" s="240"/>
    </row>
    <row r="15" spans="2:19" x14ac:dyDescent="0.3">
      <c r="B15" s="222">
        <v>334659</v>
      </c>
      <c r="C15" s="222" t="s">
        <v>12</v>
      </c>
      <c r="D15" s="230" t="str">
        <f ca="1">+완제품!S17</f>
        <v>X</v>
      </c>
      <c r="E15" s="230" t="str">
        <f ca="1">+완제품!T17</f>
        <v>C</v>
      </c>
      <c r="F15" s="329">
        <f>+완제품!U17</f>
        <v>4</v>
      </c>
      <c r="G15" s="233" t="str">
        <f t="shared" ca="1" si="1"/>
        <v>소진계획필요</v>
      </c>
      <c r="H15" s="238">
        <f>+완제품!D17</f>
        <v>0.3</v>
      </c>
      <c r="I15" s="239">
        <f>+완제품!E17</f>
        <v>2657</v>
      </c>
      <c r="J15" s="240">
        <f>+완제품!F17</f>
        <v>675</v>
      </c>
      <c r="K15" s="239">
        <f>+완제품!G17</f>
        <v>1793475</v>
      </c>
      <c r="L15" s="240">
        <f>+완제품!H17</f>
        <v>1.5483870967741935</v>
      </c>
      <c r="M15" s="241">
        <f>+완제품!I17</f>
        <v>435.9375</v>
      </c>
      <c r="N15" s="242">
        <f ca="1">+완제품!J17</f>
        <v>58881.125</v>
      </c>
      <c r="O15" s="50">
        <f>+완제품!K17</f>
        <v>45934</v>
      </c>
      <c r="Q15" s="240">
        <f>IFERROR(VLOOKUP(B15,출고량!A:C,3,FALSE),0)</f>
        <v>6</v>
      </c>
      <c r="R15" s="261">
        <f t="shared" si="0"/>
        <v>-0.74193548387096764</v>
      </c>
      <c r="S15" s="240"/>
    </row>
    <row r="16" spans="2:19" x14ac:dyDescent="0.3">
      <c r="B16" s="222">
        <v>320471</v>
      </c>
      <c r="C16" s="222" t="s">
        <v>13</v>
      </c>
      <c r="D16" s="230" t="str">
        <f ca="1">+완제품!S18</f>
        <v>O</v>
      </c>
      <c r="E16" s="230" t="str">
        <f ca="1">+완제품!T18</f>
        <v>A</v>
      </c>
      <c r="F16" s="329">
        <f>+완제품!U18</f>
        <v>0</v>
      </c>
      <c r="G16" s="233" t="str">
        <f t="shared" ca="1" si="1"/>
        <v>판매활성화</v>
      </c>
      <c r="H16" s="238">
        <f>+완제품!D18</f>
        <v>1.08</v>
      </c>
      <c r="I16" s="239">
        <f>+완제품!E18</f>
        <v>7776</v>
      </c>
      <c r="J16" s="240">
        <f>+완제품!F18</f>
        <v>248</v>
      </c>
      <c r="K16" s="239">
        <f>+완제품!G18</f>
        <v>1928448</v>
      </c>
      <c r="L16" s="240">
        <f>+완제품!H18</f>
        <v>721.19354838709683</v>
      </c>
      <c r="M16" s="241">
        <f>+완제품!I18</f>
        <v>0.34387440175336581</v>
      </c>
      <c r="N16" s="242">
        <f ca="1">+완제품!J18</f>
        <v>45813.316232052603</v>
      </c>
      <c r="O16" s="50">
        <f>+완제품!K18</f>
        <v>46019</v>
      </c>
      <c r="Q16" s="240">
        <f>IFERROR(VLOOKUP(B16,출고량!A:C,3,FALSE),0)</f>
        <v>892</v>
      </c>
      <c r="R16" s="261">
        <f t="shared" si="0"/>
        <v>-0.19148705337769414</v>
      </c>
      <c r="S16" s="240"/>
    </row>
    <row r="17" spans="2:19" x14ac:dyDescent="0.3">
      <c r="B17" s="222">
        <v>321310</v>
      </c>
      <c r="C17" s="222" t="s">
        <v>14</v>
      </c>
      <c r="D17" s="230" t="str">
        <f ca="1">+완제품!S19</f>
        <v>X</v>
      </c>
      <c r="E17" s="230" t="str">
        <f ca="1">+완제품!T19</f>
        <v>C</v>
      </c>
      <c r="F17" s="329">
        <f>+완제품!U19</f>
        <v>7</v>
      </c>
      <c r="G17" s="233" t="str">
        <f t="shared" ca="1" si="1"/>
        <v>단산검토</v>
      </c>
      <c r="H17" s="238">
        <f>+완제품!D19</f>
        <v>0.2</v>
      </c>
      <c r="I17" s="239">
        <f>+완제품!E19</f>
        <v>2180</v>
      </c>
      <c r="J17" s="240">
        <f>+완제품!F19</f>
        <v>11983</v>
      </c>
      <c r="K17" s="239">
        <f>+완제품!G19</f>
        <v>26122940</v>
      </c>
      <c r="L17" s="240">
        <f>+완제품!H19</f>
        <v>227.87096774193549</v>
      </c>
      <c r="M17" s="241">
        <f>+완제품!I19</f>
        <v>52.586778029445071</v>
      </c>
      <c r="N17" s="242">
        <f ca="1">+완제품!J19</f>
        <v>47380.603340883354</v>
      </c>
      <c r="O17" s="50">
        <f>+완제품!K19</f>
        <v>46239</v>
      </c>
      <c r="Q17" s="240">
        <f>IFERROR(VLOOKUP(B17,출고량!A:C,3,FALSE),0)</f>
        <v>480</v>
      </c>
      <c r="R17" s="261">
        <f t="shared" si="0"/>
        <v>-0.52526881720430108</v>
      </c>
      <c r="S17" s="240"/>
    </row>
    <row r="18" spans="2:19" x14ac:dyDescent="0.3">
      <c r="B18" s="222">
        <v>323073</v>
      </c>
      <c r="C18" s="222" t="s">
        <v>15</v>
      </c>
      <c r="D18" s="230" t="str">
        <f ca="1">+완제품!S20</f>
        <v>X</v>
      </c>
      <c r="E18" s="230" t="str">
        <f ca="1">+완제품!T20</f>
        <v>C</v>
      </c>
      <c r="F18" s="329">
        <f>+완제품!U20</f>
        <v>10</v>
      </c>
      <c r="G18" s="233" t="str">
        <f t="shared" ca="1" si="1"/>
        <v>단산검토</v>
      </c>
      <c r="H18" s="238">
        <f>+완제품!D20</f>
        <v>0.2</v>
      </c>
      <c r="I18" s="239">
        <f>+완제품!E20</f>
        <v>7100</v>
      </c>
      <c r="J18" s="240">
        <f>+완제품!F20</f>
        <v>3795</v>
      </c>
      <c r="K18" s="239">
        <f>+완제품!G20</f>
        <v>26944500</v>
      </c>
      <c r="L18" s="240">
        <f>+완제품!H20</f>
        <v>13.870967741935484</v>
      </c>
      <c r="M18" s="241">
        <f>+완제품!I20</f>
        <v>273.59302325581393</v>
      </c>
      <c r="N18" s="242">
        <f ca="1">+완제품!J20</f>
        <v>54010.79069767442</v>
      </c>
      <c r="O18" s="50">
        <f>+완제품!K20</f>
        <v>46078</v>
      </c>
      <c r="Q18" s="240">
        <f>IFERROR(VLOOKUP(B18,출고량!A:C,3,FALSE),0)</f>
        <v>15</v>
      </c>
      <c r="R18" s="261">
        <f t="shared" si="0"/>
        <v>-7.5268817204301064E-2</v>
      </c>
      <c r="S18" s="240"/>
    </row>
    <row r="19" spans="2:19" x14ac:dyDescent="0.3">
      <c r="B19" s="222">
        <v>323769</v>
      </c>
      <c r="C19" s="222" t="s">
        <v>16</v>
      </c>
      <c r="D19" s="230" t="str">
        <f ca="1">+완제품!S21</f>
        <v>X</v>
      </c>
      <c r="E19" s="230" t="str">
        <f ca="1">+완제품!T21</f>
        <v>C</v>
      </c>
      <c r="F19" s="329">
        <f>+완제품!U21</f>
        <v>11</v>
      </c>
      <c r="G19" s="233" t="str">
        <f t="shared" ca="1" si="1"/>
        <v>단산검토</v>
      </c>
      <c r="H19" s="238">
        <f>+완제품!D21</f>
        <v>1</v>
      </c>
      <c r="I19" s="239">
        <f>+완제품!E21</f>
        <v>8300</v>
      </c>
      <c r="J19" s="240">
        <f>+완제품!F21</f>
        <v>2027</v>
      </c>
      <c r="K19" s="239">
        <f>+완제품!G21</f>
        <v>16824100</v>
      </c>
      <c r="L19" s="240">
        <f>+완제품!H21</f>
        <v>3.774193548387097</v>
      </c>
      <c r="M19" s="241">
        <f>+완제품!I21</f>
        <v>537.0683760683761</v>
      </c>
      <c r="N19" s="242">
        <f ca="1">+완제품!J21</f>
        <v>61915.051282051281</v>
      </c>
      <c r="O19" s="50">
        <f>+완제품!K21</f>
        <v>45911</v>
      </c>
      <c r="Q19" s="240">
        <f>IFERROR(VLOOKUP(B19,출고량!A:C,3,FALSE),0)</f>
        <v>3</v>
      </c>
      <c r="R19" s="261">
        <f t="shared" si="0"/>
        <v>0.25806451612903231</v>
      </c>
      <c r="S19" s="240"/>
    </row>
    <row r="20" spans="2:19" x14ac:dyDescent="0.3">
      <c r="B20" s="222">
        <v>316950</v>
      </c>
      <c r="C20" s="222" t="s">
        <v>18</v>
      </c>
      <c r="D20" s="230">
        <f>+완제품!S23</f>
        <v>0</v>
      </c>
      <c r="E20" s="230" t="str">
        <f>+완제품!T23</f>
        <v>-</v>
      </c>
      <c r="F20" s="329">
        <f>+완제품!U23</f>
        <v>8</v>
      </c>
      <c r="G20" s="233" t="str">
        <f t="shared" si="1"/>
        <v>판매활성화</v>
      </c>
      <c r="H20" s="238">
        <f>+완제품!D23</f>
        <v>1</v>
      </c>
      <c r="I20" s="239">
        <f>+완제품!E23</f>
        <v>0</v>
      </c>
      <c r="J20" s="240">
        <f>+완제품!F23</f>
        <v>0</v>
      </c>
      <c r="K20" s="239">
        <f>+완제품!G23</f>
        <v>0</v>
      </c>
      <c r="L20" s="240">
        <f>+완제품!H23</f>
        <v>30.709677419354836</v>
      </c>
      <c r="M20" s="241">
        <f>+완제품!I23</f>
        <v>0</v>
      </c>
      <c r="N20" s="242" t="str">
        <f>+완제품!J23</f>
        <v>재고없음</v>
      </c>
      <c r="O20" s="50" t="str">
        <f>+완제품!K23</f>
        <v>재고없음</v>
      </c>
      <c r="Q20" s="240">
        <f>IFERROR(VLOOKUP(B20,출고량!A:C,3,FALSE),0)</f>
        <v>119</v>
      </c>
      <c r="R20" s="261">
        <f t="shared" si="0"/>
        <v>-0.74193548387096775</v>
      </c>
      <c r="S20" s="240"/>
    </row>
    <row r="21" spans="2:19" x14ac:dyDescent="0.3">
      <c r="B21" s="222">
        <v>331934</v>
      </c>
      <c r="C21" s="222" t="s">
        <v>20</v>
      </c>
      <c r="D21" s="230" t="str">
        <f ca="1">+완제품!S26</f>
        <v>O</v>
      </c>
      <c r="E21" s="230" t="str">
        <f ca="1">+완제품!T26</f>
        <v>B</v>
      </c>
      <c r="F21" s="329">
        <f>+완제품!U26</f>
        <v>0</v>
      </c>
      <c r="G21" s="233" t="str">
        <f t="shared" ca="1" si="1"/>
        <v>판매활성화</v>
      </c>
      <c r="H21" s="238">
        <f>+완제품!D26</f>
        <v>1</v>
      </c>
      <c r="I21" s="239">
        <f>+완제품!E26</f>
        <v>2900</v>
      </c>
      <c r="J21" s="240">
        <f>+완제품!F26</f>
        <v>9208</v>
      </c>
      <c r="K21" s="239">
        <f>+완제품!G26</f>
        <v>26703200</v>
      </c>
      <c r="L21" s="240">
        <f>+완제품!H26</f>
        <v>4614.0967741935483</v>
      </c>
      <c r="M21" s="241">
        <f>+완제품!I26</f>
        <v>1.995623510000909</v>
      </c>
      <c r="N21" s="242">
        <f ca="1">+완제품!J26</f>
        <v>45862.868705300025</v>
      </c>
      <c r="O21" s="50">
        <f>+완제품!K26</f>
        <v>45875</v>
      </c>
      <c r="Q21" s="240">
        <f>IFERROR(VLOOKUP(B21,출고량!A:C,3,FALSE),0)</f>
        <v>3670</v>
      </c>
      <c r="R21" s="261">
        <f t="shared" si="0"/>
        <v>0.25724707743693415</v>
      </c>
      <c r="S21" s="240"/>
    </row>
    <row r="22" spans="2:19" x14ac:dyDescent="0.3">
      <c r="B22" s="222">
        <v>340495</v>
      </c>
      <c r="C22" s="222" t="s">
        <v>969</v>
      </c>
      <c r="D22" s="230" t="str">
        <f ca="1">+완제품!S27</f>
        <v>X</v>
      </c>
      <c r="E22" s="230" t="str">
        <f ca="1">+완제품!T27</f>
        <v>C</v>
      </c>
      <c r="F22" s="329">
        <f>+완제품!U27</f>
        <v>0</v>
      </c>
      <c r="G22" s="233" t="str">
        <f t="shared" ref="G22" ca="1" si="2">IF(AND(D22="X",E22="C",F22&gt;4),"단산검토",IF(AND(D22="X",E22="C"),"소진계획필요","판매활성화"))</f>
        <v>소진계획필요</v>
      </c>
      <c r="H22" s="238">
        <f>+완제품!D27</f>
        <v>1</v>
      </c>
      <c r="I22" s="239">
        <f>+완제품!E27</f>
        <v>2150</v>
      </c>
      <c r="J22" s="240">
        <f>+완제품!F27</f>
        <v>3804</v>
      </c>
      <c r="K22" s="239">
        <f>+완제품!G27</f>
        <v>8178600</v>
      </c>
      <c r="L22" s="240">
        <f>+완제품!H27</f>
        <v>66</v>
      </c>
      <c r="M22" s="241">
        <f>+완제품!I27</f>
        <v>57.636363636363633</v>
      </c>
      <c r="N22" s="242">
        <f ca="1">+완제품!J27</f>
        <v>47532.090909090912</v>
      </c>
      <c r="O22" s="50">
        <f>+완제품!K27</f>
        <v>45952</v>
      </c>
      <c r="Q22" s="240">
        <f>IFERROR(VLOOKUP(B22,출고량!A:C,3,FALSE),0)</f>
        <v>0</v>
      </c>
      <c r="R22" s="261">
        <f t="shared" ref="R22" si="3">IFERROR((L22-Q22)/Q22,0)</f>
        <v>0</v>
      </c>
      <c r="S22" s="240"/>
    </row>
    <row r="23" spans="2:19" x14ac:dyDescent="0.3">
      <c r="B23" s="222">
        <v>326263</v>
      </c>
      <c r="C23" s="222" t="s">
        <v>21</v>
      </c>
      <c r="D23" s="230" t="str">
        <f ca="1">+완제품!S28</f>
        <v>O</v>
      </c>
      <c r="E23" s="230" t="str">
        <f ca="1">+완제품!T28</f>
        <v>A</v>
      </c>
      <c r="F23" s="329">
        <f>+완제품!U28</f>
        <v>0</v>
      </c>
      <c r="G23" s="233" t="str">
        <f t="shared" ca="1" si="1"/>
        <v>판매활성화</v>
      </c>
      <c r="H23" s="238">
        <f>+완제품!D28</f>
        <v>1</v>
      </c>
      <c r="I23" s="239">
        <f>+완제품!E28</f>
        <v>1718</v>
      </c>
      <c r="J23" s="240">
        <f>+완제품!F28</f>
        <v>6612</v>
      </c>
      <c r="K23" s="239">
        <f>+완제품!G28</f>
        <v>11359416</v>
      </c>
      <c r="L23" s="240">
        <f>+완제품!H28</f>
        <v>10091.967741935485</v>
      </c>
      <c r="M23" s="241">
        <f>+완제품!I28</f>
        <v>0.65517450799262267</v>
      </c>
      <c r="N23" s="242">
        <f ca="1">+완제품!J28</f>
        <v>45822.655235239778</v>
      </c>
      <c r="O23" s="50">
        <f>+완제품!K28</f>
        <v>46011</v>
      </c>
      <c r="Q23" s="240">
        <f>IFERROR(VLOOKUP(B23,출고량!A:C,3,FALSE),0)</f>
        <v>10412</v>
      </c>
      <c r="R23" s="261">
        <f t="shared" si="0"/>
        <v>-3.0736866890560429E-2</v>
      </c>
      <c r="S23" s="240"/>
    </row>
    <row r="24" spans="2:19" x14ac:dyDescent="0.3">
      <c r="B24" s="222">
        <v>336755</v>
      </c>
      <c r="C24" s="222" t="s">
        <v>22</v>
      </c>
      <c r="D24" s="230" t="str">
        <f ca="1">+완제품!S29</f>
        <v>O</v>
      </c>
      <c r="E24" s="230" t="str">
        <f ca="1">+완제품!T29</f>
        <v>B</v>
      </c>
      <c r="F24" s="329">
        <f>+완제품!U29</f>
        <v>0</v>
      </c>
      <c r="G24" s="233" t="str">
        <f t="shared" ca="1" si="1"/>
        <v>판매활성화</v>
      </c>
      <c r="H24" s="238">
        <f>+완제품!D29</f>
        <v>10</v>
      </c>
      <c r="I24" s="239">
        <f>+완제품!E29</f>
        <v>17080</v>
      </c>
      <c r="J24" s="240">
        <f>+완제품!F29</f>
        <v>1225</v>
      </c>
      <c r="K24" s="239">
        <f>+완제품!G29</f>
        <v>20923000</v>
      </c>
      <c r="L24" s="240">
        <f>+완제품!H29</f>
        <v>315.87096774193549</v>
      </c>
      <c r="M24" s="241">
        <f>+완제품!I29</f>
        <v>3.8781658496732025</v>
      </c>
      <c r="N24" s="242">
        <f ca="1">+완제품!J29</f>
        <v>45919.344975490196</v>
      </c>
      <c r="O24" s="50">
        <f>+완제품!K29</f>
        <v>46061</v>
      </c>
      <c r="Q24" s="240">
        <f>IFERROR(VLOOKUP(B24,출고량!A:C,3,FALSE),0)</f>
        <v>1224</v>
      </c>
      <c r="R24" s="261">
        <f t="shared" si="0"/>
        <v>-0.74193548387096775</v>
      </c>
      <c r="S24" s="240"/>
    </row>
    <row r="25" spans="2:19" x14ac:dyDescent="0.3">
      <c r="B25" s="222">
        <v>332805</v>
      </c>
      <c r="C25" s="222" t="s">
        <v>23</v>
      </c>
      <c r="D25" s="230" t="str">
        <f ca="1">+완제품!S30</f>
        <v>O</v>
      </c>
      <c r="E25" s="230" t="str">
        <f ca="1">+완제품!T30</f>
        <v>C</v>
      </c>
      <c r="F25" s="329">
        <f>+완제품!U30</f>
        <v>0</v>
      </c>
      <c r="G25" s="233" t="str">
        <f t="shared" ca="1" si="1"/>
        <v>판매활성화</v>
      </c>
      <c r="H25" s="238">
        <f>+완제품!D30</f>
        <v>0.2</v>
      </c>
      <c r="I25" s="239">
        <f>+완제품!E30</f>
        <v>342</v>
      </c>
      <c r="J25" s="240">
        <f>+완제품!F30</f>
        <v>64272</v>
      </c>
      <c r="K25" s="239">
        <f>+완제품!G30</f>
        <v>21981024</v>
      </c>
      <c r="L25" s="240">
        <f>+완제품!H30</f>
        <v>14714.322580645161</v>
      </c>
      <c r="M25" s="241">
        <f>+완제품!I30</f>
        <v>4.3679890560875512</v>
      </c>
      <c r="N25" s="242">
        <f ca="1">+완제품!J30</f>
        <v>45934.039671682629</v>
      </c>
      <c r="O25" s="50">
        <f>+완제품!K30</f>
        <v>46049</v>
      </c>
      <c r="Q25" s="240">
        <f>IFERROR(VLOOKUP(B25,출고량!A:C,3,FALSE),0)</f>
        <v>19632</v>
      </c>
      <c r="R25" s="261">
        <f t="shared" si="0"/>
        <v>-0.2504929410836817</v>
      </c>
      <c r="S25" s="240" t="s">
        <v>968</v>
      </c>
    </row>
    <row r="26" spans="2:19" x14ac:dyDescent="0.3">
      <c r="B26" s="222">
        <v>318446</v>
      </c>
      <c r="C26" s="222" t="s">
        <v>24</v>
      </c>
      <c r="D26" s="230">
        <f>+완제품!S33</f>
        <v>0</v>
      </c>
      <c r="E26" s="230" t="str">
        <f>+완제품!T33</f>
        <v>-</v>
      </c>
      <c r="F26" s="329">
        <f>+완제품!U33</f>
        <v>3</v>
      </c>
      <c r="G26" s="233" t="str">
        <f t="shared" si="1"/>
        <v>판매활성화</v>
      </c>
      <c r="H26" s="238">
        <f>+완제품!D33</f>
        <v>0.5</v>
      </c>
      <c r="I26" s="239">
        <f>+완제품!E33</f>
        <v>4800</v>
      </c>
      <c r="J26" s="240">
        <f>+완제품!F33</f>
        <v>0</v>
      </c>
      <c r="K26" s="239">
        <f>+완제품!G33</f>
        <v>0</v>
      </c>
      <c r="L26" s="240">
        <f>+완제품!H33</f>
        <v>0</v>
      </c>
      <c r="M26" s="241">
        <f>+완제품!I33</f>
        <v>0</v>
      </c>
      <c r="N26" s="242" t="str">
        <f>+완제품!J33</f>
        <v>재고없음</v>
      </c>
      <c r="O26" s="290" t="str">
        <f>+완제품!K33</f>
        <v>재고없음</v>
      </c>
      <c r="Q26" s="240">
        <f>IFERROR(VLOOKUP(B26,출고량!A:C,3,FALSE),0)</f>
        <v>0</v>
      </c>
      <c r="R26" s="261">
        <f t="shared" si="0"/>
        <v>0</v>
      </c>
      <c r="S26" s="240"/>
    </row>
    <row r="27" spans="2:19" x14ac:dyDescent="0.3">
      <c r="B27" s="222">
        <v>326138</v>
      </c>
      <c r="C27" s="222" t="s">
        <v>25</v>
      </c>
      <c r="D27" s="230">
        <f>+완제품!S34</f>
        <v>0</v>
      </c>
      <c r="E27" s="230" t="s">
        <v>956</v>
      </c>
      <c r="F27" s="329">
        <f>+완제품!U34</f>
        <v>8</v>
      </c>
      <c r="G27" s="233" t="str">
        <f t="shared" si="1"/>
        <v>판매활성화</v>
      </c>
      <c r="H27" s="238">
        <f>+완제품!D34</f>
        <v>1</v>
      </c>
      <c r="I27" s="239">
        <f>+완제품!E34</f>
        <v>0</v>
      </c>
      <c r="J27" s="240">
        <f>+완제품!F34</f>
        <v>0</v>
      </c>
      <c r="K27" s="239">
        <f>+완제품!G34</f>
        <v>0</v>
      </c>
      <c r="L27" s="240">
        <f>+완제품!H34</f>
        <v>72.258064516129025</v>
      </c>
      <c r="M27" s="241">
        <f>+완제품!I34</f>
        <v>0</v>
      </c>
      <c r="N27" s="242" t="str">
        <f>+완제품!J34</f>
        <v>재고없음</v>
      </c>
      <c r="O27" s="290" t="str">
        <f>+완제품!K34</f>
        <v>재고없음</v>
      </c>
      <c r="Q27" s="240">
        <f>IFERROR(VLOOKUP(B27,출고량!A:C,3,FALSE),0)</f>
        <v>280</v>
      </c>
      <c r="R27" s="261">
        <f t="shared" si="0"/>
        <v>-0.74193548387096775</v>
      </c>
      <c r="S27" s="240"/>
    </row>
    <row r="28" spans="2:19" x14ac:dyDescent="0.3">
      <c r="B28" s="222">
        <v>325643</v>
      </c>
      <c r="C28" s="222" t="s">
        <v>26</v>
      </c>
      <c r="D28" s="230" t="s">
        <v>955</v>
      </c>
      <c r="E28" s="230" t="s">
        <v>956</v>
      </c>
      <c r="F28" s="329">
        <f>+완제품!U35</f>
        <v>8</v>
      </c>
      <c r="G28" s="233" t="str">
        <f t="shared" si="1"/>
        <v>단산검토</v>
      </c>
      <c r="H28" s="238">
        <f>+완제품!D35</f>
        <v>4</v>
      </c>
      <c r="I28" s="239">
        <f>+완제품!E35</f>
        <v>0</v>
      </c>
      <c r="J28" s="240">
        <f>+완제품!F35</f>
        <v>0</v>
      </c>
      <c r="K28" s="239">
        <f>+완제품!G35</f>
        <v>0</v>
      </c>
      <c r="L28" s="240">
        <f>+완제품!H35</f>
        <v>23.225806451612904</v>
      </c>
      <c r="M28" s="241">
        <f>+완제품!I35</f>
        <v>0</v>
      </c>
      <c r="N28" s="242" t="str">
        <f>+완제품!J35</f>
        <v>재고없음</v>
      </c>
      <c r="O28" s="290" t="str">
        <f>+완제품!K35</f>
        <v>재고없음</v>
      </c>
      <c r="Q28" s="240">
        <f>IFERROR(VLOOKUP(B28,출고량!A:C,3,FALSE),0)</f>
        <v>90</v>
      </c>
      <c r="R28" s="261">
        <f t="shared" si="0"/>
        <v>-0.74193548387096786</v>
      </c>
      <c r="S28" s="240"/>
    </row>
    <row r="29" spans="2:19" x14ac:dyDescent="0.3">
      <c r="B29" s="222">
        <v>332006</v>
      </c>
      <c r="C29" s="222" t="s">
        <v>27</v>
      </c>
      <c r="D29" s="230" t="s">
        <v>955</v>
      </c>
      <c r="E29" s="230" t="s">
        <v>956</v>
      </c>
      <c r="F29" s="329">
        <f>+완제품!U36</f>
        <v>8</v>
      </c>
      <c r="G29" s="233" t="str">
        <f t="shared" si="1"/>
        <v>단산검토</v>
      </c>
      <c r="H29" s="238">
        <f>+완제품!D36</f>
        <v>1.264</v>
      </c>
      <c r="I29" s="239">
        <f>+완제품!E36</f>
        <v>0</v>
      </c>
      <c r="J29" s="240">
        <f>+완제품!F36</f>
        <v>0</v>
      </c>
      <c r="K29" s="239">
        <f>+완제품!G36</f>
        <v>0</v>
      </c>
      <c r="L29" s="240">
        <f>+완제품!H36</f>
        <v>23.225806451612904</v>
      </c>
      <c r="M29" s="241">
        <f>+완제품!I36</f>
        <v>0</v>
      </c>
      <c r="N29" s="242" t="str">
        <f>+완제품!J36</f>
        <v>재고없음</v>
      </c>
      <c r="O29" s="290" t="str">
        <f>+완제품!K36</f>
        <v>재고없음</v>
      </c>
      <c r="Q29" s="240">
        <f>IFERROR(VLOOKUP(B29,출고량!A:C,3,FALSE),0)</f>
        <v>90</v>
      </c>
      <c r="R29" s="261">
        <f t="shared" si="0"/>
        <v>-0.74193548387096786</v>
      </c>
      <c r="S29" s="240"/>
    </row>
    <row r="30" spans="2:19" x14ac:dyDescent="0.3">
      <c r="B30" s="243">
        <v>326137</v>
      </c>
      <c r="C30" s="243" t="s">
        <v>28</v>
      </c>
      <c r="D30" s="231">
        <f>+완제품!S37</f>
        <v>0</v>
      </c>
      <c r="E30" s="231" t="s">
        <v>956</v>
      </c>
      <c r="F30" s="330">
        <f>+완제품!U37</f>
        <v>8</v>
      </c>
      <c r="G30" s="234" t="str">
        <f t="shared" si="1"/>
        <v>판매활성화</v>
      </c>
      <c r="H30" s="244">
        <f>+완제품!D37</f>
        <v>1.044</v>
      </c>
      <c r="I30" s="245">
        <f>+완제품!E37</f>
        <v>0</v>
      </c>
      <c r="J30" s="246">
        <f>+완제품!F37</f>
        <v>0</v>
      </c>
      <c r="K30" s="245">
        <f>+완제품!G37</f>
        <v>0</v>
      </c>
      <c r="L30" s="246">
        <f>+완제품!H37</f>
        <v>70.967741935483872</v>
      </c>
      <c r="M30" s="247">
        <f>+완제품!I37</f>
        <v>0</v>
      </c>
      <c r="N30" s="248" t="str">
        <f>+완제품!J37</f>
        <v>재고없음</v>
      </c>
      <c r="O30" s="291" t="str">
        <f>+완제품!K37</f>
        <v>재고없음</v>
      </c>
      <c r="Q30" s="246">
        <f>IFERROR(VLOOKUP(B30,출고량!A:C,3,FALSE),0)</f>
        <v>275</v>
      </c>
      <c r="R30" s="262">
        <f t="shared" si="0"/>
        <v>-0.74193548387096775</v>
      </c>
      <c r="S30" s="246"/>
    </row>
    <row r="36" spans="11:11" x14ac:dyDescent="0.3">
      <c r="K36" s="117"/>
    </row>
  </sheetData>
  <phoneticPr fontId="2" type="noConversion"/>
  <conditionalFormatting sqref="D6:F30">
    <cfRule type="cellIs" dxfId="12" priority="6" operator="equal">
      <formula>"O"</formula>
    </cfRule>
    <cfRule type="cellIs" dxfId="11" priority="9" operator="equal">
      <formula>"X"</formula>
    </cfRule>
  </conditionalFormatting>
  <conditionalFormatting sqref="E6:E30">
    <cfRule type="cellIs" dxfId="10" priority="5" operator="equal">
      <formula>"A"</formula>
    </cfRule>
    <cfRule type="cellIs" dxfId="9" priority="8" operator="equal">
      <formula>"C"</formula>
    </cfRule>
  </conditionalFormatting>
  <conditionalFormatting sqref="F6:F30">
    <cfRule type="cellIs" dxfId="8" priority="7" operator="greaterThan">
      <formula>4</formula>
    </cfRule>
  </conditionalFormatting>
  <conditionalFormatting sqref="G6:G30">
    <cfRule type="cellIs" dxfId="7" priority="1" operator="equal">
      <formula>"판매활성화"</formula>
    </cfRule>
    <cfRule type="cellIs" dxfId="6" priority="2" operator="equal">
      <formula>"소진계획필요"</formula>
    </cfRule>
    <cfRule type="cellIs" dxfId="5" priority="3" operator="equal">
      <formula>"단산검토"</formula>
    </cfRule>
  </conditionalFormatting>
  <conditionalFormatting sqref="L5">
    <cfRule type="cellIs" dxfId="4" priority="38" operator="equal">
      <formula>"부적합"</formula>
    </cfRule>
    <cfRule type="cellIs" dxfId="3" priority="39" operator="equal">
      <formula>"부적합심각"</formula>
    </cfRule>
  </conditionalFormatting>
  <conditionalFormatting sqref="O6:O30">
    <cfRule type="cellIs" dxfId="2" priority="4" operator="lessThan">
      <formula>#REF!+90</formula>
    </cfRule>
  </conditionalFormatting>
  <conditionalFormatting sqref="Q5:S5">
    <cfRule type="cellIs" dxfId="1" priority="22" operator="equal">
      <formula>"부적합"</formula>
    </cfRule>
    <cfRule type="cellIs" dxfId="0" priority="23" operator="equal">
      <formula>"부적합심각"</formula>
    </cfRule>
  </conditionalFormatting>
  <pageMargins left="0.25" right="0.25" top="0.75" bottom="0.75" header="0.3" footer="0.3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S27"/>
  <sheetViews>
    <sheetView zoomScale="115" zoomScaleNormal="115" workbookViewId="0">
      <selection activeCell="G1" sqref="G1"/>
    </sheetView>
  </sheetViews>
  <sheetFormatPr defaultRowHeight="16.5" x14ac:dyDescent="0.3"/>
  <cols>
    <col min="3" max="3" width="7.375" customWidth="1"/>
    <col min="4" max="4" width="22" customWidth="1"/>
    <col min="5" max="5" width="8.125" customWidth="1"/>
    <col min="6" max="6" width="11.875" customWidth="1"/>
    <col min="7" max="8" width="20.375" customWidth="1"/>
    <col min="11" max="11" width="27" bestFit="1" customWidth="1"/>
    <col min="12" max="12" width="16.125" customWidth="1"/>
    <col min="13" max="13" width="16" customWidth="1"/>
    <col min="18" max="18" width="8" bestFit="1" customWidth="1"/>
    <col min="19" max="19" width="8" customWidth="1"/>
    <col min="20" max="20" width="9.375" customWidth="1"/>
    <col min="21" max="21" width="22" customWidth="1"/>
    <col min="22" max="22" width="9" customWidth="1"/>
    <col min="23" max="23" width="19.5" customWidth="1"/>
    <col min="29" max="29" width="10.875" bestFit="1" customWidth="1"/>
    <col min="33" max="33" width="12" bestFit="1" customWidth="1"/>
    <col min="37" max="37" width="10.875" bestFit="1" customWidth="1"/>
    <col min="41" max="41" width="12" bestFit="1" customWidth="1"/>
    <col min="45" max="45" width="12" bestFit="1" customWidth="1"/>
  </cols>
  <sheetData>
    <row r="3" spans="3:45" x14ac:dyDescent="0.3">
      <c r="M3" s="303" t="s">
        <v>809</v>
      </c>
      <c r="S3">
        <v>1000</v>
      </c>
      <c r="AA3">
        <v>100</v>
      </c>
      <c r="AB3" s="345">
        <v>3460</v>
      </c>
      <c r="AC3" s="117">
        <f>+AA3*AB3</f>
        <v>346000</v>
      </c>
      <c r="AE3">
        <v>800</v>
      </c>
      <c r="AF3" s="345">
        <v>2360</v>
      </c>
      <c r="AG3" s="117">
        <f>+AE3*AF3</f>
        <v>1888000</v>
      </c>
      <c r="AI3">
        <v>160</v>
      </c>
      <c r="AJ3">
        <v>880</v>
      </c>
      <c r="AK3" s="117">
        <f>+AI3*AJ3</f>
        <v>140800</v>
      </c>
      <c r="AM3">
        <v>480</v>
      </c>
      <c r="AN3" s="345">
        <v>2910</v>
      </c>
      <c r="AO3" s="117">
        <f>+AM3*AN3</f>
        <v>1396800</v>
      </c>
      <c r="AQ3">
        <v>800</v>
      </c>
      <c r="AR3" s="345">
        <v>2360</v>
      </c>
      <c r="AS3" s="117">
        <f>+AQ3*AR3</f>
        <v>1888000</v>
      </c>
    </row>
    <row r="4" spans="3:45" x14ac:dyDescent="0.3">
      <c r="C4" t="s">
        <v>853</v>
      </c>
      <c r="K4" s="307" t="s">
        <v>810</v>
      </c>
      <c r="L4" s="307" t="s">
        <v>803</v>
      </c>
      <c r="M4" s="307" t="s">
        <v>804</v>
      </c>
      <c r="Q4" s="101"/>
      <c r="R4" s="101"/>
      <c r="S4" s="101" t="s">
        <v>822</v>
      </c>
      <c r="T4" s="101" t="s">
        <v>819</v>
      </c>
      <c r="U4" s="101" t="s">
        <v>823</v>
      </c>
      <c r="V4" s="101" t="s">
        <v>818</v>
      </c>
      <c r="W4" s="80" t="s">
        <v>824</v>
      </c>
      <c r="AA4">
        <v>40</v>
      </c>
      <c r="AB4" s="345">
        <v>3200</v>
      </c>
      <c r="AC4" s="117">
        <f t="shared" ref="AC4:AC26" si="0">+AA4*AB4</f>
        <v>128000</v>
      </c>
      <c r="AE4">
        <v>800</v>
      </c>
      <c r="AF4" s="345">
        <v>2270</v>
      </c>
      <c r="AG4" s="117">
        <f t="shared" ref="AG4:AG6" si="1">+AE4*AF4</f>
        <v>1816000</v>
      </c>
      <c r="AI4">
        <v>160</v>
      </c>
      <c r="AJ4">
        <v>880</v>
      </c>
      <c r="AK4" s="117">
        <f t="shared" ref="AK4:AK10" si="2">+AI4*AJ4</f>
        <v>140800</v>
      </c>
      <c r="AM4" s="345">
        <v>1000</v>
      </c>
      <c r="AN4" s="345">
        <v>2950</v>
      </c>
      <c r="AO4" s="117">
        <f t="shared" ref="AO4:AO8" si="3">+AM4*AN4</f>
        <v>2950000</v>
      </c>
      <c r="AQ4">
        <v>800</v>
      </c>
      <c r="AR4" s="345">
        <v>2270</v>
      </c>
      <c r="AS4" s="117">
        <f t="shared" ref="AS4:AS6" si="4">+AQ4*AR4</f>
        <v>1816000</v>
      </c>
    </row>
    <row r="5" spans="3:45" x14ac:dyDescent="0.3">
      <c r="C5" s="283" t="s">
        <v>791</v>
      </c>
      <c r="D5" s="283" t="s">
        <v>792</v>
      </c>
      <c r="E5" s="283" t="s">
        <v>785</v>
      </c>
      <c r="F5" s="283" t="s">
        <v>796</v>
      </c>
      <c r="G5" s="284" t="s">
        <v>786</v>
      </c>
      <c r="H5" s="284" t="s">
        <v>788</v>
      </c>
      <c r="K5" s="304" t="s">
        <v>805</v>
      </c>
      <c r="L5" s="305">
        <v>95</v>
      </c>
      <c r="M5" s="305">
        <v>95</v>
      </c>
      <c r="O5">
        <v>150</v>
      </c>
      <c r="Q5" s="80">
        <v>336490</v>
      </c>
      <c r="R5" s="311" t="s">
        <v>820</v>
      </c>
      <c r="S5" s="311">
        <f>50/S3</f>
        <v>0.05</v>
      </c>
      <c r="T5" s="100">
        <v>130000</v>
      </c>
      <c r="U5" s="312">
        <f>+S5*T5</f>
        <v>6500</v>
      </c>
      <c r="V5" s="80">
        <f>210+580</f>
        <v>790</v>
      </c>
      <c r="W5" s="313">
        <f>+V5/U5</f>
        <v>0.12153846153846154</v>
      </c>
      <c r="AA5">
        <v>150</v>
      </c>
      <c r="AB5">
        <v>630</v>
      </c>
      <c r="AC5" s="117">
        <f t="shared" si="0"/>
        <v>94500</v>
      </c>
      <c r="AE5">
        <v>480</v>
      </c>
      <c r="AF5" s="345">
        <v>5510</v>
      </c>
      <c r="AG5" s="117">
        <f t="shared" si="1"/>
        <v>2644800</v>
      </c>
      <c r="AI5">
        <v>100</v>
      </c>
      <c r="AJ5" s="345">
        <v>4280</v>
      </c>
      <c r="AK5" s="117">
        <f t="shared" si="2"/>
        <v>428000</v>
      </c>
      <c r="AM5" s="345">
        <v>1000</v>
      </c>
      <c r="AN5" s="345">
        <v>2830</v>
      </c>
      <c r="AO5" s="117">
        <f t="shared" si="3"/>
        <v>2830000</v>
      </c>
      <c r="AQ5">
        <v>480</v>
      </c>
      <c r="AR5" s="345">
        <v>5510</v>
      </c>
      <c r="AS5" s="117">
        <f t="shared" si="4"/>
        <v>2644800</v>
      </c>
    </row>
    <row r="6" spans="3:45" ht="26.25" customHeight="1" x14ac:dyDescent="0.3">
      <c r="C6" s="286">
        <v>318063</v>
      </c>
      <c r="D6" s="282" t="s">
        <v>75</v>
      </c>
      <c r="E6" s="279" t="s">
        <v>790</v>
      </c>
      <c r="F6" s="279" t="s">
        <v>797</v>
      </c>
      <c r="G6" s="279" t="s">
        <v>787</v>
      </c>
      <c r="H6" s="281" t="s">
        <v>789</v>
      </c>
      <c r="K6" s="304" t="s">
        <v>806</v>
      </c>
      <c r="L6" s="305">
        <v>150.97999999999999</v>
      </c>
      <c r="M6" s="305">
        <v>367.1</v>
      </c>
      <c r="O6" s="302">
        <v>6.7000000000000004E-2</v>
      </c>
      <c r="Q6" s="80">
        <v>336489</v>
      </c>
      <c r="R6" s="311" t="s">
        <v>821</v>
      </c>
      <c r="S6" s="311">
        <v>0.06</v>
      </c>
      <c r="T6" s="100">
        <v>200000</v>
      </c>
      <c r="U6" s="312">
        <f>+S6*T6</f>
        <v>12000</v>
      </c>
      <c r="V6" s="80">
        <f>53+1838</f>
        <v>1891</v>
      </c>
      <c r="W6" s="313">
        <f>+V6/U6</f>
        <v>0.15758333333333333</v>
      </c>
      <c r="AA6">
        <v>60</v>
      </c>
      <c r="AB6" s="345">
        <v>2790</v>
      </c>
      <c r="AC6" s="117">
        <f t="shared" si="0"/>
        <v>167400</v>
      </c>
      <c r="AE6" s="345">
        <v>1120</v>
      </c>
      <c r="AF6" s="345">
        <v>3440</v>
      </c>
      <c r="AG6" s="117">
        <f t="shared" si="1"/>
        <v>3852800</v>
      </c>
      <c r="AI6">
        <v>100</v>
      </c>
      <c r="AJ6" s="345">
        <v>4190</v>
      </c>
      <c r="AK6" s="117">
        <f t="shared" si="2"/>
        <v>419000</v>
      </c>
      <c r="AM6">
        <v>500</v>
      </c>
      <c r="AN6" s="345">
        <v>4230</v>
      </c>
      <c r="AO6" s="117">
        <f t="shared" si="3"/>
        <v>2115000</v>
      </c>
      <c r="AQ6" s="345">
        <v>1120</v>
      </c>
      <c r="AR6" s="345">
        <v>3440</v>
      </c>
      <c r="AS6" s="117">
        <f t="shared" si="4"/>
        <v>3852800</v>
      </c>
    </row>
    <row r="7" spans="3:45" x14ac:dyDescent="0.3">
      <c r="C7" s="285">
        <v>254933</v>
      </c>
      <c r="D7" s="280" t="s">
        <v>51</v>
      </c>
      <c r="E7" s="279" t="s">
        <v>795</v>
      </c>
      <c r="F7" s="279"/>
      <c r="G7" s="279" t="s">
        <v>793</v>
      </c>
      <c r="H7" s="279" t="s">
        <v>794</v>
      </c>
      <c r="K7" s="304" t="s">
        <v>807</v>
      </c>
      <c r="L7" s="305">
        <v>2.62</v>
      </c>
      <c r="M7" s="305">
        <v>32.71</v>
      </c>
      <c r="O7">
        <v>0</v>
      </c>
      <c r="R7" s="310"/>
      <c r="S7" s="310"/>
      <c r="AA7">
        <v>40</v>
      </c>
      <c r="AB7" s="345">
        <v>5160</v>
      </c>
      <c r="AC7" s="117">
        <f t="shared" si="0"/>
        <v>206400</v>
      </c>
      <c r="AG7" s="124">
        <f>SUM(AG3:AG6)</f>
        <v>10201600</v>
      </c>
      <c r="AI7">
        <v>300</v>
      </c>
      <c r="AJ7">
        <v>830</v>
      </c>
      <c r="AK7" s="117">
        <f t="shared" si="2"/>
        <v>249000</v>
      </c>
      <c r="AM7">
        <v>350</v>
      </c>
      <c r="AN7" s="345">
        <v>4570</v>
      </c>
      <c r="AO7" s="117">
        <f t="shared" si="3"/>
        <v>1599500</v>
      </c>
      <c r="AS7" s="124">
        <f>SUM(AS3:AS6)</f>
        <v>10201600</v>
      </c>
    </row>
    <row r="8" spans="3:45" x14ac:dyDescent="0.3">
      <c r="K8" s="304" t="s">
        <v>808</v>
      </c>
      <c r="L8" s="305">
        <v>35</v>
      </c>
      <c r="M8" s="305">
        <v>35</v>
      </c>
      <c r="O8">
        <v>65</v>
      </c>
      <c r="AA8">
        <v>160</v>
      </c>
      <c r="AB8" s="345">
        <v>5820</v>
      </c>
      <c r="AC8" s="117">
        <f t="shared" si="0"/>
        <v>931200</v>
      </c>
      <c r="AI8">
        <v>300</v>
      </c>
      <c r="AJ8">
        <v>710</v>
      </c>
      <c r="AK8" s="117">
        <f t="shared" si="2"/>
        <v>213000</v>
      </c>
      <c r="AM8">
        <v>240</v>
      </c>
      <c r="AN8" s="345">
        <v>6430</v>
      </c>
      <c r="AO8" s="117">
        <f t="shared" si="3"/>
        <v>1543200</v>
      </c>
    </row>
    <row r="9" spans="3:45" x14ac:dyDescent="0.3">
      <c r="C9" s="287" t="s">
        <v>854</v>
      </c>
      <c r="D9" s="278"/>
      <c r="K9" s="304" t="s">
        <v>811</v>
      </c>
      <c r="L9" s="306">
        <f>SUM(L5:L8)</f>
        <v>283.60000000000002</v>
      </c>
      <c r="M9" s="306">
        <f>SUM(M5:M8)</f>
        <v>529.80999999999995</v>
      </c>
      <c r="AA9">
        <v>40</v>
      </c>
      <c r="AB9" s="345">
        <v>5850</v>
      </c>
      <c r="AC9" s="117">
        <f t="shared" si="0"/>
        <v>234000</v>
      </c>
      <c r="AI9">
        <v>10</v>
      </c>
      <c r="AJ9" s="345">
        <v>8640</v>
      </c>
      <c r="AK9" s="117">
        <f t="shared" si="2"/>
        <v>86400</v>
      </c>
      <c r="AO9" s="124">
        <f>SUM(AO3:AO8)</f>
        <v>12434500</v>
      </c>
    </row>
    <row r="10" spans="3:45" x14ac:dyDescent="0.3">
      <c r="C10" s="283" t="s">
        <v>791</v>
      </c>
      <c r="D10" s="283" t="s">
        <v>792</v>
      </c>
      <c r="E10" s="283" t="s">
        <v>855</v>
      </c>
      <c r="F10" s="283" t="s">
        <v>796</v>
      </c>
      <c r="G10" s="284" t="s">
        <v>786</v>
      </c>
      <c r="H10" s="284" t="s">
        <v>788</v>
      </c>
      <c r="AA10">
        <v>15</v>
      </c>
      <c r="AB10" s="345">
        <v>17750</v>
      </c>
      <c r="AC10" s="117">
        <f t="shared" si="0"/>
        <v>266250</v>
      </c>
      <c r="AI10">
        <v>10</v>
      </c>
      <c r="AJ10" s="345">
        <v>8640</v>
      </c>
      <c r="AK10" s="117">
        <f t="shared" si="2"/>
        <v>86400</v>
      </c>
    </row>
    <row r="11" spans="3:45" ht="24" x14ac:dyDescent="0.3">
      <c r="C11" s="286">
        <v>318063</v>
      </c>
      <c r="D11" s="282" t="s">
        <v>75</v>
      </c>
      <c r="E11" s="279" t="s">
        <v>790</v>
      </c>
      <c r="F11" s="279" t="s">
        <v>797</v>
      </c>
      <c r="G11" s="279" t="s">
        <v>787</v>
      </c>
      <c r="H11" s="281" t="s">
        <v>789</v>
      </c>
      <c r="AA11">
        <v>15</v>
      </c>
      <c r="AB11" s="345">
        <v>17590</v>
      </c>
      <c r="AC11" s="117">
        <f t="shared" si="0"/>
        <v>263850</v>
      </c>
      <c r="AK11" s="124">
        <f>SUM(AK3:AK10)</f>
        <v>1763400</v>
      </c>
    </row>
    <row r="12" spans="3:45" x14ac:dyDescent="0.3">
      <c r="C12" s="285">
        <v>254933</v>
      </c>
      <c r="D12" s="280" t="s">
        <v>51</v>
      </c>
      <c r="E12" s="279" t="s">
        <v>795</v>
      </c>
      <c r="F12" s="279"/>
      <c r="G12" s="279" t="s">
        <v>793</v>
      </c>
      <c r="H12" s="279" t="s">
        <v>794</v>
      </c>
      <c r="AA12">
        <v>40</v>
      </c>
      <c r="AB12" s="345">
        <v>6610</v>
      </c>
      <c r="AC12" s="117">
        <f t="shared" si="0"/>
        <v>264400</v>
      </c>
    </row>
    <row r="13" spans="3:45" x14ac:dyDescent="0.3">
      <c r="M13" s="117">
        <f>813.4*1450</f>
        <v>1179430</v>
      </c>
      <c r="U13" t="s">
        <v>813</v>
      </c>
      <c r="AA13">
        <v>48</v>
      </c>
      <c r="AB13" s="345">
        <v>5540</v>
      </c>
      <c r="AC13" s="117">
        <f t="shared" si="0"/>
        <v>265920</v>
      </c>
    </row>
    <row r="14" spans="3:45" x14ac:dyDescent="0.3">
      <c r="U14" t="s">
        <v>812</v>
      </c>
      <c r="AA14">
        <v>40</v>
      </c>
      <c r="AB14" s="345">
        <v>7520</v>
      </c>
      <c r="AC14" s="117">
        <f t="shared" si="0"/>
        <v>300800</v>
      </c>
    </row>
    <row r="15" spans="3:45" x14ac:dyDescent="0.3">
      <c r="AA15">
        <v>60</v>
      </c>
      <c r="AB15" s="345">
        <v>2710</v>
      </c>
      <c r="AC15" s="117">
        <f t="shared" si="0"/>
        <v>162600</v>
      </c>
    </row>
    <row r="16" spans="3:45" x14ac:dyDescent="0.3">
      <c r="AA16">
        <v>60</v>
      </c>
      <c r="AB16" s="345">
        <v>2700</v>
      </c>
      <c r="AC16" s="117">
        <f t="shared" si="0"/>
        <v>162000</v>
      </c>
    </row>
    <row r="17" spans="7:33" x14ac:dyDescent="0.3">
      <c r="AA17">
        <v>60</v>
      </c>
      <c r="AB17" s="345">
        <v>1780</v>
      </c>
      <c r="AC17" s="117">
        <f t="shared" si="0"/>
        <v>106800</v>
      </c>
    </row>
    <row r="18" spans="7:33" x14ac:dyDescent="0.3">
      <c r="G18" s="117"/>
      <c r="AA18">
        <v>60</v>
      </c>
      <c r="AB18" s="345">
        <v>1780</v>
      </c>
      <c r="AC18" s="117">
        <f t="shared" si="0"/>
        <v>106800</v>
      </c>
    </row>
    <row r="19" spans="7:33" x14ac:dyDescent="0.3">
      <c r="AA19">
        <v>60</v>
      </c>
      <c r="AB19" s="345">
        <v>1210</v>
      </c>
      <c r="AC19" s="117">
        <f t="shared" si="0"/>
        <v>72600</v>
      </c>
    </row>
    <row r="20" spans="7:33" x14ac:dyDescent="0.3">
      <c r="AA20">
        <v>100</v>
      </c>
      <c r="AB20" s="345">
        <v>3240</v>
      </c>
      <c r="AC20" s="117">
        <f t="shared" si="0"/>
        <v>324000</v>
      </c>
    </row>
    <row r="21" spans="7:33" x14ac:dyDescent="0.3">
      <c r="AA21">
        <v>100</v>
      </c>
      <c r="AB21" s="345">
        <v>3350</v>
      </c>
      <c r="AC21" s="117">
        <f t="shared" si="0"/>
        <v>335000</v>
      </c>
    </row>
    <row r="22" spans="7:33" x14ac:dyDescent="0.3">
      <c r="AA22">
        <v>40</v>
      </c>
      <c r="AB22" s="345">
        <v>3180</v>
      </c>
      <c r="AC22" s="117">
        <f t="shared" si="0"/>
        <v>127200</v>
      </c>
      <c r="AG22" s="124">
        <f>+AC27+AG7+AK11+AO9+AS7</f>
        <v>39929540</v>
      </c>
    </row>
    <row r="23" spans="7:33" x14ac:dyDescent="0.3">
      <c r="AA23">
        <v>24</v>
      </c>
      <c r="AB23" s="345">
        <v>2880</v>
      </c>
      <c r="AC23" s="117">
        <f t="shared" si="0"/>
        <v>69120</v>
      </c>
    </row>
    <row r="24" spans="7:33" x14ac:dyDescent="0.3">
      <c r="AA24">
        <v>40</v>
      </c>
      <c r="AB24" s="345">
        <v>3260</v>
      </c>
      <c r="AC24" s="117">
        <f t="shared" si="0"/>
        <v>130400</v>
      </c>
    </row>
    <row r="25" spans="7:33" x14ac:dyDescent="0.3">
      <c r="AA25">
        <v>40</v>
      </c>
      <c r="AB25" s="345">
        <v>3460</v>
      </c>
      <c r="AC25" s="117">
        <f t="shared" si="0"/>
        <v>138400</v>
      </c>
    </row>
    <row r="26" spans="7:33" x14ac:dyDescent="0.3">
      <c r="AA26">
        <v>40</v>
      </c>
      <c r="AB26" s="345">
        <v>3120</v>
      </c>
      <c r="AC26" s="117">
        <f t="shared" si="0"/>
        <v>124800</v>
      </c>
    </row>
    <row r="27" spans="7:33" x14ac:dyDescent="0.3">
      <c r="AC27" s="124">
        <f>SUM(AC3:AC26)</f>
        <v>5328440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9"/>
  <sheetViews>
    <sheetView topLeftCell="A4" zoomScaleNormal="100" zoomScaleSheetLayoutView="130" workbookViewId="0">
      <selection activeCell="J18" sqref="J18"/>
    </sheetView>
  </sheetViews>
  <sheetFormatPr defaultRowHeight="16.5" x14ac:dyDescent="0.3"/>
  <cols>
    <col min="14" max="14" width="37.25" bestFit="1" customWidth="1"/>
    <col min="15" max="15" width="11.125" bestFit="1" customWidth="1"/>
  </cols>
  <sheetData>
    <row r="1" spans="2:15" ht="17.25" x14ac:dyDescent="0.3">
      <c r="J1" s="349"/>
    </row>
    <row r="2" spans="2:15" ht="17.25" x14ac:dyDescent="0.3">
      <c r="B2" s="356" t="s">
        <v>934</v>
      </c>
      <c r="J2" s="349"/>
    </row>
    <row r="3" spans="2:15" ht="17.25" x14ac:dyDescent="0.3">
      <c r="J3" s="349"/>
    </row>
    <row r="4" spans="2:15" x14ac:dyDescent="0.3">
      <c r="B4" s="356" t="s">
        <v>935</v>
      </c>
      <c r="J4" s="350"/>
      <c r="L4" s="117"/>
    </row>
    <row r="5" spans="2:15" x14ac:dyDescent="0.3">
      <c r="B5" s="354" t="s">
        <v>928</v>
      </c>
      <c r="C5" s="354" t="s">
        <v>929</v>
      </c>
      <c r="D5" s="354" t="s">
        <v>930</v>
      </c>
      <c r="E5" s="354" t="s">
        <v>931</v>
      </c>
      <c r="F5" s="354" t="s">
        <v>932</v>
      </c>
      <c r="G5" s="354" t="s">
        <v>933</v>
      </c>
      <c r="J5" s="350"/>
      <c r="L5" s="117"/>
      <c r="M5">
        <v>3262631</v>
      </c>
      <c r="N5" t="s">
        <v>773</v>
      </c>
      <c r="O5" s="91">
        <v>45999.414545454543</v>
      </c>
    </row>
    <row r="6" spans="2:15" x14ac:dyDescent="0.3">
      <c r="B6" s="353">
        <v>63</v>
      </c>
      <c r="C6" s="353">
        <v>13</v>
      </c>
      <c r="D6" s="353">
        <v>57</v>
      </c>
      <c r="E6" s="353">
        <v>9</v>
      </c>
      <c r="F6" s="353">
        <v>78</v>
      </c>
      <c r="G6" s="353">
        <v>57</v>
      </c>
      <c r="J6" s="350"/>
      <c r="L6" s="117"/>
      <c r="M6">
        <v>3367551</v>
      </c>
      <c r="N6" t="s">
        <v>775</v>
      </c>
      <c r="O6" s="91">
        <v>46044.272727272728</v>
      </c>
    </row>
    <row r="7" spans="2:15" x14ac:dyDescent="0.3">
      <c r="J7" s="350"/>
      <c r="M7">
        <v>3328051</v>
      </c>
      <c r="N7" t="s">
        <v>23</v>
      </c>
      <c r="O7" s="91">
        <v>45945.8</v>
      </c>
    </row>
    <row r="8" spans="2:15" x14ac:dyDescent="0.3">
      <c r="B8" s="356" t="s">
        <v>936</v>
      </c>
      <c r="J8" s="350"/>
    </row>
    <row r="9" spans="2:15" x14ac:dyDescent="0.3">
      <c r="B9" s="354" t="s">
        <v>921</v>
      </c>
      <c r="C9" s="354" t="s">
        <v>922</v>
      </c>
      <c r="D9" s="354" t="s">
        <v>914</v>
      </c>
      <c r="E9" s="354" t="s">
        <v>915</v>
      </c>
      <c r="F9" s="354" t="s">
        <v>916</v>
      </c>
      <c r="G9" s="354" t="s">
        <v>924</v>
      </c>
      <c r="J9" s="350"/>
    </row>
    <row r="10" spans="2:15" x14ac:dyDescent="0.3">
      <c r="B10" s="378" t="s">
        <v>917</v>
      </c>
      <c r="C10" s="352" t="s">
        <v>918</v>
      </c>
      <c r="D10" s="353">
        <v>24</v>
      </c>
      <c r="E10" s="353">
        <v>6</v>
      </c>
      <c r="F10" s="353">
        <v>62</v>
      </c>
      <c r="G10" s="353">
        <f>AVERAGE(D10:F10)</f>
        <v>30.666666666666668</v>
      </c>
      <c r="J10" s="350"/>
    </row>
    <row r="11" spans="2:15" x14ac:dyDescent="0.3">
      <c r="B11" s="378"/>
      <c r="C11" s="352" t="s">
        <v>919</v>
      </c>
      <c r="D11" s="353">
        <v>191</v>
      </c>
      <c r="E11" s="353">
        <v>0</v>
      </c>
      <c r="F11" s="353">
        <v>120</v>
      </c>
      <c r="G11" s="353">
        <f t="shared" ref="G11:G12" si="0">AVERAGE(D11:F11)</f>
        <v>103.66666666666667</v>
      </c>
      <c r="J11" s="350"/>
    </row>
    <row r="12" spans="2:15" x14ac:dyDescent="0.3">
      <c r="B12" s="352" t="s">
        <v>920</v>
      </c>
      <c r="C12" s="352" t="s">
        <v>923</v>
      </c>
      <c r="D12" s="353">
        <v>0</v>
      </c>
      <c r="E12" s="353">
        <v>1</v>
      </c>
      <c r="F12" s="353">
        <v>0</v>
      </c>
      <c r="G12" s="353">
        <f t="shared" si="0"/>
        <v>0.33333333333333331</v>
      </c>
      <c r="J12" s="350"/>
    </row>
    <row r="13" spans="2:15" x14ac:dyDescent="0.3">
      <c r="B13" s="379" t="s">
        <v>925</v>
      </c>
      <c r="C13" s="380"/>
      <c r="D13" s="355">
        <f t="shared" ref="D13:F13" si="1">SUM(D10:D12)</f>
        <v>215</v>
      </c>
      <c r="E13" s="355">
        <f t="shared" si="1"/>
        <v>7</v>
      </c>
      <c r="F13" s="355">
        <f t="shared" si="1"/>
        <v>182</v>
      </c>
      <c r="G13" s="355">
        <f>SUM(G10:G12)</f>
        <v>134.66666666666669</v>
      </c>
      <c r="J13" s="350"/>
    </row>
    <row r="14" spans="2:15" x14ac:dyDescent="0.3">
      <c r="G14" s="359">
        <f>+G11/G13</f>
        <v>0.76980198019801971</v>
      </c>
      <c r="J14" s="350"/>
    </row>
    <row r="15" spans="2:15" x14ac:dyDescent="0.3">
      <c r="B15" s="356" t="s">
        <v>937</v>
      </c>
      <c r="J15" s="350"/>
    </row>
    <row r="16" spans="2:15" x14ac:dyDescent="0.3">
      <c r="B16" s="354" t="s">
        <v>926</v>
      </c>
      <c r="C16" s="354" t="s">
        <v>927</v>
      </c>
      <c r="J16" s="350"/>
    </row>
    <row r="17" spans="2:10" x14ac:dyDescent="0.3">
      <c r="B17" s="358">
        <f>1500/1.044*0.95</f>
        <v>1364.9425287356321</v>
      </c>
      <c r="C17" s="357">
        <f>+B17/G13</f>
        <v>10.135711847046771</v>
      </c>
      <c r="J17" s="350"/>
    </row>
    <row r="18" spans="2:10" x14ac:dyDescent="0.3">
      <c r="J18" s="350"/>
    </row>
    <row r="19" spans="2:10" x14ac:dyDescent="0.3">
      <c r="J19" s="350"/>
    </row>
    <row r="20" spans="2:10" x14ac:dyDescent="0.3">
      <c r="J20" s="350"/>
    </row>
    <row r="21" spans="2:10" x14ac:dyDescent="0.3">
      <c r="J21" s="350"/>
    </row>
    <row r="22" spans="2:10" x14ac:dyDescent="0.3">
      <c r="J22" s="350"/>
    </row>
    <row r="23" spans="2:10" x14ac:dyDescent="0.3">
      <c r="J23" s="350"/>
    </row>
    <row r="24" spans="2:10" x14ac:dyDescent="0.3">
      <c r="J24" s="350"/>
    </row>
    <row r="25" spans="2:10" x14ac:dyDescent="0.3">
      <c r="J25" s="350"/>
    </row>
    <row r="26" spans="2:10" x14ac:dyDescent="0.3">
      <c r="J26" s="350"/>
    </row>
    <row r="27" spans="2:10" x14ac:dyDescent="0.3">
      <c r="J27" s="350"/>
    </row>
    <row r="28" spans="2:10" x14ac:dyDescent="0.3">
      <c r="J28" s="350"/>
    </row>
    <row r="29" spans="2:10" x14ac:dyDescent="0.3">
      <c r="J29" s="350"/>
    </row>
    <row r="30" spans="2:10" x14ac:dyDescent="0.3">
      <c r="J30" s="350"/>
    </row>
    <row r="31" spans="2:10" x14ac:dyDescent="0.3">
      <c r="J31" s="350"/>
    </row>
    <row r="35" spans="10:10" ht="21.75" x14ac:dyDescent="0.3">
      <c r="J35" s="351"/>
    </row>
    <row r="36" spans="10:10" x14ac:dyDescent="0.3">
      <c r="J36" s="350"/>
    </row>
    <row r="37" spans="10:10" x14ac:dyDescent="0.3">
      <c r="J37" s="350"/>
    </row>
    <row r="38" spans="10:10" x14ac:dyDescent="0.3">
      <c r="J38" s="350"/>
    </row>
    <row r="39" spans="10:10" x14ac:dyDescent="0.3">
      <c r="J39" s="350"/>
    </row>
  </sheetData>
  <mergeCells count="2">
    <mergeCell ref="B10:B11"/>
    <mergeCell ref="B13:C13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6"/>
  <sheetViews>
    <sheetView workbookViewId="0">
      <selection activeCell="H12" sqref="H12"/>
    </sheetView>
  </sheetViews>
  <sheetFormatPr defaultRowHeight="16.5" x14ac:dyDescent="0.3"/>
  <cols>
    <col min="2" max="3" width="14.75" customWidth="1"/>
    <col min="4" max="4" width="37.625" customWidth="1"/>
    <col min="5" max="6" width="14.75" customWidth="1"/>
  </cols>
  <sheetData>
    <row r="6" spans="2:7" ht="42.75" customHeight="1" x14ac:dyDescent="0.3">
      <c r="B6" s="365" t="s">
        <v>1046</v>
      </c>
      <c r="C6" s="366">
        <v>334969</v>
      </c>
      <c r="D6" s="366" t="s">
        <v>1047</v>
      </c>
      <c r="E6" s="367">
        <v>4305</v>
      </c>
      <c r="F6" s="365" t="s">
        <v>714</v>
      </c>
      <c r="G6" t="s">
        <v>1059</v>
      </c>
    </row>
    <row r="7" spans="2:7" ht="42.75" customHeight="1" x14ac:dyDescent="0.3">
      <c r="B7" s="365" t="s">
        <v>1046</v>
      </c>
      <c r="C7" s="366">
        <v>339674</v>
      </c>
      <c r="D7" s="366" t="s">
        <v>1048</v>
      </c>
      <c r="E7" s="365">
        <v>4.6500000000000004</v>
      </c>
      <c r="F7" s="365" t="s">
        <v>714</v>
      </c>
    </row>
    <row r="8" spans="2:7" ht="42.75" customHeight="1" x14ac:dyDescent="0.3">
      <c r="B8" s="365" t="s">
        <v>655</v>
      </c>
      <c r="C8" s="366">
        <v>310902</v>
      </c>
      <c r="D8" s="366" t="s">
        <v>1049</v>
      </c>
      <c r="E8" s="367">
        <v>4000</v>
      </c>
      <c r="F8" s="365" t="s">
        <v>714</v>
      </c>
    </row>
    <row r="9" spans="2:7" ht="42.75" customHeight="1" x14ac:dyDescent="0.3">
      <c r="B9" s="365" t="s">
        <v>706</v>
      </c>
      <c r="C9" s="366">
        <v>317091</v>
      </c>
      <c r="D9" s="366" t="s">
        <v>1050</v>
      </c>
      <c r="E9" s="367">
        <v>4000</v>
      </c>
      <c r="F9" s="365" t="s">
        <v>714</v>
      </c>
    </row>
    <row r="10" spans="2:7" ht="42.75" customHeight="1" x14ac:dyDescent="0.3">
      <c r="B10" s="365" t="s">
        <v>655</v>
      </c>
      <c r="C10" s="366">
        <v>317361</v>
      </c>
      <c r="D10" s="366" t="s">
        <v>1051</v>
      </c>
      <c r="E10" s="367">
        <v>4000</v>
      </c>
      <c r="F10" s="365" t="s">
        <v>714</v>
      </c>
    </row>
    <row r="11" spans="2:7" ht="42.75" customHeight="1" x14ac:dyDescent="0.3">
      <c r="B11" s="365" t="s">
        <v>655</v>
      </c>
      <c r="C11" s="366">
        <v>321745</v>
      </c>
      <c r="D11" s="366" t="s">
        <v>1052</v>
      </c>
      <c r="E11" s="367">
        <v>4000</v>
      </c>
      <c r="F11" s="365" t="s">
        <v>714</v>
      </c>
    </row>
    <row r="12" spans="2:7" ht="42.75" customHeight="1" x14ac:dyDescent="0.3">
      <c r="B12" s="365" t="s">
        <v>655</v>
      </c>
      <c r="C12" s="366">
        <v>325643</v>
      </c>
      <c r="D12" s="366" t="s">
        <v>1053</v>
      </c>
      <c r="E12" s="367">
        <v>4000</v>
      </c>
      <c r="F12" s="365" t="s">
        <v>714</v>
      </c>
    </row>
    <row r="13" spans="2:7" ht="42.75" customHeight="1" x14ac:dyDescent="0.3">
      <c r="B13" s="365" t="s">
        <v>706</v>
      </c>
      <c r="C13" s="366">
        <v>314478</v>
      </c>
      <c r="D13" s="366" t="s">
        <v>1054</v>
      </c>
      <c r="E13" s="367">
        <v>1000</v>
      </c>
      <c r="F13" s="365" t="s">
        <v>1055</v>
      </c>
    </row>
    <row r="14" spans="2:7" ht="42.75" customHeight="1" x14ac:dyDescent="0.3">
      <c r="B14" s="365" t="s">
        <v>706</v>
      </c>
      <c r="C14" s="366">
        <v>314479</v>
      </c>
      <c r="D14" s="366" t="s">
        <v>1056</v>
      </c>
      <c r="E14" s="367">
        <v>1000</v>
      </c>
      <c r="F14" s="365" t="s">
        <v>1055</v>
      </c>
    </row>
    <row r="15" spans="2:7" ht="42.75" customHeight="1" x14ac:dyDescent="0.3">
      <c r="B15" s="365" t="s">
        <v>706</v>
      </c>
      <c r="C15" s="366">
        <v>320470</v>
      </c>
      <c r="D15" s="366" t="s">
        <v>1057</v>
      </c>
      <c r="E15" s="367">
        <v>1000</v>
      </c>
      <c r="F15" s="365" t="s">
        <v>1055</v>
      </c>
    </row>
    <row r="16" spans="2:7" ht="42.75" customHeight="1" x14ac:dyDescent="0.3">
      <c r="B16" s="365" t="s">
        <v>706</v>
      </c>
      <c r="C16" s="366">
        <v>321616</v>
      </c>
      <c r="D16" s="366" t="s">
        <v>1058</v>
      </c>
      <c r="E16" s="367">
        <v>1000</v>
      </c>
      <c r="F16" s="365" t="s">
        <v>1055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I1" zoomScale="115" zoomScaleNormal="115" workbookViewId="0">
      <selection activeCell="M11" sqref="L11:M12"/>
    </sheetView>
  </sheetViews>
  <sheetFormatPr defaultRowHeight="16.5" x14ac:dyDescent="0.3"/>
  <cols>
    <col min="1" max="1" width="6.75" bestFit="1" customWidth="1"/>
    <col min="2" max="2" width="34.125" customWidth="1"/>
    <col min="3" max="3" width="7" bestFit="1" customWidth="1"/>
    <col min="4" max="4" width="8.25" bestFit="1" customWidth="1"/>
    <col min="5" max="5" width="8.25" customWidth="1"/>
    <col min="6" max="6" width="7.5" bestFit="1" customWidth="1"/>
    <col min="7" max="7" width="7.5" customWidth="1"/>
    <col min="8" max="8" width="13" bestFit="1" customWidth="1"/>
    <col min="9" max="9" width="8.75" style="223" customWidth="1"/>
    <col min="10" max="14" width="15.25" style="223" customWidth="1"/>
    <col min="15" max="15" width="14.625" style="369" bestFit="1" customWidth="1"/>
  </cols>
  <sheetData>
    <row r="1" spans="1:15" x14ac:dyDescent="0.3">
      <c r="A1" s="382" t="s">
        <v>0</v>
      </c>
      <c r="B1" s="382" t="s">
        <v>1</v>
      </c>
      <c r="C1" s="382" t="s">
        <v>29</v>
      </c>
      <c r="D1" s="381" t="s">
        <v>482</v>
      </c>
      <c r="E1" s="381" t="s">
        <v>1109</v>
      </c>
      <c r="F1" s="381" t="s">
        <v>1108</v>
      </c>
      <c r="G1" s="381" t="s">
        <v>1107</v>
      </c>
      <c r="H1" s="381" t="s">
        <v>481</v>
      </c>
      <c r="I1" s="381" t="s">
        <v>1078</v>
      </c>
      <c r="J1" s="354"/>
      <c r="K1" s="381" t="s">
        <v>1089</v>
      </c>
      <c r="L1" s="381"/>
      <c r="M1" s="381"/>
      <c r="N1" s="381"/>
      <c r="O1" s="284"/>
    </row>
    <row r="2" spans="1:15" x14ac:dyDescent="0.3">
      <c r="A2" s="382"/>
      <c r="B2" s="382"/>
      <c r="C2" s="382"/>
      <c r="D2" s="381"/>
      <c r="E2" s="381"/>
      <c r="F2" s="381"/>
      <c r="G2" s="381"/>
      <c r="H2" s="381"/>
      <c r="I2" s="381"/>
      <c r="J2" s="370" t="s">
        <v>1077</v>
      </c>
      <c r="K2" s="370" t="s">
        <v>1085</v>
      </c>
      <c r="L2" s="370" t="s">
        <v>1086</v>
      </c>
      <c r="M2" s="370" t="s">
        <v>1087</v>
      </c>
      <c r="N2" s="370" t="s">
        <v>1088</v>
      </c>
      <c r="O2" s="374" t="s">
        <v>762</v>
      </c>
    </row>
    <row r="3" spans="1:15" x14ac:dyDescent="0.3">
      <c r="A3" s="371">
        <v>325230</v>
      </c>
      <c r="B3" s="371" t="s">
        <v>6</v>
      </c>
      <c r="C3" s="372">
        <v>0.5</v>
      </c>
      <c r="D3" s="373">
        <v>4800</v>
      </c>
      <c r="E3" s="373">
        <f>+F3+G3</f>
        <v>1533</v>
      </c>
      <c r="F3" s="373">
        <v>1533</v>
      </c>
      <c r="G3" s="373"/>
      <c r="H3" s="373">
        <f>+D3*E3</f>
        <v>7358400</v>
      </c>
      <c r="I3" s="279" t="s">
        <v>920</v>
      </c>
      <c r="J3" s="279"/>
      <c r="K3" s="279"/>
      <c r="L3" s="279"/>
      <c r="M3" s="279"/>
      <c r="N3" s="279"/>
      <c r="O3" s="279"/>
    </row>
    <row r="4" spans="1:15" x14ac:dyDescent="0.3">
      <c r="A4" s="371">
        <v>259276</v>
      </c>
      <c r="B4" s="371" t="s">
        <v>7</v>
      </c>
      <c r="C4" s="372">
        <v>1.05</v>
      </c>
      <c r="D4" s="373">
        <v>11568</v>
      </c>
      <c r="E4" s="373">
        <f t="shared" ref="E4:E18" si="0">+F4+G4</f>
        <v>3994</v>
      </c>
      <c r="F4" s="373">
        <v>1480</v>
      </c>
      <c r="G4" s="373">
        <v>2514</v>
      </c>
      <c r="H4" s="373">
        <f t="shared" ref="H4:H18" si="1">+D4*E4</f>
        <v>46202592</v>
      </c>
      <c r="I4" s="279" t="s">
        <v>1074</v>
      </c>
      <c r="J4" s="279"/>
      <c r="K4" s="279"/>
      <c r="L4" s="279"/>
      <c r="M4" s="279" t="s">
        <v>1110</v>
      </c>
      <c r="N4" s="279"/>
      <c r="O4" s="279" t="s">
        <v>1112</v>
      </c>
    </row>
    <row r="5" spans="1:15" x14ac:dyDescent="0.3">
      <c r="A5" s="371">
        <v>333524</v>
      </c>
      <c r="B5" s="371" t="s">
        <v>10</v>
      </c>
      <c r="C5" s="372">
        <v>1</v>
      </c>
      <c r="D5" s="373">
        <v>6883</v>
      </c>
      <c r="E5" s="373">
        <f t="shared" si="0"/>
        <v>1762</v>
      </c>
      <c r="F5" s="373">
        <v>1762</v>
      </c>
      <c r="G5" s="373"/>
      <c r="H5" s="373">
        <f t="shared" si="1"/>
        <v>12127846</v>
      </c>
      <c r="I5" s="279" t="s">
        <v>1073</v>
      </c>
      <c r="J5" s="279"/>
      <c r="K5" s="279" t="s">
        <v>1090</v>
      </c>
      <c r="L5" s="279"/>
      <c r="M5" s="279"/>
      <c r="N5" s="279"/>
      <c r="O5" s="279"/>
    </row>
    <row r="6" spans="1:15" x14ac:dyDescent="0.3">
      <c r="A6" s="371">
        <v>314433</v>
      </c>
      <c r="B6" s="371" t="s">
        <v>147</v>
      </c>
      <c r="C6" s="372">
        <v>1</v>
      </c>
      <c r="D6" s="373">
        <v>5609</v>
      </c>
      <c r="E6" s="373">
        <f t="shared" si="0"/>
        <v>739</v>
      </c>
      <c r="F6" s="373">
        <v>739</v>
      </c>
      <c r="G6" s="373"/>
      <c r="H6" s="373">
        <f t="shared" si="1"/>
        <v>4145051</v>
      </c>
      <c r="I6" s="279" t="s">
        <v>1079</v>
      </c>
      <c r="J6" s="279"/>
      <c r="K6" s="279" t="s">
        <v>1091</v>
      </c>
      <c r="L6" s="279"/>
      <c r="M6" s="279"/>
      <c r="N6" s="279"/>
      <c r="O6" s="279" t="s">
        <v>1111</v>
      </c>
    </row>
    <row r="7" spans="1:15" ht="24" x14ac:dyDescent="0.3">
      <c r="A7" s="371">
        <v>317361</v>
      </c>
      <c r="B7" s="371" t="s">
        <v>146</v>
      </c>
      <c r="C7" s="372">
        <v>4</v>
      </c>
      <c r="D7" s="373">
        <v>17230</v>
      </c>
      <c r="E7" s="373">
        <f t="shared" si="0"/>
        <v>169</v>
      </c>
      <c r="F7" s="373">
        <v>169</v>
      </c>
      <c r="G7" s="373"/>
      <c r="H7" s="373">
        <f t="shared" si="1"/>
        <v>2911870</v>
      </c>
      <c r="I7" s="279" t="s">
        <v>1079</v>
      </c>
      <c r="J7" s="281" t="s">
        <v>1081</v>
      </c>
      <c r="K7" s="279" t="s">
        <v>1092</v>
      </c>
      <c r="L7" s="281"/>
      <c r="M7" s="281"/>
      <c r="N7" s="281"/>
      <c r="O7" s="279" t="s">
        <v>1111</v>
      </c>
    </row>
    <row r="8" spans="1:15" x14ac:dyDescent="0.3">
      <c r="A8" s="371">
        <v>321617</v>
      </c>
      <c r="B8" s="371" t="s">
        <v>11</v>
      </c>
      <c r="C8" s="372">
        <v>1.264</v>
      </c>
      <c r="D8" s="373">
        <v>7209</v>
      </c>
      <c r="E8" s="373">
        <f t="shared" si="0"/>
        <v>528</v>
      </c>
      <c r="F8" s="373">
        <v>528</v>
      </c>
      <c r="G8" s="373"/>
      <c r="H8" s="373">
        <f t="shared" si="1"/>
        <v>3806352</v>
      </c>
      <c r="I8" s="279" t="s">
        <v>1084</v>
      </c>
      <c r="J8" s="279"/>
      <c r="K8" s="279"/>
      <c r="L8" s="279"/>
      <c r="M8" s="279"/>
      <c r="N8" s="279" t="s">
        <v>1090</v>
      </c>
      <c r="O8" s="279" t="s">
        <v>1112</v>
      </c>
    </row>
    <row r="9" spans="1:15" x14ac:dyDescent="0.3">
      <c r="A9" s="371">
        <v>334659</v>
      </c>
      <c r="B9" s="371" t="s">
        <v>12</v>
      </c>
      <c r="C9" s="372">
        <v>0.3</v>
      </c>
      <c r="D9" s="373">
        <v>2657</v>
      </c>
      <c r="E9" s="373">
        <f t="shared" si="0"/>
        <v>675</v>
      </c>
      <c r="F9" s="373">
        <v>675</v>
      </c>
      <c r="G9" s="373"/>
      <c r="H9" s="373">
        <f t="shared" si="1"/>
        <v>1793475</v>
      </c>
      <c r="I9" s="279" t="s">
        <v>1094</v>
      </c>
      <c r="J9" s="279"/>
      <c r="K9" s="279"/>
      <c r="L9" s="279"/>
      <c r="M9" s="279"/>
      <c r="N9" s="279"/>
      <c r="O9" s="279" t="s">
        <v>1075</v>
      </c>
    </row>
    <row r="10" spans="1:15" ht="24" x14ac:dyDescent="0.3">
      <c r="A10" s="371">
        <v>320471</v>
      </c>
      <c r="B10" s="371" t="s">
        <v>959</v>
      </c>
      <c r="C10" s="372">
        <v>1.08</v>
      </c>
      <c r="D10" s="373">
        <v>7776</v>
      </c>
      <c r="E10" s="373">
        <f t="shared" si="0"/>
        <v>393</v>
      </c>
      <c r="F10" s="373">
        <v>393</v>
      </c>
      <c r="G10" s="373"/>
      <c r="H10" s="373">
        <f t="shared" si="1"/>
        <v>3055968</v>
      </c>
      <c r="I10" s="279" t="s">
        <v>1073</v>
      </c>
      <c r="J10" s="281" t="s">
        <v>1081</v>
      </c>
      <c r="K10" s="279" t="s">
        <v>1091</v>
      </c>
      <c r="L10" s="281"/>
      <c r="M10" s="281"/>
      <c r="N10" s="281"/>
      <c r="O10" s="279"/>
    </row>
    <row r="11" spans="1:15" x14ac:dyDescent="0.3">
      <c r="A11" s="371">
        <v>321310</v>
      </c>
      <c r="B11" s="371" t="s">
        <v>778</v>
      </c>
      <c r="C11" s="372">
        <v>0.2</v>
      </c>
      <c r="D11" s="373">
        <v>2180</v>
      </c>
      <c r="E11" s="373">
        <f t="shared" si="0"/>
        <v>11983</v>
      </c>
      <c r="F11" s="373">
        <v>11983</v>
      </c>
      <c r="G11" s="373"/>
      <c r="H11" s="373">
        <f t="shared" si="1"/>
        <v>26122940</v>
      </c>
      <c r="I11" s="279" t="s">
        <v>1080</v>
      </c>
      <c r="J11" s="279" t="s">
        <v>1082</v>
      </c>
      <c r="K11" s="279"/>
      <c r="L11" s="279"/>
      <c r="M11" s="279"/>
      <c r="N11" s="279"/>
      <c r="O11" s="279"/>
    </row>
    <row r="12" spans="1:15" x14ac:dyDescent="0.3">
      <c r="A12" s="371">
        <v>323073</v>
      </c>
      <c r="B12" s="371" t="s">
        <v>779</v>
      </c>
      <c r="C12" s="372">
        <v>0.2</v>
      </c>
      <c r="D12" s="373">
        <v>7100</v>
      </c>
      <c r="E12" s="373">
        <f t="shared" si="0"/>
        <v>3795</v>
      </c>
      <c r="F12" s="373">
        <v>3795</v>
      </c>
      <c r="G12" s="373"/>
      <c r="H12" s="373">
        <f t="shared" si="1"/>
        <v>26944500</v>
      </c>
      <c r="I12" s="279" t="s">
        <v>1073</v>
      </c>
      <c r="J12" s="279" t="s">
        <v>1083</v>
      </c>
      <c r="K12" s="279"/>
      <c r="L12" s="279"/>
      <c r="M12" s="279"/>
      <c r="N12" s="279"/>
      <c r="O12" s="279"/>
    </row>
    <row r="13" spans="1:15" x14ac:dyDescent="0.3">
      <c r="A13" s="371">
        <v>323769</v>
      </c>
      <c r="B13" s="371" t="s">
        <v>16</v>
      </c>
      <c r="C13" s="372">
        <v>1</v>
      </c>
      <c r="D13" s="373">
        <v>8300</v>
      </c>
      <c r="E13" s="373">
        <f t="shared" si="0"/>
        <v>2028</v>
      </c>
      <c r="F13" s="373">
        <v>2028</v>
      </c>
      <c r="G13" s="373"/>
      <c r="H13" s="373">
        <f t="shared" si="1"/>
        <v>16832400</v>
      </c>
      <c r="I13" s="279" t="s">
        <v>1093</v>
      </c>
      <c r="J13" s="279"/>
      <c r="K13" s="279"/>
      <c r="L13" s="279"/>
      <c r="M13" s="279"/>
      <c r="N13" s="279"/>
      <c r="O13" s="279" t="s">
        <v>1075</v>
      </c>
    </row>
    <row r="14" spans="1:15" x14ac:dyDescent="0.3">
      <c r="A14" s="371">
        <v>331934</v>
      </c>
      <c r="B14" s="371" t="s">
        <v>20</v>
      </c>
      <c r="C14" s="372">
        <v>1</v>
      </c>
      <c r="D14" s="373">
        <v>2900</v>
      </c>
      <c r="E14" s="373">
        <f t="shared" si="0"/>
        <v>9210</v>
      </c>
      <c r="F14" s="373">
        <v>9210</v>
      </c>
      <c r="G14" s="373"/>
      <c r="H14" s="373">
        <f t="shared" si="1"/>
        <v>26709000</v>
      </c>
      <c r="I14" s="279" t="s">
        <v>1074</v>
      </c>
      <c r="J14" s="279"/>
      <c r="K14" s="279"/>
      <c r="L14" s="279"/>
      <c r="M14" s="279"/>
      <c r="N14" s="279"/>
      <c r="O14" s="279"/>
    </row>
    <row r="15" spans="1:15" x14ac:dyDescent="0.3">
      <c r="A15" s="371">
        <v>340495</v>
      </c>
      <c r="B15" s="371" t="s">
        <v>970</v>
      </c>
      <c r="C15" s="372">
        <v>1</v>
      </c>
      <c r="D15" s="373">
        <v>2150</v>
      </c>
      <c r="E15" s="373">
        <f t="shared" si="0"/>
        <v>3804</v>
      </c>
      <c r="F15" s="373">
        <v>3804</v>
      </c>
      <c r="G15" s="373"/>
      <c r="H15" s="373">
        <f t="shared" si="1"/>
        <v>8178600</v>
      </c>
      <c r="I15" s="279" t="s">
        <v>1093</v>
      </c>
      <c r="J15" s="279"/>
      <c r="K15" s="279"/>
      <c r="L15" s="279"/>
      <c r="M15" s="279"/>
      <c r="N15" s="279"/>
      <c r="O15" s="279" t="s">
        <v>1076</v>
      </c>
    </row>
    <row r="16" spans="1:15" x14ac:dyDescent="0.3">
      <c r="A16" s="371">
        <v>326263</v>
      </c>
      <c r="B16" s="371" t="s">
        <v>21</v>
      </c>
      <c r="C16" s="372">
        <v>1</v>
      </c>
      <c r="D16" s="373">
        <v>1718</v>
      </c>
      <c r="E16" s="373">
        <f t="shared" si="0"/>
        <v>20397</v>
      </c>
      <c r="F16" s="373">
        <v>6897</v>
      </c>
      <c r="G16" s="373">
        <v>13500</v>
      </c>
      <c r="H16" s="373">
        <f t="shared" si="1"/>
        <v>35042046</v>
      </c>
      <c r="I16" s="279" t="s">
        <v>1074</v>
      </c>
      <c r="J16" s="279"/>
      <c r="K16" s="279"/>
      <c r="L16" s="279"/>
      <c r="M16" s="279"/>
      <c r="N16" s="279"/>
      <c r="O16" s="279"/>
    </row>
    <row r="17" spans="1:15" x14ac:dyDescent="0.3">
      <c r="A17" s="371">
        <v>336755</v>
      </c>
      <c r="B17" s="371" t="s">
        <v>910</v>
      </c>
      <c r="C17" s="372">
        <v>10</v>
      </c>
      <c r="D17" s="373">
        <v>17080</v>
      </c>
      <c r="E17" s="373">
        <f t="shared" si="0"/>
        <v>2910</v>
      </c>
      <c r="F17" s="373">
        <v>1380</v>
      </c>
      <c r="G17" s="373">
        <v>1530</v>
      </c>
      <c r="H17" s="373">
        <f t="shared" si="1"/>
        <v>49702800</v>
      </c>
      <c r="I17" s="279" t="s">
        <v>1074</v>
      </c>
      <c r="J17" s="279"/>
      <c r="K17" s="279"/>
      <c r="L17" s="279"/>
      <c r="M17" s="279"/>
      <c r="N17" s="279"/>
      <c r="O17" s="279"/>
    </row>
    <row r="18" spans="1:15" x14ac:dyDescent="0.3">
      <c r="A18" s="371">
        <v>332805</v>
      </c>
      <c r="B18" s="371" t="s">
        <v>963</v>
      </c>
      <c r="C18" s="372">
        <v>0.2</v>
      </c>
      <c r="D18" s="373">
        <v>342</v>
      </c>
      <c r="E18" s="373">
        <f t="shared" si="0"/>
        <v>64320</v>
      </c>
      <c r="F18" s="373">
        <v>64320</v>
      </c>
      <c r="G18" s="373"/>
      <c r="H18" s="373">
        <f t="shared" si="1"/>
        <v>21997440</v>
      </c>
      <c r="I18" s="279" t="s">
        <v>1073</v>
      </c>
      <c r="J18" s="279"/>
      <c r="K18" s="279" t="s">
        <v>1092</v>
      </c>
      <c r="L18" s="279"/>
      <c r="M18" s="279"/>
      <c r="N18" s="279"/>
      <c r="O18" s="279"/>
    </row>
    <row r="19" spans="1:15" x14ac:dyDescent="0.3">
      <c r="H19" s="375">
        <f>SUM(H3:H18)</f>
        <v>292931280</v>
      </c>
    </row>
  </sheetData>
  <mergeCells count="10">
    <mergeCell ref="G1:G2"/>
    <mergeCell ref="H1:H2"/>
    <mergeCell ref="I1:I2"/>
    <mergeCell ref="K1:N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bd2ff6f-b814-4dfd-b441-bd2285718fe4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</dc:creator>
  <dcterms:modified xsi:type="dcterms:W3CDTF">2025-05-26T08:24:35Z</dcterms:modified>
  <cp:lastPrinted>2025-04-30T08:16:48Z</cp:lastPrinted>
  <cp:lastModifiedBy>FS</cp:lastModifiedBy>
  <dcterms:created xsi:type="dcterms:W3CDTF">2024-12-19T05:48:47Z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18731-4c82-4a3b-9ea1-ddeac7757a78_SiteId">
    <vt:lpwstr>d4ffc887-d88d-41cc-bf6a-6bb47ec0f3ca</vt:lpwstr>
  </property>
  <property fmtid="{D5CDD505-2E9C-101B-9397-08002B2CF9AE}" pid="3" name="MSIP_Label_ac518731-4c82-4a3b-9ea1-ddeac7757a78_SetDate">
    <vt:lpwstr>2024-12-19T23:45:01Z</vt:lpwstr>
  </property>
  <property fmtid="{D5CDD505-2E9C-101B-9397-08002B2CF9AE}" pid="4" name="MSIP_Label_ac518731-4c82-4a3b-9ea1-ddeac7757a78_Name">
    <vt:lpwstr>푸드보호</vt:lpwstr>
  </property>
  <property fmtid="{D5CDD505-2E9C-101B-9397-08002B2CF9AE}" pid="5" name="MSIP_Label_ac518731-4c82-4a3b-9ea1-ddeac7757a78_Method">
    <vt:lpwstr>Privileged</vt:lpwstr>
  </property>
  <property fmtid="{D5CDD505-2E9C-101B-9397-08002B2CF9AE}" pid="6" name="MSIP_Label_ac518731-4c82-4a3b-9ea1-ddeac7757a78_Enabled">
    <vt:lpwstr>true</vt:lpwstr>
  </property>
  <property fmtid="{D5CDD505-2E9C-101B-9397-08002B2CF9AE}" pid="7" name="MSIP_Label_ac518731-4c82-4a3b-9ea1-ddeac7757a78_ContentBits">
    <vt:lpwstr>8</vt:lpwstr>
  </property>
</Properties>
</file>